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dxd2\Downloads\"/>
    </mc:Choice>
  </mc:AlternateContent>
  <xr:revisionPtr revIDLastSave="0" documentId="13_ncr:1_{ADF66050-69F1-4E40-B10C-A63907744340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總覽" sheetId="14" r:id="rId1"/>
    <sheet name="股價預估" sheetId="1" r:id="rId2"/>
    <sheet name="股票資訊" sheetId="6" r:id="rId3"/>
    <sheet name="營收" sheetId="5" r:id="rId4"/>
    <sheet name="毛利率&amp;業外" sheetId="3" r:id="rId5"/>
    <sheet name="營業費用" sheetId="2" r:id="rId6"/>
    <sheet name="每股盈餘(EPS)" sheetId="4" r:id="rId7"/>
    <sheet name="財報健檢" sheetId="15" r:id="rId8"/>
    <sheet name="股息&amp;現金流" sheetId="9" r:id="rId9"/>
    <sheet name="籌碼" sheetId="10" r:id="rId10"/>
    <sheet name="期貨籌碼" sheetId="13" r:id="rId11"/>
    <sheet name="排行榜" sheetId="11" r:id="rId12"/>
    <sheet name="市值排行" sheetId="12" r:id="rId13"/>
    <sheet name="證券編碼查詢" sheetId="8" r:id="rId14"/>
    <sheet name="減資一覽表" sheetId="7" r:id="rId15"/>
  </sheets>
  <definedNames>
    <definedName name="_xlnm._FilterDatabase" localSheetId="1" hidden="1">股價預估!$V$70:$X$79</definedName>
    <definedName name="Z_42BCD50F_3474_4FFC_8C97_E68652B0A70A_.wvu.FilterData" localSheetId="1" hidden="1">股價預估!$R$69:$T$78</definedName>
    <definedName name="Z_9C82ABF7_6871_4D8C_A843_D78906B49403_.wvu.FilterData" localSheetId="1" hidden="1">股價預估!$V$70:$X$79</definedName>
  </definedNames>
  <calcPr calcId="191029"/>
  <customWorkbookViews>
    <customWorkbookView name="本益比標準差" guid="{9C82ABF7-6871-4D8C-A843-D78906B49403}" maximized="1" windowWidth="0" windowHeight="0" activeSheetId="0"/>
    <customWorkbookView name="本益比河流圖" guid="{42BCD50F-3474-4FFC-8C97-E68652B0A70A}" maximized="1" windowWidth="0" windowHeight="0" activeSheetId="0"/>
  </customWorkbookViews>
</workbook>
</file>

<file path=xl/calcChain.xml><?xml version="1.0" encoding="utf-8"?>
<calcChain xmlns="http://schemas.openxmlformats.org/spreadsheetml/2006/main">
  <c r="E37" i="1" l="1"/>
  <c r="D8" i="6" l="1"/>
  <c r="B36" i="15"/>
  <c r="D34" i="15"/>
  <c r="C34" i="15"/>
  <c r="B34" i="15"/>
  <c r="D33" i="15"/>
  <c r="C33" i="15"/>
  <c r="B33" i="15"/>
  <c r="D32" i="15"/>
  <c r="D27" i="15"/>
  <c r="C27" i="15"/>
  <c r="B27" i="15"/>
  <c r="D24" i="15"/>
  <c r="C24" i="15"/>
  <c r="B24" i="15"/>
  <c r="D23" i="15"/>
  <c r="C23" i="15"/>
  <c r="B23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7" i="15"/>
  <c r="E7" i="15"/>
  <c r="F6" i="15"/>
  <c r="E6" i="15"/>
  <c r="F5" i="15"/>
  <c r="E5" i="15"/>
  <c r="O79" i="13"/>
  <c r="N79" i="13"/>
  <c r="M79" i="13"/>
  <c r="L79" i="13"/>
  <c r="K79" i="13"/>
  <c r="J79" i="13"/>
  <c r="I79" i="13"/>
  <c r="H79" i="13"/>
  <c r="G79" i="13"/>
  <c r="F79" i="13"/>
  <c r="E79" i="13"/>
  <c r="D79" i="13"/>
  <c r="A79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A76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A73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B70" i="13"/>
  <c r="A70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B67" i="13"/>
  <c r="A67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A64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X61" i="13"/>
  <c r="W61" i="13"/>
  <c r="V61" i="13"/>
  <c r="U61" i="13"/>
  <c r="T61" i="13"/>
  <c r="S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A61" i="13"/>
  <c r="X60" i="13"/>
  <c r="W60" i="13"/>
  <c r="V60" i="13"/>
  <c r="U60" i="13"/>
  <c r="T60" i="13"/>
  <c r="S60" i="13"/>
  <c r="R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X59" i="13"/>
  <c r="W59" i="13"/>
  <c r="V59" i="13"/>
  <c r="U59" i="13"/>
  <c r="T59" i="13"/>
  <c r="S59" i="13"/>
  <c r="R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X58" i="13"/>
  <c r="W58" i="13"/>
  <c r="V58" i="13"/>
  <c r="U58" i="13"/>
  <c r="T58" i="13"/>
  <c r="S58" i="13"/>
  <c r="R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A58" i="13"/>
  <c r="X57" i="13"/>
  <c r="W57" i="13"/>
  <c r="V57" i="13"/>
  <c r="U57" i="13"/>
  <c r="T57" i="13"/>
  <c r="S57" i="13"/>
  <c r="R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X56" i="13"/>
  <c r="W56" i="13"/>
  <c r="V56" i="13"/>
  <c r="U56" i="13"/>
  <c r="T56" i="13"/>
  <c r="S56" i="13"/>
  <c r="R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A55" i="13"/>
  <c r="X54" i="13"/>
  <c r="W54" i="13"/>
  <c r="V54" i="13"/>
  <c r="U54" i="13"/>
  <c r="T54" i="13"/>
  <c r="S54" i="13"/>
  <c r="R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X53" i="13"/>
  <c r="W53" i="13"/>
  <c r="V53" i="13"/>
  <c r="U53" i="13"/>
  <c r="T53" i="13"/>
  <c r="S53" i="13"/>
  <c r="R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A52" i="13"/>
  <c r="X51" i="13"/>
  <c r="W51" i="13"/>
  <c r="V51" i="13"/>
  <c r="U51" i="13"/>
  <c r="T51" i="13"/>
  <c r="S51" i="13"/>
  <c r="R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X50" i="13"/>
  <c r="W50" i="13"/>
  <c r="V50" i="13"/>
  <c r="U50" i="13"/>
  <c r="T50" i="13"/>
  <c r="S50" i="13"/>
  <c r="R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A49" i="13"/>
  <c r="X48" i="13"/>
  <c r="W48" i="13"/>
  <c r="V48" i="13"/>
  <c r="U48" i="13"/>
  <c r="T48" i="13"/>
  <c r="S48" i="13"/>
  <c r="R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X47" i="13"/>
  <c r="W47" i="13"/>
  <c r="V47" i="13"/>
  <c r="U47" i="13"/>
  <c r="T47" i="13"/>
  <c r="S47" i="13"/>
  <c r="R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A46" i="13"/>
  <c r="X45" i="13"/>
  <c r="W45" i="13"/>
  <c r="V45" i="13"/>
  <c r="U45" i="13"/>
  <c r="T45" i="13"/>
  <c r="S45" i="13"/>
  <c r="R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X44" i="13"/>
  <c r="W44" i="13"/>
  <c r="V44" i="13"/>
  <c r="U44" i="13"/>
  <c r="T44" i="13"/>
  <c r="S44" i="13"/>
  <c r="R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A43" i="13"/>
  <c r="X42" i="13"/>
  <c r="W42" i="13"/>
  <c r="V42" i="13"/>
  <c r="U42" i="13"/>
  <c r="T42" i="13"/>
  <c r="S42" i="13"/>
  <c r="R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X41" i="13"/>
  <c r="W41" i="13"/>
  <c r="V41" i="13"/>
  <c r="U41" i="13"/>
  <c r="T41" i="13"/>
  <c r="S41" i="13"/>
  <c r="R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X39" i="13"/>
  <c r="W39" i="13"/>
  <c r="V39" i="13"/>
  <c r="U39" i="13"/>
  <c r="T39" i="13"/>
  <c r="S39" i="13"/>
  <c r="R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X38" i="13"/>
  <c r="W38" i="13"/>
  <c r="V38" i="13"/>
  <c r="U38" i="13"/>
  <c r="T38" i="13"/>
  <c r="S38" i="13"/>
  <c r="R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X36" i="13"/>
  <c r="W36" i="13"/>
  <c r="V36" i="13"/>
  <c r="U36" i="13"/>
  <c r="T36" i="13"/>
  <c r="S36" i="13"/>
  <c r="R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X35" i="13"/>
  <c r="W35" i="13"/>
  <c r="V35" i="13"/>
  <c r="U35" i="13"/>
  <c r="T35" i="13"/>
  <c r="S35" i="13"/>
  <c r="R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X33" i="13"/>
  <c r="W33" i="13"/>
  <c r="V33" i="13"/>
  <c r="U33" i="13"/>
  <c r="T33" i="13"/>
  <c r="S33" i="13"/>
  <c r="R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X32" i="13"/>
  <c r="W32" i="13"/>
  <c r="V32" i="13"/>
  <c r="U32" i="13"/>
  <c r="T32" i="13"/>
  <c r="S32" i="13"/>
  <c r="R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X30" i="13"/>
  <c r="W30" i="13"/>
  <c r="V30" i="13"/>
  <c r="U30" i="13"/>
  <c r="T30" i="13"/>
  <c r="S30" i="13"/>
  <c r="R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X29" i="13"/>
  <c r="W29" i="13"/>
  <c r="V29" i="13"/>
  <c r="U29" i="13"/>
  <c r="T29" i="13"/>
  <c r="S29" i="13"/>
  <c r="R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X27" i="13"/>
  <c r="W27" i="13"/>
  <c r="V27" i="13"/>
  <c r="U27" i="13"/>
  <c r="T27" i="13"/>
  <c r="S27" i="13"/>
  <c r="R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X26" i="13"/>
  <c r="W26" i="13"/>
  <c r="V26" i="13"/>
  <c r="U26" i="13"/>
  <c r="T26" i="13"/>
  <c r="S26" i="13"/>
  <c r="R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X24" i="13"/>
  <c r="W24" i="13"/>
  <c r="V24" i="13"/>
  <c r="U24" i="13"/>
  <c r="T24" i="13"/>
  <c r="S24" i="13"/>
  <c r="R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X23" i="13"/>
  <c r="W23" i="13"/>
  <c r="V23" i="13"/>
  <c r="U23" i="13"/>
  <c r="T23" i="13"/>
  <c r="S23" i="13"/>
  <c r="R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X21" i="13"/>
  <c r="W21" i="13"/>
  <c r="V21" i="13"/>
  <c r="U21" i="13"/>
  <c r="T21" i="13"/>
  <c r="S21" i="13"/>
  <c r="R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X20" i="13"/>
  <c r="W20" i="13"/>
  <c r="V20" i="13"/>
  <c r="U20" i="13"/>
  <c r="T20" i="13"/>
  <c r="S20" i="13"/>
  <c r="R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X18" i="13"/>
  <c r="W18" i="13"/>
  <c r="V18" i="13"/>
  <c r="U18" i="13"/>
  <c r="T18" i="13"/>
  <c r="S18" i="13"/>
  <c r="R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X17" i="13"/>
  <c r="W17" i="13"/>
  <c r="V17" i="13"/>
  <c r="U17" i="13"/>
  <c r="T17" i="13"/>
  <c r="S17" i="13"/>
  <c r="R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X15" i="13"/>
  <c r="W15" i="13"/>
  <c r="V15" i="13"/>
  <c r="U15" i="13"/>
  <c r="T15" i="13"/>
  <c r="S15" i="13"/>
  <c r="R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X14" i="13"/>
  <c r="W14" i="13"/>
  <c r="V14" i="13"/>
  <c r="U14" i="13"/>
  <c r="T14" i="13"/>
  <c r="S14" i="13"/>
  <c r="R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X12" i="13"/>
  <c r="W12" i="13"/>
  <c r="V12" i="13"/>
  <c r="U12" i="13"/>
  <c r="T12" i="13"/>
  <c r="S12" i="13"/>
  <c r="R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X11" i="13"/>
  <c r="W11" i="13"/>
  <c r="V11" i="13"/>
  <c r="U11" i="13"/>
  <c r="T11" i="13"/>
  <c r="S11" i="13"/>
  <c r="R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X9" i="13"/>
  <c r="W9" i="13"/>
  <c r="V9" i="13"/>
  <c r="U9" i="13"/>
  <c r="T9" i="13"/>
  <c r="S9" i="13"/>
  <c r="R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X8" i="13"/>
  <c r="W8" i="13"/>
  <c r="V8" i="13"/>
  <c r="U8" i="13"/>
  <c r="T8" i="13"/>
  <c r="S8" i="13"/>
  <c r="R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W5" i="13"/>
  <c r="U5" i="13"/>
  <c r="S5" i="13"/>
  <c r="N5" i="13"/>
  <c r="L5" i="13"/>
  <c r="J5" i="13"/>
  <c r="H5" i="13"/>
  <c r="F5" i="13"/>
  <c r="D5" i="13"/>
  <c r="S4" i="13"/>
  <c r="P4" i="13"/>
  <c r="J4" i="13"/>
  <c r="D4" i="13"/>
  <c r="A4" i="13"/>
  <c r="P3" i="13"/>
  <c r="A3" i="13"/>
  <c r="A1" i="13" s="1"/>
  <c r="P2" i="13"/>
  <c r="A2" i="13"/>
  <c r="H535" i="12"/>
  <c r="G535" i="12"/>
  <c r="F535" i="12"/>
  <c r="E535" i="12"/>
  <c r="D535" i="12"/>
  <c r="C535" i="12"/>
  <c r="B535" i="12"/>
  <c r="A535" i="12"/>
  <c r="H534" i="12"/>
  <c r="G534" i="12"/>
  <c r="F534" i="12"/>
  <c r="E534" i="12"/>
  <c r="D534" i="12"/>
  <c r="C534" i="12"/>
  <c r="B534" i="12"/>
  <c r="A534" i="12"/>
  <c r="H533" i="12"/>
  <c r="G533" i="12"/>
  <c r="F533" i="12"/>
  <c r="E533" i="12"/>
  <c r="D533" i="12"/>
  <c r="C533" i="12"/>
  <c r="B533" i="12"/>
  <c r="A533" i="12"/>
  <c r="H532" i="12"/>
  <c r="G532" i="12"/>
  <c r="F532" i="12"/>
  <c r="E532" i="12"/>
  <c r="D532" i="12"/>
  <c r="C532" i="12"/>
  <c r="B532" i="12"/>
  <c r="A532" i="12"/>
  <c r="H531" i="12"/>
  <c r="G531" i="12"/>
  <c r="F531" i="12"/>
  <c r="E531" i="12"/>
  <c r="D531" i="12"/>
  <c r="C531" i="12"/>
  <c r="B531" i="12"/>
  <c r="A531" i="12"/>
  <c r="H530" i="12"/>
  <c r="G530" i="12"/>
  <c r="F530" i="12"/>
  <c r="E530" i="12"/>
  <c r="D530" i="12"/>
  <c r="C530" i="12"/>
  <c r="B530" i="12"/>
  <c r="A530" i="12"/>
  <c r="H529" i="12"/>
  <c r="G529" i="12"/>
  <c r="F529" i="12"/>
  <c r="E529" i="12"/>
  <c r="D529" i="12"/>
  <c r="C529" i="12"/>
  <c r="B529" i="12"/>
  <c r="A529" i="12"/>
  <c r="H528" i="12"/>
  <c r="G528" i="12"/>
  <c r="F528" i="12"/>
  <c r="E528" i="12"/>
  <c r="D528" i="12"/>
  <c r="C528" i="12"/>
  <c r="B528" i="12"/>
  <c r="A528" i="12"/>
  <c r="H527" i="12"/>
  <c r="G527" i="12"/>
  <c r="F527" i="12"/>
  <c r="E527" i="12"/>
  <c r="D527" i="12"/>
  <c r="C527" i="12"/>
  <c r="B527" i="12"/>
  <c r="A527" i="12"/>
  <c r="H526" i="12"/>
  <c r="G526" i="12"/>
  <c r="F526" i="12"/>
  <c r="E526" i="12"/>
  <c r="D526" i="12"/>
  <c r="C526" i="12"/>
  <c r="B526" i="12"/>
  <c r="A526" i="12"/>
  <c r="H525" i="12"/>
  <c r="G525" i="12"/>
  <c r="F525" i="12"/>
  <c r="E525" i="12"/>
  <c r="D525" i="12"/>
  <c r="C525" i="12"/>
  <c r="B525" i="12"/>
  <c r="A525" i="12"/>
  <c r="H524" i="12"/>
  <c r="G524" i="12"/>
  <c r="F524" i="12"/>
  <c r="E524" i="12"/>
  <c r="D524" i="12"/>
  <c r="C524" i="12"/>
  <c r="B524" i="12"/>
  <c r="A524" i="12"/>
  <c r="H523" i="12"/>
  <c r="G523" i="12"/>
  <c r="F523" i="12"/>
  <c r="E523" i="12"/>
  <c r="D523" i="12"/>
  <c r="C523" i="12"/>
  <c r="B523" i="12"/>
  <c r="A523" i="12"/>
  <c r="H522" i="12"/>
  <c r="G522" i="12"/>
  <c r="F522" i="12"/>
  <c r="E522" i="12"/>
  <c r="D522" i="12"/>
  <c r="C522" i="12"/>
  <c r="B522" i="12"/>
  <c r="A522" i="12"/>
  <c r="H521" i="12"/>
  <c r="G521" i="12"/>
  <c r="F521" i="12"/>
  <c r="E521" i="12"/>
  <c r="D521" i="12"/>
  <c r="C521" i="12"/>
  <c r="B521" i="12"/>
  <c r="A521" i="12"/>
  <c r="H520" i="12"/>
  <c r="G520" i="12"/>
  <c r="F520" i="12"/>
  <c r="E520" i="12"/>
  <c r="D520" i="12"/>
  <c r="C520" i="12"/>
  <c r="B520" i="12"/>
  <c r="A520" i="12"/>
  <c r="H519" i="12"/>
  <c r="G519" i="12"/>
  <c r="F519" i="12"/>
  <c r="E519" i="12"/>
  <c r="D519" i="12"/>
  <c r="C519" i="12"/>
  <c r="B519" i="12"/>
  <c r="A519" i="12"/>
  <c r="H518" i="12"/>
  <c r="G518" i="12"/>
  <c r="F518" i="12"/>
  <c r="E518" i="12"/>
  <c r="D518" i="12"/>
  <c r="C518" i="12"/>
  <c r="B518" i="12"/>
  <c r="A518" i="12"/>
  <c r="H517" i="12"/>
  <c r="G517" i="12"/>
  <c r="F517" i="12"/>
  <c r="E517" i="12"/>
  <c r="D517" i="12"/>
  <c r="C517" i="12"/>
  <c r="B517" i="12"/>
  <c r="A517" i="12"/>
  <c r="H516" i="12"/>
  <c r="G516" i="12"/>
  <c r="F516" i="12"/>
  <c r="E516" i="12"/>
  <c r="D516" i="12"/>
  <c r="C516" i="12"/>
  <c r="B516" i="12"/>
  <c r="A516" i="12"/>
  <c r="H515" i="12"/>
  <c r="G515" i="12"/>
  <c r="F515" i="12"/>
  <c r="E515" i="12"/>
  <c r="D515" i="12"/>
  <c r="C515" i="12"/>
  <c r="B515" i="12"/>
  <c r="A515" i="12"/>
  <c r="H514" i="12"/>
  <c r="G514" i="12"/>
  <c r="F514" i="12"/>
  <c r="E514" i="12"/>
  <c r="D514" i="12"/>
  <c r="C514" i="12"/>
  <c r="B514" i="12"/>
  <c r="A514" i="12"/>
  <c r="H513" i="12"/>
  <c r="G513" i="12"/>
  <c r="F513" i="12"/>
  <c r="E513" i="12"/>
  <c r="D513" i="12"/>
  <c r="C513" i="12"/>
  <c r="B513" i="12"/>
  <c r="A513" i="12"/>
  <c r="H512" i="12"/>
  <c r="G512" i="12"/>
  <c r="F512" i="12"/>
  <c r="E512" i="12"/>
  <c r="D512" i="12"/>
  <c r="C512" i="12"/>
  <c r="B512" i="12"/>
  <c r="A512" i="12"/>
  <c r="H511" i="12"/>
  <c r="G511" i="12"/>
  <c r="F511" i="12"/>
  <c r="E511" i="12"/>
  <c r="D511" i="12"/>
  <c r="C511" i="12"/>
  <c r="B511" i="12"/>
  <c r="A511" i="12"/>
  <c r="H510" i="12"/>
  <c r="G510" i="12"/>
  <c r="F510" i="12"/>
  <c r="E510" i="12"/>
  <c r="D510" i="12"/>
  <c r="C510" i="12"/>
  <c r="B510" i="12"/>
  <c r="A510" i="12"/>
  <c r="H509" i="12"/>
  <c r="G509" i="12"/>
  <c r="F509" i="12"/>
  <c r="E509" i="12"/>
  <c r="D509" i="12"/>
  <c r="C509" i="12"/>
  <c r="B509" i="12"/>
  <c r="A509" i="12"/>
  <c r="H508" i="12"/>
  <c r="G508" i="12"/>
  <c r="F508" i="12"/>
  <c r="E508" i="12"/>
  <c r="D508" i="12"/>
  <c r="C508" i="12"/>
  <c r="B508" i="12"/>
  <c r="A508" i="12"/>
  <c r="H507" i="12"/>
  <c r="G507" i="12"/>
  <c r="F507" i="12"/>
  <c r="E507" i="12"/>
  <c r="D507" i="12"/>
  <c r="C507" i="12"/>
  <c r="B507" i="12"/>
  <c r="A507" i="12"/>
  <c r="H506" i="12"/>
  <c r="G506" i="12"/>
  <c r="F506" i="12"/>
  <c r="E506" i="12"/>
  <c r="D506" i="12"/>
  <c r="C506" i="12"/>
  <c r="B506" i="12"/>
  <c r="A506" i="12"/>
  <c r="H505" i="12"/>
  <c r="G505" i="12"/>
  <c r="F505" i="12"/>
  <c r="E505" i="12"/>
  <c r="D505" i="12"/>
  <c r="C505" i="12"/>
  <c r="B505" i="12"/>
  <c r="A505" i="12"/>
  <c r="H504" i="12"/>
  <c r="G504" i="12"/>
  <c r="F504" i="12"/>
  <c r="E504" i="12"/>
  <c r="D504" i="12"/>
  <c r="C504" i="12"/>
  <c r="B504" i="12"/>
  <c r="A504" i="12"/>
  <c r="H503" i="12"/>
  <c r="G503" i="12"/>
  <c r="F503" i="12"/>
  <c r="E503" i="12"/>
  <c r="D503" i="12"/>
  <c r="C503" i="12"/>
  <c r="B503" i="12"/>
  <c r="A503" i="12"/>
  <c r="H502" i="12"/>
  <c r="G502" i="12"/>
  <c r="F502" i="12"/>
  <c r="E502" i="12"/>
  <c r="D502" i="12"/>
  <c r="C502" i="12"/>
  <c r="B502" i="12"/>
  <c r="A502" i="12"/>
  <c r="H501" i="12"/>
  <c r="G501" i="12"/>
  <c r="F501" i="12"/>
  <c r="E501" i="12"/>
  <c r="D501" i="12"/>
  <c r="C501" i="12"/>
  <c r="B501" i="12"/>
  <c r="A501" i="12"/>
  <c r="H500" i="12"/>
  <c r="G500" i="12"/>
  <c r="F500" i="12"/>
  <c r="E500" i="12"/>
  <c r="D500" i="12"/>
  <c r="C500" i="12"/>
  <c r="B500" i="12"/>
  <c r="A500" i="12"/>
  <c r="H499" i="12"/>
  <c r="G499" i="12"/>
  <c r="F499" i="12"/>
  <c r="E499" i="12"/>
  <c r="D499" i="12"/>
  <c r="C499" i="12"/>
  <c r="B499" i="12"/>
  <c r="A499" i="12"/>
  <c r="H498" i="12"/>
  <c r="G498" i="12"/>
  <c r="F498" i="12"/>
  <c r="E498" i="12"/>
  <c r="D498" i="12"/>
  <c r="C498" i="12"/>
  <c r="B498" i="12"/>
  <c r="A498" i="12"/>
  <c r="H497" i="12"/>
  <c r="G497" i="12"/>
  <c r="F497" i="12"/>
  <c r="E497" i="12"/>
  <c r="D497" i="12"/>
  <c r="C497" i="12"/>
  <c r="B497" i="12"/>
  <c r="A497" i="12"/>
  <c r="H496" i="12"/>
  <c r="G496" i="12"/>
  <c r="F496" i="12"/>
  <c r="E496" i="12"/>
  <c r="D496" i="12"/>
  <c r="C496" i="12"/>
  <c r="B496" i="12"/>
  <c r="A496" i="12"/>
  <c r="H495" i="12"/>
  <c r="G495" i="12"/>
  <c r="F495" i="12"/>
  <c r="E495" i="12"/>
  <c r="D495" i="12"/>
  <c r="C495" i="12"/>
  <c r="B495" i="12"/>
  <c r="A495" i="12"/>
  <c r="H494" i="12"/>
  <c r="G494" i="12"/>
  <c r="F494" i="12"/>
  <c r="E494" i="12"/>
  <c r="D494" i="12"/>
  <c r="C494" i="12"/>
  <c r="B494" i="12"/>
  <c r="A494" i="12"/>
  <c r="H493" i="12"/>
  <c r="G493" i="12"/>
  <c r="F493" i="12"/>
  <c r="E493" i="12"/>
  <c r="D493" i="12"/>
  <c r="C493" i="12"/>
  <c r="B493" i="12"/>
  <c r="A493" i="12"/>
  <c r="H492" i="12"/>
  <c r="G492" i="12"/>
  <c r="F492" i="12"/>
  <c r="E492" i="12"/>
  <c r="D492" i="12"/>
  <c r="C492" i="12"/>
  <c r="B492" i="12"/>
  <c r="A492" i="12"/>
  <c r="H491" i="12"/>
  <c r="G491" i="12"/>
  <c r="F491" i="12"/>
  <c r="E491" i="12"/>
  <c r="D491" i="12"/>
  <c r="C491" i="12"/>
  <c r="B491" i="12"/>
  <c r="A491" i="12"/>
  <c r="H490" i="12"/>
  <c r="G490" i="12"/>
  <c r="F490" i="12"/>
  <c r="E490" i="12"/>
  <c r="D490" i="12"/>
  <c r="C490" i="12"/>
  <c r="B490" i="12"/>
  <c r="A490" i="12"/>
  <c r="H489" i="12"/>
  <c r="G489" i="12"/>
  <c r="F489" i="12"/>
  <c r="E489" i="12"/>
  <c r="D489" i="12"/>
  <c r="C489" i="12"/>
  <c r="B489" i="12"/>
  <c r="A489" i="12"/>
  <c r="H488" i="12"/>
  <c r="G488" i="12"/>
  <c r="F488" i="12"/>
  <c r="E488" i="12"/>
  <c r="D488" i="12"/>
  <c r="C488" i="12"/>
  <c r="B488" i="12"/>
  <c r="A488" i="12"/>
  <c r="H487" i="12"/>
  <c r="G487" i="12"/>
  <c r="F487" i="12"/>
  <c r="E487" i="12"/>
  <c r="D487" i="12"/>
  <c r="C487" i="12"/>
  <c r="B487" i="12"/>
  <c r="A487" i="12"/>
  <c r="H486" i="12"/>
  <c r="G486" i="12"/>
  <c r="F486" i="12"/>
  <c r="E486" i="12"/>
  <c r="D486" i="12"/>
  <c r="C486" i="12"/>
  <c r="B486" i="12"/>
  <c r="A486" i="12"/>
  <c r="H485" i="12"/>
  <c r="G485" i="12"/>
  <c r="F485" i="12"/>
  <c r="E485" i="12"/>
  <c r="D485" i="12"/>
  <c r="C485" i="12"/>
  <c r="B485" i="12"/>
  <c r="A485" i="12"/>
  <c r="H484" i="12"/>
  <c r="G484" i="12"/>
  <c r="F484" i="12"/>
  <c r="E484" i="12"/>
  <c r="D484" i="12"/>
  <c r="C484" i="12"/>
  <c r="B484" i="12"/>
  <c r="A484" i="12"/>
  <c r="H483" i="12"/>
  <c r="G483" i="12"/>
  <c r="F483" i="12"/>
  <c r="E483" i="12"/>
  <c r="D483" i="12"/>
  <c r="C483" i="12"/>
  <c r="B483" i="12"/>
  <c r="A483" i="12"/>
  <c r="H482" i="12"/>
  <c r="G482" i="12"/>
  <c r="F482" i="12"/>
  <c r="E482" i="12"/>
  <c r="D482" i="12"/>
  <c r="C482" i="12"/>
  <c r="B482" i="12"/>
  <c r="A482" i="12"/>
  <c r="H481" i="12"/>
  <c r="G481" i="12"/>
  <c r="F481" i="12"/>
  <c r="E481" i="12"/>
  <c r="D481" i="12"/>
  <c r="C481" i="12"/>
  <c r="B481" i="12"/>
  <c r="A481" i="12"/>
  <c r="H480" i="12"/>
  <c r="G480" i="12"/>
  <c r="F480" i="12"/>
  <c r="E480" i="12"/>
  <c r="D480" i="12"/>
  <c r="C480" i="12"/>
  <c r="B480" i="12"/>
  <c r="A480" i="12"/>
  <c r="H479" i="12"/>
  <c r="G479" i="12"/>
  <c r="F479" i="12"/>
  <c r="E479" i="12"/>
  <c r="D479" i="12"/>
  <c r="C479" i="12"/>
  <c r="B479" i="12"/>
  <c r="A479" i="12"/>
  <c r="H478" i="12"/>
  <c r="G478" i="12"/>
  <c r="F478" i="12"/>
  <c r="E478" i="12"/>
  <c r="D478" i="12"/>
  <c r="C478" i="12"/>
  <c r="B478" i="12"/>
  <c r="A478" i="12"/>
  <c r="H477" i="12"/>
  <c r="G477" i="12"/>
  <c r="F477" i="12"/>
  <c r="E477" i="12"/>
  <c r="D477" i="12"/>
  <c r="C477" i="12"/>
  <c r="B477" i="12"/>
  <c r="A477" i="12"/>
  <c r="H476" i="12"/>
  <c r="G476" i="12"/>
  <c r="F476" i="12"/>
  <c r="E476" i="12"/>
  <c r="D476" i="12"/>
  <c r="C476" i="12"/>
  <c r="B476" i="12"/>
  <c r="A476" i="12"/>
  <c r="H475" i="12"/>
  <c r="G475" i="12"/>
  <c r="F475" i="12"/>
  <c r="E475" i="12"/>
  <c r="D475" i="12"/>
  <c r="C475" i="12"/>
  <c r="B475" i="12"/>
  <c r="A475" i="12"/>
  <c r="H474" i="12"/>
  <c r="G474" i="12"/>
  <c r="F474" i="12"/>
  <c r="E474" i="12"/>
  <c r="D474" i="12"/>
  <c r="C474" i="12"/>
  <c r="B474" i="12"/>
  <c r="A474" i="12"/>
  <c r="H473" i="12"/>
  <c r="G473" i="12"/>
  <c r="F473" i="12"/>
  <c r="E473" i="12"/>
  <c r="D473" i="12"/>
  <c r="C473" i="12"/>
  <c r="B473" i="12"/>
  <c r="A473" i="12"/>
  <c r="H472" i="12"/>
  <c r="G472" i="12"/>
  <c r="F472" i="12"/>
  <c r="E472" i="12"/>
  <c r="D472" i="12"/>
  <c r="C472" i="12"/>
  <c r="B472" i="12"/>
  <c r="A472" i="12"/>
  <c r="H471" i="12"/>
  <c r="G471" i="12"/>
  <c r="F471" i="12"/>
  <c r="E471" i="12"/>
  <c r="D471" i="12"/>
  <c r="C471" i="12"/>
  <c r="B471" i="12"/>
  <c r="A471" i="12"/>
  <c r="H470" i="12"/>
  <c r="G470" i="12"/>
  <c r="F470" i="12"/>
  <c r="E470" i="12"/>
  <c r="D470" i="12"/>
  <c r="C470" i="12"/>
  <c r="B470" i="12"/>
  <c r="A470" i="12"/>
  <c r="H469" i="12"/>
  <c r="G469" i="12"/>
  <c r="F469" i="12"/>
  <c r="E469" i="12"/>
  <c r="D469" i="12"/>
  <c r="C469" i="12"/>
  <c r="B469" i="12"/>
  <c r="A469" i="12"/>
  <c r="H468" i="12"/>
  <c r="G468" i="12"/>
  <c r="F468" i="12"/>
  <c r="E468" i="12"/>
  <c r="D468" i="12"/>
  <c r="C468" i="12"/>
  <c r="B468" i="12"/>
  <c r="A468" i="12"/>
  <c r="H467" i="12"/>
  <c r="G467" i="12"/>
  <c r="F467" i="12"/>
  <c r="E467" i="12"/>
  <c r="D467" i="12"/>
  <c r="C467" i="12"/>
  <c r="B467" i="12"/>
  <c r="A467" i="12"/>
  <c r="H466" i="12"/>
  <c r="G466" i="12"/>
  <c r="F466" i="12"/>
  <c r="E466" i="12"/>
  <c r="D466" i="12"/>
  <c r="C466" i="12"/>
  <c r="B466" i="12"/>
  <c r="A466" i="12"/>
  <c r="H465" i="12"/>
  <c r="G465" i="12"/>
  <c r="F465" i="12"/>
  <c r="E465" i="12"/>
  <c r="D465" i="12"/>
  <c r="C465" i="12"/>
  <c r="B465" i="12"/>
  <c r="A465" i="12"/>
  <c r="H464" i="12"/>
  <c r="G464" i="12"/>
  <c r="F464" i="12"/>
  <c r="E464" i="12"/>
  <c r="D464" i="12"/>
  <c r="C464" i="12"/>
  <c r="B464" i="12"/>
  <c r="A464" i="12"/>
  <c r="H463" i="12"/>
  <c r="G463" i="12"/>
  <c r="F463" i="12"/>
  <c r="E463" i="12"/>
  <c r="D463" i="12"/>
  <c r="C463" i="12"/>
  <c r="B463" i="12"/>
  <c r="A463" i="12"/>
  <c r="H462" i="12"/>
  <c r="G462" i="12"/>
  <c r="F462" i="12"/>
  <c r="E462" i="12"/>
  <c r="D462" i="12"/>
  <c r="C462" i="12"/>
  <c r="B462" i="12"/>
  <c r="A462" i="12"/>
  <c r="H461" i="12"/>
  <c r="G461" i="12"/>
  <c r="F461" i="12"/>
  <c r="E461" i="12"/>
  <c r="D461" i="12"/>
  <c r="C461" i="12"/>
  <c r="B461" i="12"/>
  <c r="A461" i="12"/>
  <c r="H460" i="12"/>
  <c r="G460" i="12"/>
  <c r="F460" i="12"/>
  <c r="E460" i="12"/>
  <c r="D460" i="12"/>
  <c r="C460" i="12"/>
  <c r="B460" i="12"/>
  <c r="A460" i="12"/>
  <c r="H459" i="12"/>
  <c r="G459" i="12"/>
  <c r="F459" i="12"/>
  <c r="E459" i="12"/>
  <c r="D459" i="12"/>
  <c r="C459" i="12"/>
  <c r="B459" i="12"/>
  <c r="A459" i="12"/>
  <c r="H458" i="12"/>
  <c r="G458" i="12"/>
  <c r="F458" i="12"/>
  <c r="E458" i="12"/>
  <c r="D458" i="12"/>
  <c r="C458" i="12"/>
  <c r="B458" i="12"/>
  <c r="A458" i="12"/>
  <c r="H457" i="12"/>
  <c r="G457" i="12"/>
  <c r="F457" i="12"/>
  <c r="E457" i="12"/>
  <c r="D457" i="12"/>
  <c r="C457" i="12"/>
  <c r="B457" i="12"/>
  <c r="A457" i="12"/>
  <c r="H456" i="12"/>
  <c r="G456" i="12"/>
  <c r="F456" i="12"/>
  <c r="E456" i="12"/>
  <c r="D456" i="12"/>
  <c r="C456" i="12"/>
  <c r="B456" i="12"/>
  <c r="A456" i="12"/>
  <c r="H455" i="12"/>
  <c r="G455" i="12"/>
  <c r="F455" i="12"/>
  <c r="E455" i="12"/>
  <c r="D455" i="12"/>
  <c r="C455" i="12"/>
  <c r="B455" i="12"/>
  <c r="A455" i="12"/>
  <c r="H454" i="12"/>
  <c r="G454" i="12"/>
  <c r="F454" i="12"/>
  <c r="E454" i="12"/>
  <c r="D454" i="12"/>
  <c r="C454" i="12"/>
  <c r="B454" i="12"/>
  <c r="A454" i="12"/>
  <c r="H453" i="12"/>
  <c r="G453" i="12"/>
  <c r="F453" i="12"/>
  <c r="E453" i="12"/>
  <c r="D453" i="12"/>
  <c r="C453" i="12"/>
  <c r="B453" i="12"/>
  <c r="A453" i="12"/>
  <c r="H452" i="12"/>
  <c r="G452" i="12"/>
  <c r="F452" i="12"/>
  <c r="E452" i="12"/>
  <c r="D452" i="12"/>
  <c r="C452" i="12"/>
  <c r="B452" i="12"/>
  <c r="A452" i="12"/>
  <c r="H451" i="12"/>
  <c r="G451" i="12"/>
  <c r="F451" i="12"/>
  <c r="E451" i="12"/>
  <c r="D451" i="12"/>
  <c r="C451" i="12"/>
  <c r="B451" i="12"/>
  <c r="A451" i="12"/>
  <c r="H450" i="12"/>
  <c r="G450" i="12"/>
  <c r="F450" i="12"/>
  <c r="E450" i="12"/>
  <c r="D450" i="12"/>
  <c r="C450" i="12"/>
  <c r="B450" i="12"/>
  <c r="A450" i="12"/>
  <c r="H449" i="12"/>
  <c r="G449" i="12"/>
  <c r="F449" i="12"/>
  <c r="E449" i="12"/>
  <c r="D449" i="12"/>
  <c r="C449" i="12"/>
  <c r="B449" i="12"/>
  <c r="A449" i="12"/>
  <c r="H448" i="12"/>
  <c r="G448" i="12"/>
  <c r="F448" i="12"/>
  <c r="E448" i="12"/>
  <c r="D448" i="12"/>
  <c r="C448" i="12"/>
  <c r="B448" i="12"/>
  <c r="A448" i="12"/>
  <c r="H447" i="12"/>
  <c r="G447" i="12"/>
  <c r="F447" i="12"/>
  <c r="E447" i="12"/>
  <c r="D447" i="12"/>
  <c r="C447" i="12"/>
  <c r="B447" i="12"/>
  <c r="A447" i="12"/>
  <c r="H446" i="12"/>
  <c r="G446" i="12"/>
  <c r="F446" i="12"/>
  <c r="E446" i="12"/>
  <c r="D446" i="12"/>
  <c r="C446" i="12"/>
  <c r="B446" i="12"/>
  <c r="A446" i="12"/>
  <c r="H445" i="12"/>
  <c r="G445" i="12"/>
  <c r="F445" i="12"/>
  <c r="E445" i="12"/>
  <c r="D445" i="12"/>
  <c r="C445" i="12"/>
  <c r="B445" i="12"/>
  <c r="A445" i="12"/>
  <c r="H444" i="12"/>
  <c r="G444" i="12"/>
  <c r="F444" i="12"/>
  <c r="E444" i="12"/>
  <c r="D444" i="12"/>
  <c r="C444" i="12"/>
  <c r="B444" i="12"/>
  <c r="A444" i="12"/>
  <c r="H443" i="12"/>
  <c r="G443" i="12"/>
  <c r="F443" i="12"/>
  <c r="E443" i="12"/>
  <c r="D443" i="12"/>
  <c r="C443" i="12"/>
  <c r="B443" i="12"/>
  <c r="A443" i="12"/>
  <c r="H442" i="12"/>
  <c r="G442" i="12"/>
  <c r="F442" i="12"/>
  <c r="E442" i="12"/>
  <c r="D442" i="12"/>
  <c r="C442" i="12"/>
  <c r="B442" i="12"/>
  <c r="A442" i="12"/>
  <c r="H441" i="12"/>
  <c r="G441" i="12"/>
  <c r="F441" i="12"/>
  <c r="E441" i="12"/>
  <c r="D441" i="12"/>
  <c r="C441" i="12"/>
  <c r="B441" i="12"/>
  <c r="A441" i="12"/>
  <c r="H440" i="12"/>
  <c r="G440" i="12"/>
  <c r="F440" i="12"/>
  <c r="E440" i="12"/>
  <c r="D440" i="12"/>
  <c r="C440" i="12"/>
  <c r="B440" i="12"/>
  <c r="A440" i="12"/>
  <c r="H439" i="12"/>
  <c r="G439" i="12"/>
  <c r="F439" i="12"/>
  <c r="E439" i="12"/>
  <c r="D439" i="12"/>
  <c r="C439" i="12"/>
  <c r="B439" i="12"/>
  <c r="A439" i="12"/>
  <c r="H438" i="12"/>
  <c r="G438" i="12"/>
  <c r="F438" i="12"/>
  <c r="E438" i="12"/>
  <c r="D438" i="12"/>
  <c r="C438" i="12"/>
  <c r="B438" i="12"/>
  <c r="A438" i="12"/>
  <c r="H437" i="12"/>
  <c r="G437" i="12"/>
  <c r="F437" i="12"/>
  <c r="E437" i="12"/>
  <c r="D437" i="12"/>
  <c r="C437" i="12"/>
  <c r="B437" i="12"/>
  <c r="A437" i="12"/>
  <c r="H436" i="12"/>
  <c r="G436" i="12"/>
  <c r="F436" i="12"/>
  <c r="E436" i="12"/>
  <c r="D436" i="12"/>
  <c r="C436" i="12"/>
  <c r="B436" i="12"/>
  <c r="A436" i="12"/>
  <c r="H435" i="12"/>
  <c r="G435" i="12"/>
  <c r="F435" i="12"/>
  <c r="E435" i="12"/>
  <c r="D435" i="12"/>
  <c r="C435" i="12"/>
  <c r="B435" i="12"/>
  <c r="A435" i="12"/>
  <c r="H434" i="12"/>
  <c r="G434" i="12"/>
  <c r="F434" i="12"/>
  <c r="E434" i="12"/>
  <c r="D434" i="12"/>
  <c r="C434" i="12"/>
  <c r="B434" i="12"/>
  <c r="A434" i="12"/>
  <c r="H433" i="12"/>
  <c r="G433" i="12"/>
  <c r="F433" i="12"/>
  <c r="E433" i="12"/>
  <c r="D433" i="12"/>
  <c r="C433" i="12"/>
  <c r="B433" i="12"/>
  <c r="A433" i="12"/>
  <c r="H432" i="12"/>
  <c r="G432" i="12"/>
  <c r="F432" i="12"/>
  <c r="E432" i="12"/>
  <c r="D432" i="12"/>
  <c r="C432" i="12"/>
  <c r="B432" i="12"/>
  <c r="A432" i="12"/>
  <c r="H431" i="12"/>
  <c r="G431" i="12"/>
  <c r="F431" i="12"/>
  <c r="E431" i="12"/>
  <c r="D431" i="12"/>
  <c r="C431" i="12"/>
  <c r="B431" i="12"/>
  <c r="A431" i="12"/>
  <c r="H430" i="12"/>
  <c r="G430" i="12"/>
  <c r="F430" i="12"/>
  <c r="E430" i="12"/>
  <c r="D430" i="12"/>
  <c r="C430" i="12"/>
  <c r="B430" i="12"/>
  <c r="A430" i="12"/>
  <c r="H429" i="12"/>
  <c r="G429" i="12"/>
  <c r="F429" i="12"/>
  <c r="E429" i="12"/>
  <c r="D429" i="12"/>
  <c r="C429" i="12"/>
  <c r="B429" i="12"/>
  <c r="A429" i="12"/>
  <c r="H428" i="12"/>
  <c r="G428" i="12"/>
  <c r="F428" i="12"/>
  <c r="E428" i="12"/>
  <c r="D428" i="12"/>
  <c r="C428" i="12"/>
  <c r="B428" i="12"/>
  <c r="A428" i="12"/>
  <c r="H427" i="12"/>
  <c r="G427" i="12"/>
  <c r="F427" i="12"/>
  <c r="E427" i="12"/>
  <c r="D427" i="12"/>
  <c r="C427" i="12"/>
  <c r="B427" i="12"/>
  <c r="A427" i="12"/>
  <c r="H426" i="12"/>
  <c r="G426" i="12"/>
  <c r="F426" i="12"/>
  <c r="E426" i="12"/>
  <c r="D426" i="12"/>
  <c r="C426" i="12"/>
  <c r="B426" i="12"/>
  <c r="A426" i="12"/>
  <c r="H425" i="12"/>
  <c r="G425" i="12"/>
  <c r="F425" i="12"/>
  <c r="E425" i="12"/>
  <c r="D425" i="12"/>
  <c r="C425" i="12"/>
  <c r="B425" i="12"/>
  <c r="A425" i="12"/>
  <c r="H424" i="12"/>
  <c r="G424" i="12"/>
  <c r="F424" i="12"/>
  <c r="E424" i="12"/>
  <c r="D424" i="12"/>
  <c r="C424" i="12"/>
  <c r="B424" i="12"/>
  <c r="A424" i="12"/>
  <c r="H423" i="12"/>
  <c r="G423" i="12"/>
  <c r="F423" i="12"/>
  <c r="E423" i="12"/>
  <c r="D423" i="12"/>
  <c r="C423" i="12"/>
  <c r="B423" i="12"/>
  <c r="A423" i="12"/>
  <c r="H422" i="12"/>
  <c r="G422" i="12"/>
  <c r="F422" i="12"/>
  <c r="E422" i="12"/>
  <c r="D422" i="12"/>
  <c r="C422" i="12"/>
  <c r="B422" i="12"/>
  <c r="A422" i="12"/>
  <c r="H421" i="12"/>
  <c r="G421" i="12"/>
  <c r="F421" i="12"/>
  <c r="E421" i="12"/>
  <c r="D421" i="12"/>
  <c r="C421" i="12"/>
  <c r="B421" i="12"/>
  <c r="A421" i="12"/>
  <c r="H420" i="12"/>
  <c r="G420" i="12"/>
  <c r="F420" i="12"/>
  <c r="E420" i="12"/>
  <c r="D420" i="12"/>
  <c r="C420" i="12"/>
  <c r="B420" i="12"/>
  <c r="A420" i="12"/>
  <c r="H419" i="12"/>
  <c r="G419" i="12"/>
  <c r="F419" i="12"/>
  <c r="E419" i="12"/>
  <c r="D419" i="12"/>
  <c r="C419" i="12"/>
  <c r="B419" i="12"/>
  <c r="A419" i="12"/>
  <c r="H418" i="12"/>
  <c r="G418" i="12"/>
  <c r="F418" i="12"/>
  <c r="E418" i="12"/>
  <c r="D418" i="12"/>
  <c r="C418" i="12"/>
  <c r="B418" i="12"/>
  <c r="A418" i="12"/>
  <c r="H417" i="12"/>
  <c r="G417" i="12"/>
  <c r="F417" i="12"/>
  <c r="E417" i="12"/>
  <c r="D417" i="12"/>
  <c r="C417" i="12"/>
  <c r="B417" i="12"/>
  <c r="A417" i="12"/>
  <c r="H416" i="12"/>
  <c r="G416" i="12"/>
  <c r="F416" i="12"/>
  <c r="E416" i="12"/>
  <c r="D416" i="12"/>
  <c r="C416" i="12"/>
  <c r="B416" i="12"/>
  <c r="A416" i="12"/>
  <c r="H415" i="12"/>
  <c r="G415" i="12"/>
  <c r="F415" i="12"/>
  <c r="E415" i="12"/>
  <c r="D415" i="12"/>
  <c r="C415" i="12"/>
  <c r="B415" i="12"/>
  <c r="A415" i="12"/>
  <c r="H414" i="12"/>
  <c r="G414" i="12"/>
  <c r="F414" i="12"/>
  <c r="E414" i="12"/>
  <c r="D414" i="12"/>
  <c r="C414" i="12"/>
  <c r="B414" i="12"/>
  <c r="A414" i="12"/>
  <c r="H413" i="12"/>
  <c r="G413" i="12"/>
  <c r="F413" i="12"/>
  <c r="E413" i="12"/>
  <c r="D413" i="12"/>
  <c r="C413" i="12"/>
  <c r="B413" i="12"/>
  <c r="A413" i="12"/>
  <c r="H412" i="12"/>
  <c r="G412" i="12"/>
  <c r="F412" i="12"/>
  <c r="E412" i="12"/>
  <c r="D412" i="12"/>
  <c r="C412" i="12"/>
  <c r="B412" i="12"/>
  <c r="A412" i="12"/>
  <c r="H411" i="12"/>
  <c r="G411" i="12"/>
  <c r="F411" i="12"/>
  <c r="E411" i="12"/>
  <c r="D411" i="12"/>
  <c r="C411" i="12"/>
  <c r="B411" i="12"/>
  <c r="A411" i="12"/>
  <c r="H410" i="12"/>
  <c r="G410" i="12"/>
  <c r="F410" i="12"/>
  <c r="E410" i="12"/>
  <c r="D410" i="12"/>
  <c r="C410" i="12"/>
  <c r="B410" i="12"/>
  <c r="A410" i="12"/>
  <c r="H409" i="12"/>
  <c r="G409" i="12"/>
  <c r="F409" i="12"/>
  <c r="E409" i="12"/>
  <c r="D409" i="12"/>
  <c r="C409" i="12"/>
  <c r="B409" i="12"/>
  <c r="A409" i="12"/>
  <c r="H408" i="12"/>
  <c r="G408" i="12"/>
  <c r="F408" i="12"/>
  <c r="E408" i="12"/>
  <c r="D408" i="12"/>
  <c r="C408" i="12"/>
  <c r="B408" i="12"/>
  <c r="A408" i="12"/>
  <c r="H407" i="12"/>
  <c r="G407" i="12"/>
  <c r="F407" i="12"/>
  <c r="E407" i="12"/>
  <c r="D407" i="12"/>
  <c r="C407" i="12"/>
  <c r="B407" i="12"/>
  <c r="A407" i="12"/>
  <c r="H406" i="12"/>
  <c r="G406" i="12"/>
  <c r="F406" i="12"/>
  <c r="E406" i="12"/>
  <c r="D406" i="12"/>
  <c r="C406" i="12"/>
  <c r="B406" i="12"/>
  <c r="A406" i="12"/>
  <c r="H405" i="12"/>
  <c r="G405" i="12"/>
  <c r="F405" i="12"/>
  <c r="E405" i="12"/>
  <c r="D405" i="12"/>
  <c r="C405" i="12"/>
  <c r="B405" i="12"/>
  <c r="A405" i="12"/>
  <c r="H404" i="12"/>
  <c r="G404" i="12"/>
  <c r="F404" i="12"/>
  <c r="E404" i="12"/>
  <c r="D404" i="12"/>
  <c r="C404" i="12"/>
  <c r="B404" i="12"/>
  <c r="A404" i="12"/>
  <c r="H403" i="12"/>
  <c r="G403" i="12"/>
  <c r="F403" i="12"/>
  <c r="E403" i="12"/>
  <c r="D403" i="12"/>
  <c r="C403" i="12"/>
  <c r="B403" i="12"/>
  <c r="A403" i="12"/>
  <c r="H402" i="12"/>
  <c r="G402" i="12"/>
  <c r="F402" i="12"/>
  <c r="E402" i="12"/>
  <c r="D402" i="12"/>
  <c r="C402" i="12"/>
  <c r="B402" i="12"/>
  <c r="A402" i="12"/>
  <c r="H401" i="12"/>
  <c r="G401" i="12"/>
  <c r="F401" i="12"/>
  <c r="E401" i="12"/>
  <c r="D401" i="12"/>
  <c r="C401" i="12"/>
  <c r="B401" i="12"/>
  <c r="A401" i="12"/>
  <c r="H400" i="12"/>
  <c r="G400" i="12"/>
  <c r="F400" i="12"/>
  <c r="E400" i="12"/>
  <c r="D400" i="12"/>
  <c r="C400" i="12"/>
  <c r="B400" i="12"/>
  <c r="A400" i="12"/>
  <c r="H399" i="12"/>
  <c r="G399" i="12"/>
  <c r="F399" i="12"/>
  <c r="E399" i="12"/>
  <c r="D399" i="12"/>
  <c r="C399" i="12"/>
  <c r="B399" i="12"/>
  <c r="A399" i="12"/>
  <c r="H398" i="12"/>
  <c r="G398" i="12"/>
  <c r="F398" i="12"/>
  <c r="E398" i="12"/>
  <c r="D398" i="12"/>
  <c r="C398" i="12"/>
  <c r="B398" i="12"/>
  <c r="A398" i="12"/>
  <c r="H397" i="12"/>
  <c r="G397" i="12"/>
  <c r="F397" i="12"/>
  <c r="E397" i="12"/>
  <c r="D397" i="12"/>
  <c r="C397" i="12"/>
  <c r="B397" i="12"/>
  <c r="A397" i="12"/>
  <c r="H396" i="12"/>
  <c r="G396" i="12"/>
  <c r="F396" i="12"/>
  <c r="E396" i="12"/>
  <c r="D396" i="12"/>
  <c r="C396" i="12"/>
  <c r="B396" i="12"/>
  <c r="A396" i="12"/>
  <c r="H395" i="12"/>
  <c r="G395" i="12"/>
  <c r="F395" i="12"/>
  <c r="E395" i="12"/>
  <c r="D395" i="12"/>
  <c r="C395" i="12"/>
  <c r="B395" i="12"/>
  <c r="A395" i="12"/>
  <c r="H394" i="12"/>
  <c r="G394" i="12"/>
  <c r="F394" i="12"/>
  <c r="E394" i="12"/>
  <c r="D394" i="12"/>
  <c r="C394" i="12"/>
  <c r="B394" i="12"/>
  <c r="A394" i="12"/>
  <c r="H393" i="12"/>
  <c r="G393" i="12"/>
  <c r="F393" i="12"/>
  <c r="E393" i="12"/>
  <c r="D393" i="12"/>
  <c r="C393" i="12"/>
  <c r="B393" i="12"/>
  <c r="A393" i="12"/>
  <c r="H392" i="12"/>
  <c r="G392" i="12"/>
  <c r="F392" i="12"/>
  <c r="E392" i="12"/>
  <c r="D392" i="12"/>
  <c r="C392" i="12"/>
  <c r="B392" i="12"/>
  <c r="A392" i="12"/>
  <c r="H391" i="12"/>
  <c r="G391" i="12"/>
  <c r="F391" i="12"/>
  <c r="E391" i="12"/>
  <c r="D391" i="12"/>
  <c r="C391" i="12"/>
  <c r="B391" i="12"/>
  <c r="A391" i="12"/>
  <c r="H390" i="12"/>
  <c r="G390" i="12"/>
  <c r="F390" i="12"/>
  <c r="E390" i="12"/>
  <c r="D390" i="12"/>
  <c r="C390" i="12"/>
  <c r="B390" i="12"/>
  <c r="A390" i="12"/>
  <c r="H389" i="12"/>
  <c r="G389" i="12"/>
  <c r="F389" i="12"/>
  <c r="E389" i="12"/>
  <c r="D389" i="12"/>
  <c r="C389" i="12"/>
  <c r="B389" i="12"/>
  <c r="A389" i="12"/>
  <c r="H388" i="12"/>
  <c r="G388" i="12"/>
  <c r="F388" i="12"/>
  <c r="E388" i="12"/>
  <c r="D388" i="12"/>
  <c r="C388" i="12"/>
  <c r="B388" i="12"/>
  <c r="A388" i="12"/>
  <c r="H387" i="12"/>
  <c r="G387" i="12"/>
  <c r="F387" i="12"/>
  <c r="E387" i="12"/>
  <c r="D387" i="12"/>
  <c r="C387" i="12"/>
  <c r="B387" i="12"/>
  <c r="A387" i="12"/>
  <c r="H386" i="12"/>
  <c r="G386" i="12"/>
  <c r="F386" i="12"/>
  <c r="E386" i="12"/>
  <c r="D386" i="12"/>
  <c r="C386" i="12"/>
  <c r="B386" i="12"/>
  <c r="A386" i="12"/>
  <c r="H385" i="12"/>
  <c r="G385" i="12"/>
  <c r="F385" i="12"/>
  <c r="E385" i="12"/>
  <c r="D385" i="12"/>
  <c r="C385" i="12"/>
  <c r="B385" i="12"/>
  <c r="A385" i="12"/>
  <c r="H384" i="12"/>
  <c r="G384" i="12"/>
  <c r="F384" i="12"/>
  <c r="E384" i="12"/>
  <c r="D384" i="12"/>
  <c r="C384" i="12"/>
  <c r="B384" i="12"/>
  <c r="A384" i="12"/>
  <c r="H383" i="12"/>
  <c r="G383" i="12"/>
  <c r="F383" i="12"/>
  <c r="E383" i="12"/>
  <c r="D383" i="12"/>
  <c r="C383" i="12"/>
  <c r="B383" i="12"/>
  <c r="A383" i="12"/>
  <c r="H382" i="12"/>
  <c r="G382" i="12"/>
  <c r="F382" i="12"/>
  <c r="E382" i="12"/>
  <c r="D382" i="12"/>
  <c r="C382" i="12"/>
  <c r="B382" i="12"/>
  <c r="A382" i="12"/>
  <c r="H381" i="12"/>
  <c r="G381" i="12"/>
  <c r="F381" i="12"/>
  <c r="E381" i="12"/>
  <c r="D381" i="12"/>
  <c r="C381" i="12"/>
  <c r="B381" i="12"/>
  <c r="A381" i="12"/>
  <c r="H380" i="12"/>
  <c r="G380" i="12"/>
  <c r="F380" i="12"/>
  <c r="E380" i="12"/>
  <c r="D380" i="12"/>
  <c r="C380" i="12"/>
  <c r="B380" i="12"/>
  <c r="A380" i="12"/>
  <c r="H379" i="12"/>
  <c r="G379" i="12"/>
  <c r="F379" i="12"/>
  <c r="E379" i="12"/>
  <c r="D379" i="12"/>
  <c r="C379" i="12"/>
  <c r="B379" i="12"/>
  <c r="A379" i="12"/>
  <c r="H378" i="12"/>
  <c r="G378" i="12"/>
  <c r="F378" i="12"/>
  <c r="E378" i="12"/>
  <c r="D378" i="12"/>
  <c r="C378" i="12"/>
  <c r="B378" i="12"/>
  <c r="A378" i="12"/>
  <c r="H377" i="12"/>
  <c r="G377" i="12"/>
  <c r="F377" i="12"/>
  <c r="E377" i="12"/>
  <c r="D377" i="12"/>
  <c r="C377" i="12"/>
  <c r="B377" i="12"/>
  <c r="A377" i="12"/>
  <c r="H376" i="12"/>
  <c r="G376" i="12"/>
  <c r="F376" i="12"/>
  <c r="E376" i="12"/>
  <c r="D376" i="12"/>
  <c r="C376" i="12"/>
  <c r="B376" i="12"/>
  <c r="A376" i="12"/>
  <c r="H375" i="12"/>
  <c r="G375" i="12"/>
  <c r="F375" i="12"/>
  <c r="E375" i="12"/>
  <c r="D375" i="12"/>
  <c r="C375" i="12"/>
  <c r="B375" i="12"/>
  <c r="A375" i="12"/>
  <c r="H374" i="12"/>
  <c r="G374" i="12"/>
  <c r="F374" i="12"/>
  <c r="E374" i="12"/>
  <c r="D374" i="12"/>
  <c r="C374" i="12"/>
  <c r="B374" i="12"/>
  <c r="A374" i="12"/>
  <c r="H373" i="12"/>
  <c r="G373" i="12"/>
  <c r="F373" i="12"/>
  <c r="E373" i="12"/>
  <c r="D373" i="12"/>
  <c r="C373" i="12"/>
  <c r="B373" i="12"/>
  <c r="A373" i="12"/>
  <c r="H372" i="12"/>
  <c r="G372" i="12"/>
  <c r="F372" i="12"/>
  <c r="E372" i="12"/>
  <c r="D372" i="12"/>
  <c r="C372" i="12"/>
  <c r="B372" i="12"/>
  <c r="A372" i="12"/>
  <c r="H371" i="12"/>
  <c r="G371" i="12"/>
  <c r="F371" i="12"/>
  <c r="E371" i="12"/>
  <c r="D371" i="12"/>
  <c r="C371" i="12"/>
  <c r="B371" i="12"/>
  <c r="A371" i="12"/>
  <c r="H370" i="12"/>
  <c r="G370" i="12"/>
  <c r="F370" i="12"/>
  <c r="E370" i="12"/>
  <c r="D370" i="12"/>
  <c r="C370" i="12"/>
  <c r="B370" i="12"/>
  <c r="A370" i="12"/>
  <c r="H369" i="12"/>
  <c r="G369" i="12"/>
  <c r="F369" i="12"/>
  <c r="E369" i="12"/>
  <c r="D369" i="12"/>
  <c r="C369" i="12"/>
  <c r="B369" i="12"/>
  <c r="A369" i="12"/>
  <c r="H368" i="12"/>
  <c r="G368" i="12"/>
  <c r="F368" i="12"/>
  <c r="E368" i="12"/>
  <c r="D368" i="12"/>
  <c r="C368" i="12"/>
  <c r="B368" i="12"/>
  <c r="A368" i="12"/>
  <c r="H367" i="12"/>
  <c r="G367" i="12"/>
  <c r="F367" i="12"/>
  <c r="E367" i="12"/>
  <c r="D367" i="12"/>
  <c r="C367" i="12"/>
  <c r="B367" i="12"/>
  <c r="A367" i="12"/>
  <c r="H366" i="12"/>
  <c r="G366" i="12"/>
  <c r="F366" i="12"/>
  <c r="E366" i="12"/>
  <c r="D366" i="12"/>
  <c r="C366" i="12"/>
  <c r="B366" i="12"/>
  <c r="A366" i="12"/>
  <c r="H365" i="12"/>
  <c r="G365" i="12"/>
  <c r="F365" i="12"/>
  <c r="E365" i="12"/>
  <c r="D365" i="12"/>
  <c r="C365" i="12"/>
  <c r="B365" i="12"/>
  <c r="A365" i="12"/>
  <c r="H364" i="12"/>
  <c r="G364" i="12"/>
  <c r="F364" i="12"/>
  <c r="E364" i="12"/>
  <c r="D364" i="12"/>
  <c r="C364" i="12"/>
  <c r="B364" i="12"/>
  <c r="A364" i="12"/>
  <c r="H363" i="12"/>
  <c r="G363" i="12"/>
  <c r="F363" i="12"/>
  <c r="E363" i="12"/>
  <c r="D363" i="12"/>
  <c r="C363" i="12"/>
  <c r="B363" i="12"/>
  <c r="A363" i="12"/>
  <c r="H362" i="12"/>
  <c r="G362" i="12"/>
  <c r="F362" i="12"/>
  <c r="E362" i="12"/>
  <c r="D362" i="12"/>
  <c r="C362" i="12"/>
  <c r="B362" i="12"/>
  <c r="A362" i="12"/>
  <c r="H361" i="12"/>
  <c r="G361" i="12"/>
  <c r="F361" i="12"/>
  <c r="E361" i="12"/>
  <c r="D361" i="12"/>
  <c r="C361" i="12"/>
  <c r="B361" i="12"/>
  <c r="A361" i="12"/>
  <c r="H360" i="12"/>
  <c r="G360" i="12"/>
  <c r="F360" i="12"/>
  <c r="E360" i="12"/>
  <c r="D360" i="12"/>
  <c r="C360" i="12"/>
  <c r="B360" i="12"/>
  <c r="A360" i="12"/>
  <c r="H359" i="12"/>
  <c r="G359" i="12"/>
  <c r="F359" i="12"/>
  <c r="E359" i="12"/>
  <c r="D359" i="12"/>
  <c r="C359" i="12"/>
  <c r="B359" i="12"/>
  <c r="A359" i="12"/>
  <c r="H358" i="12"/>
  <c r="G358" i="12"/>
  <c r="F358" i="12"/>
  <c r="E358" i="12"/>
  <c r="D358" i="12"/>
  <c r="C358" i="12"/>
  <c r="B358" i="12"/>
  <c r="A358" i="12"/>
  <c r="H357" i="12"/>
  <c r="G357" i="12"/>
  <c r="F357" i="12"/>
  <c r="E357" i="12"/>
  <c r="D357" i="12"/>
  <c r="C357" i="12"/>
  <c r="B357" i="12"/>
  <c r="A357" i="12"/>
  <c r="H356" i="12"/>
  <c r="G356" i="12"/>
  <c r="F356" i="12"/>
  <c r="E356" i="12"/>
  <c r="D356" i="12"/>
  <c r="C356" i="12"/>
  <c r="B356" i="12"/>
  <c r="A356" i="12"/>
  <c r="H355" i="12"/>
  <c r="G355" i="12"/>
  <c r="F355" i="12"/>
  <c r="E355" i="12"/>
  <c r="D355" i="12"/>
  <c r="C355" i="12"/>
  <c r="B355" i="12"/>
  <c r="A355" i="12"/>
  <c r="H354" i="12"/>
  <c r="G354" i="12"/>
  <c r="F354" i="12"/>
  <c r="E354" i="12"/>
  <c r="D354" i="12"/>
  <c r="C354" i="12"/>
  <c r="B354" i="12"/>
  <c r="A354" i="12"/>
  <c r="H353" i="12"/>
  <c r="G353" i="12"/>
  <c r="F353" i="12"/>
  <c r="E353" i="12"/>
  <c r="D353" i="12"/>
  <c r="C353" i="12"/>
  <c r="B353" i="12"/>
  <c r="A353" i="12"/>
  <c r="H352" i="12"/>
  <c r="G352" i="12"/>
  <c r="F352" i="12"/>
  <c r="E352" i="12"/>
  <c r="D352" i="12"/>
  <c r="C352" i="12"/>
  <c r="B352" i="12"/>
  <c r="A352" i="12"/>
  <c r="H351" i="12"/>
  <c r="G351" i="12"/>
  <c r="F351" i="12"/>
  <c r="E351" i="12"/>
  <c r="D351" i="12"/>
  <c r="C351" i="12"/>
  <c r="B351" i="12"/>
  <c r="A351" i="12"/>
  <c r="H350" i="12"/>
  <c r="G350" i="12"/>
  <c r="F350" i="12"/>
  <c r="E350" i="12"/>
  <c r="D350" i="12"/>
  <c r="C350" i="12"/>
  <c r="B350" i="12"/>
  <c r="A350" i="12"/>
  <c r="H349" i="12"/>
  <c r="G349" i="12"/>
  <c r="F349" i="12"/>
  <c r="E349" i="12"/>
  <c r="D349" i="12"/>
  <c r="C349" i="12"/>
  <c r="B349" i="12"/>
  <c r="A349" i="12"/>
  <c r="H348" i="12"/>
  <c r="G348" i="12"/>
  <c r="F348" i="12"/>
  <c r="E348" i="12"/>
  <c r="D348" i="12"/>
  <c r="C348" i="12"/>
  <c r="B348" i="12"/>
  <c r="A348" i="12"/>
  <c r="H347" i="12"/>
  <c r="G347" i="12"/>
  <c r="F347" i="12"/>
  <c r="E347" i="12"/>
  <c r="D347" i="12"/>
  <c r="C347" i="12"/>
  <c r="B347" i="12"/>
  <c r="A347" i="12"/>
  <c r="H346" i="12"/>
  <c r="G346" i="12"/>
  <c r="F346" i="12"/>
  <c r="E346" i="12"/>
  <c r="D346" i="12"/>
  <c r="C346" i="12"/>
  <c r="B346" i="12"/>
  <c r="A346" i="12"/>
  <c r="H345" i="12"/>
  <c r="G345" i="12"/>
  <c r="F345" i="12"/>
  <c r="E345" i="12"/>
  <c r="D345" i="12"/>
  <c r="C345" i="12"/>
  <c r="B345" i="12"/>
  <c r="A345" i="12"/>
  <c r="H344" i="12"/>
  <c r="G344" i="12"/>
  <c r="F344" i="12"/>
  <c r="E344" i="12"/>
  <c r="D344" i="12"/>
  <c r="C344" i="12"/>
  <c r="B344" i="12"/>
  <c r="A344" i="12"/>
  <c r="H343" i="12"/>
  <c r="G343" i="12"/>
  <c r="F343" i="12"/>
  <c r="E343" i="12"/>
  <c r="D343" i="12"/>
  <c r="C343" i="12"/>
  <c r="B343" i="12"/>
  <c r="A343" i="12"/>
  <c r="H342" i="12"/>
  <c r="G342" i="12"/>
  <c r="F342" i="12"/>
  <c r="E342" i="12"/>
  <c r="D342" i="12"/>
  <c r="C342" i="12"/>
  <c r="B342" i="12"/>
  <c r="A342" i="12"/>
  <c r="H341" i="12"/>
  <c r="G341" i="12"/>
  <c r="F341" i="12"/>
  <c r="E341" i="12"/>
  <c r="D341" i="12"/>
  <c r="C341" i="12"/>
  <c r="B341" i="12"/>
  <c r="A341" i="12"/>
  <c r="H340" i="12"/>
  <c r="G340" i="12"/>
  <c r="F340" i="12"/>
  <c r="E340" i="12"/>
  <c r="D340" i="12"/>
  <c r="C340" i="12"/>
  <c r="B340" i="12"/>
  <c r="A340" i="12"/>
  <c r="H339" i="12"/>
  <c r="G339" i="12"/>
  <c r="F339" i="12"/>
  <c r="E339" i="12"/>
  <c r="D339" i="12"/>
  <c r="C339" i="12"/>
  <c r="B339" i="12"/>
  <c r="A339" i="12"/>
  <c r="H338" i="12"/>
  <c r="G338" i="12"/>
  <c r="F338" i="12"/>
  <c r="E338" i="12"/>
  <c r="D338" i="12"/>
  <c r="C338" i="12"/>
  <c r="B338" i="12"/>
  <c r="A338" i="12"/>
  <c r="H337" i="12"/>
  <c r="G337" i="12"/>
  <c r="F337" i="12"/>
  <c r="E337" i="12"/>
  <c r="D337" i="12"/>
  <c r="C337" i="12"/>
  <c r="B337" i="12"/>
  <c r="A337" i="12"/>
  <c r="H336" i="12"/>
  <c r="G336" i="12"/>
  <c r="F336" i="12"/>
  <c r="E336" i="12"/>
  <c r="D336" i="12"/>
  <c r="C336" i="12"/>
  <c r="B336" i="12"/>
  <c r="A336" i="12"/>
  <c r="H335" i="12"/>
  <c r="G335" i="12"/>
  <c r="F335" i="12"/>
  <c r="E335" i="12"/>
  <c r="D335" i="12"/>
  <c r="C335" i="12"/>
  <c r="B335" i="12"/>
  <c r="A335" i="12"/>
  <c r="H334" i="12"/>
  <c r="G334" i="12"/>
  <c r="F334" i="12"/>
  <c r="E334" i="12"/>
  <c r="D334" i="12"/>
  <c r="C334" i="12"/>
  <c r="B334" i="12"/>
  <c r="A334" i="12"/>
  <c r="H333" i="12"/>
  <c r="G333" i="12"/>
  <c r="F333" i="12"/>
  <c r="E333" i="12"/>
  <c r="D333" i="12"/>
  <c r="C333" i="12"/>
  <c r="B333" i="12"/>
  <c r="A333" i="12"/>
  <c r="H332" i="12"/>
  <c r="G332" i="12"/>
  <c r="F332" i="12"/>
  <c r="E332" i="12"/>
  <c r="D332" i="12"/>
  <c r="C332" i="12"/>
  <c r="B332" i="12"/>
  <c r="A332" i="12"/>
  <c r="H331" i="12"/>
  <c r="G331" i="12"/>
  <c r="F331" i="12"/>
  <c r="E331" i="12"/>
  <c r="D331" i="12"/>
  <c r="C331" i="12"/>
  <c r="B331" i="12"/>
  <c r="A331" i="12"/>
  <c r="H330" i="12"/>
  <c r="G330" i="12"/>
  <c r="F330" i="12"/>
  <c r="E330" i="12"/>
  <c r="D330" i="12"/>
  <c r="C330" i="12"/>
  <c r="B330" i="12"/>
  <c r="A330" i="12"/>
  <c r="H329" i="12"/>
  <c r="G329" i="12"/>
  <c r="F329" i="12"/>
  <c r="E329" i="12"/>
  <c r="D329" i="12"/>
  <c r="C329" i="12"/>
  <c r="B329" i="12"/>
  <c r="A329" i="12"/>
  <c r="H328" i="12"/>
  <c r="G328" i="12"/>
  <c r="F328" i="12"/>
  <c r="E328" i="12"/>
  <c r="D328" i="12"/>
  <c r="C328" i="12"/>
  <c r="B328" i="12"/>
  <c r="A328" i="12"/>
  <c r="H327" i="12"/>
  <c r="G327" i="12"/>
  <c r="F327" i="12"/>
  <c r="E327" i="12"/>
  <c r="D327" i="12"/>
  <c r="C327" i="12"/>
  <c r="B327" i="12"/>
  <c r="A327" i="12"/>
  <c r="H326" i="12"/>
  <c r="G326" i="12"/>
  <c r="F326" i="12"/>
  <c r="E326" i="12"/>
  <c r="D326" i="12"/>
  <c r="C326" i="12"/>
  <c r="B326" i="12"/>
  <c r="A326" i="12"/>
  <c r="H325" i="12"/>
  <c r="G325" i="12"/>
  <c r="F325" i="12"/>
  <c r="E325" i="12"/>
  <c r="D325" i="12"/>
  <c r="C325" i="12"/>
  <c r="B325" i="12"/>
  <c r="A325" i="12"/>
  <c r="H324" i="12"/>
  <c r="G324" i="12"/>
  <c r="F324" i="12"/>
  <c r="E324" i="12"/>
  <c r="D324" i="12"/>
  <c r="C324" i="12"/>
  <c r="B324" i="12"/>
  <c r="A324" i="12"/>
  <c r="H323" i="12"/>
  <c r="G323" i="12"/>
  <c r="F323" i="12"/>
  <c r="E323" i="12"/>
  <c r="D323" i="12"/>
  <c r="C323" i="12"/>
  <c r="B323" i="12"/>
  <c r="A323" i="12"/>
  <c r="H322" i="12"/>
  <c r="G322" i="12"/>
  <c r="F322" i="12"/>
  <c r="E322" i="12"/>
  <c r="D322" i="12"/>
  <c r="C322" i="12"/>
  <c r="B322" i="12"/>
  <c r="A322" i="12"/>
  <c r="H321" i="12"/>
  <c r="G321" i="12"/>
  <c r="F321" i="12"/>
  <c r="E321" i="12"/>
  <c r="D321" i="12"/>
  <c r="C321" i="12"/>
  <c r="B321" i="12"/>
  <c r="A321" i="12"/>
  <c r="H320" i="12"/>
  <c r="G320" i="12"/>
  <c r="F320" i="12"/>
  <c r="E320" i="12"/>
  <c r="D320" i="12"/>
  <c r="C320" i="12"/>
  <c r="B320" i="12"/>
  <c r="A320" i="12"/>
  <c r="H319" i="12"/>
  <c r="G319" i="12"/>
  <c r="F319" i="12"/>
  <c r="E319" i="12"/>
  <c r="D319" i="12"/>
  <c r="C319" i="12"/>
  <c r="B319" i="12"/>
  <c r="A319" i="12"/>
  <c r="H318" i="12"/>
  <c r="G318" i="12"/>
  <c r="F318" i="12"/>
  <c r="E318" i="12"/>
  <c r="D318" i="12"/>
  <c r="C318" i="12"/>
  <c r="B318" i="12"/>
  <c r="A318" i="12"/>
  <c r="H317" i="12"/>
  <c r="G317" i="12"/>
  <c r="F317" i="12"/>
  <c r="E317" i="12"/>
  <c r="D317" i="12"/>
  <c r="C317" i="12"/>
  <c r="B317" i="12"/>
  <c r="A317" i="12"/>
  <c r="H316" i="12"/>
  <c r="G316" i="12"/>
  <c r="F316" i="12"/>
  <c r="E316" i="12"/>
  <c r="D316" i="12"/>
  <c r="C316" i="12"/>
  <c r="B316" i="12"/>
  <c r="A316" i="12"/>
  <c r="H315" i="12"/>
  <c r="G315" i="12"/>
  <c r="F315" i="12"/>
  <c r="E315" i="12"/>
  <c r="D315" i="12"/>
  <c r="C315" i="12"/>
  <c r="B315" i="12"/>
  <c r="A315" i="12"/>
  <c r="H314" i="12"/>
  <c r="G314" i="12"/>
  <c r="F314" i="12"/>
  <c r="E314" i="12"/>
  <c r="D314" i="12"/>
  <c r="C314" i="12"/>
  <c r="B314" i="12"/>
  <c r="A314" i="12"/>
  <c r="H313" i="12"/>
  <c r="G313" i="12"/>
  <c r="F313" i="12"/>
  <c r="E313" i="12"/>
  <c r="D313" i="12"/>
  <c r="C313" i="12"/>
  <c r="B313" i="12"/>
  <c r="A313" i="12"/>
  <c r="H312" i="12"/>
  <c r="G312" i="12"/>
  <c r="F312" i="12"/>
  <c r="E312" i="12"/>
  <c r="D312" i="12"/>
  <c r="C312" i="12"/>
  <c r="B312" i="12"/>
  <c r="A312" i="12"/>
  <c r="H311" i="12"/>
  <c r="G311" i="12"/>
  <c r="F311" i="12"/>
  <c r="E311" i="12"/>
  <c r="D311" i="12"/>
  <c r="C311" i="12"/>
  <c r="B311" i="12"/>
  <c r="A311" i="12"/>
  <c r="H310" i="12"/>
  <c r="G310" i="12"/>
  <c r="F310" i="12"/>
  <c r="E310" i="12"/>
  <c r="D310" i="12"/>
  <c r="C310" i="12"/>
  <c r="B310" i="12"/>
  <c r="A310" i="12"/>
  <c r="H309" i="12"/>
  <c r="G309" i="12"/>
  <c r="F309" i="12"/>
  <c r="E309" i="12"/>
  <c r="D309" i="12"/>
  <c r="C309" i="12"/>
  <c r="B309" i="12"/>
  <c r="A309" i="12"/>
  <c r="H308" i="12"/>
  <c r="G308" i="12"/>
  <c r="F308" i="12"/>
  <c r="E308" i="12"/>
  <c r="D308" i="12"/>
  <c r="C308" i="12"/>
  <c r="B308" i="12"/>
  <c r="A308" i="12"/>
  <c r="H307" i="12"/>
  <c r="G307" i="12"/>
  <c r="F307" i="12"/>
  <c r="E307" i="12"/>
  <c r="D307" i="12"/>
  <c r="C307" i="12"/>
  <c r="B307" i="12"/>
  <c r="A307" i="12"/>
  <c r="H306" i="12"/>
  <c r="G306" i="12"/>
  <c r="F306" i="12"/>
  <c r="E306" i="12"/>
  <c r="D306" i="12"/>
  <c r="C306" i="12"/>
  <c r="B306" i="12"/>
  <c r="A306" i="12"/>
  <c r="H305" i="12"/>
  <c r="G305" i="12"/>
  <c r="F305" i="12"/>
  <c r="E305" i="12"/>
  <c r="D305" i="12"/>
  <c r="C305" i="12"/>
  <c r="B305" i="12"/>
  <c r="A305" i="12"/>
  <c r="H304" i="12"/>
  <c r="G304" i="12"/>
  <c r="F304" i="12"/>
  <c r="E304" i="12"/>
  <c r="D304" i="12"/>
  <c r="C304" i="12"/>
  <c r="B304" i="12"/>
  <c r="A304" i="12"/>
  <c r="H303" i="12"/>
  <c r="G303" i="12"/>
  <c r="F303" i="12"/>
  <c r="E303" i="12"/>
  <c r="D303" i="12"/>
  <c r="C303" i="12"/>
  <c r="B303" i="12"/>
  <c r="A303" i="12"/>
  <c r="H302" i="12"/>
  <c r="G302" i="12"/>
  <c r="F302" i="12"/>
  <c r="E302" i="12"/>
  <c r="D302" i="12"/>
  <c r="C302" i="12"/>
  <c r="B302" i="12"/>
  <c r="A302" i="12"/>
  <c r="H301" i="12"/>
  <c r="G301" i="12"/>
  <c r="F301" i="12"/>
  <c r="E301" i="12"/>
  <c r="D301" i="12"/>
  <c r="C301" i="12"/>
  <c r="B301" i="12"/>
  <c r="A301" i="12"/>
  <c r="H300" i="12"/>
  <c r="G300" i="12"/>
  <c r="F300" i="12"/>
  <c r="E300" i="12"/>
  <c r="D300" i="12"/>
  <c r="C300" i="12"/>
  <c r="B300" i="12"/>
  <c r="A300" i="12"/>
  <c r="H299" i="12"/>
  <c r="G299" i="12"/>
  <c r="F299" i="12"/>
  <c r="E299" i="12"/>
  <c r="D299" i="12"/>
  <c r="C299" i="12"/>
  <c r="B299" i="12"/>
  <c r="A299" i="12"/>
  <c r="H298" i="12"/>
  <c r="G298" i="12"/>
  <c r="F298" i="12"/>
  <c r="E298" i="12"/>
  <c r="D298" i="12"/>
  <c r="C298" i="12"/>
  <c r="B298" i="12"/>
  <c r="A298" i="12"/>
  <c r="H297" i="12"/>
  <c r="G297" i="12"/>
  <c r="F297" i="12"/>
  <c r="E297" i="12"/>
  <c r="D297" i="12"/>
  <c r="C297" i="12"/>
  <c r="B297" i="12"/>
  <c r="A297" i="12"/>
  <c r="H296" i="12"/>
  <c r="G296" i="12"/>
  <c r="F296" i="12"/>
  <c r="E296" i="12"/>
  <c r="D296" i="12"/>
  <c r="C296" i="12"/>
  <c r="B296" i="12"/>
  <c r="A296" i="12"/>
  <c r="H295" i="12"/>
  <c r="G295" i="12"/>
  <c r="F295" i="12"/>
  <c r="E295" i="12"/>
  <c r="D295" i="12"/>
  <c r="C295" i="12"/>
  <c r="B295" i="12"/>
  <c r="A295" i="12"/>
  <c r="H294" i="12"/>
  <c r="G294" i="12"/>
  <c r="F294" i="12"/>
  <c r="E294" i="12"/>
  <c r="D294" i="12"/>
  <c r="C294" i="12"/>
  <c r="B294" i="12"/>
  <c r="A294" i="12"/>
  <c r="H293" i="12"/>
  <c r="G293" i="12"/>
  <c r="F293" i="12"/>
  <c r="E293" i="12"/>
  <c r="D293" i="12"/>
  <c r="C293" i="12"/>
  <c r="B293" i="12"/>
  <c r="A293" i="12"/>
  <c r="H292" i="12"/>
  <c r="G292" i="12"/>
  <c r="F292" i="12"/>
  <c r="E292" i="12"/>
  <c r="D292" i="12"/>
  <c r="C292" i="12"/>
  <c r="B292" i="12"/>
  <c r="A292" i="12"/>
  <c r="H291" i="12"/>
  <c r="G291" i="12"/>
  <c r="F291" i="12"/>
  <c r="E291" i="12"/>
  <c r="D291" i="12"/>
  <c r="C291" i="12"/>
  <c r="B291" i="12"/>
  <c r="A291" i="12"/>
  <c r="H290" i="12"/>
  <c r="G290" i="12"/>
  <c r="F290" i="12"/>
  <c r="E290" i="12"/>
  <c r="D290" i="12"/>
  <c r="C290" i="12"/>
  <c r="B290" i="12"/>
  <c r="A290" i="12"/>
  <c r="H289" i="12"/>
  <c r="G289" i="12"/>
  <c r="F289" i="12"/>
  <c r="E289" i="12"/>
  <c r="D289" i="12"/>
  <c r="C289" i="12"/>
  <c r="B289" i="12"/>
  <c r="A289" i="12"/>
  <c r="H288" i="12"/>
  <c r="G288" i="12"/>
  <c r="F288" i="12"/>
  <c r="E288" i="12"/>
  <c r="D288" i="12"/>
  <c r="C288" i="12"/>
  <c r="B288" i="12"/>
  <c r="A288" i="12"/>
  <c r="H287" i="12"/>
  <c r="G287" i="12"/>
  <c r="F287" i="12"/>
  <c r="E287" i="12"/>
  <c r="D287" i="12"/>
  <c r="C287" i="12"/>
  <c r="B287" i="12"/>
  <c r="A287" i="12"/>
  <c r="H286" i="12"/>
  <c r="G286" i="12"/>
  <c r="F286" i="12"/>
  <c r="E286" i="12"/>
  <c r="D286" i="12"/>
  <c r="C286" i="12"/>
  <c r="B286" i="12"/>
  <c r="A286" i="12"/>
  <c r="H285" i="12"/>
  <c r="G285" i="12"/>
  <c r="F285" i="12"/>
  <c r="E285" i="12"/>
  <c r="D285" i="12"/>
  <c r="C285" i="12"/>
  <c r="B285" i="12"/>
  <c r="A285" i="12"/>
  <c r="H284" i="12"/>
  <c r="G284" i="12"/>
  <c r="F284" i="12"/>
  <c r="E284" i="12"/>
  <c r="D284" i="12"/>
  <c r="C284" i="12"/>
  <c r="B284" i="12"/>
  <c r="A284" i="12"/>
  <c r="H283" i="12"/>
  <c r="G283" i="12"/>
  <c r="F283" i="12"/>
  <c r="E283" i="12"/>
  <c r="D283" i="12"/>
  <c r="C283" i="12"/>
  <c r="B283" i="12"/>
  <c r="A283" i="12"/>
  <c r="H282" i="12"/>
  <c r="G282" i="12"/>
  <c r="F282" i="12"/>
  <c r="E282" i="12"/>
  <c r="D282" i="12"/>
  <c r="C282" i="12"/>
  <c r="B282" i="12"/>
  <c r="A282" i="12"/>
  <c r="H281" i="12"/>
  <c r="G281" i="12"/>
  <c r="F281" i="12"/>
  <c r="E281" i="12"/>
  <c r="D281" i="12"/>
  <c r="C281" i="12"/>
  <c r="B281" i="12"/>
  <c r="A281" i="12"/>
  <c r="H280" i="12"/>
  <c r="G280" i="12"/>
  <c r="F280" i="12"/>
  <c r="E280" i="12"/>
  <c r="D280" i="12"/>
  <c r="C280" i="12"/>
  <c r="B280" i="12"/>
  <c r="A280" i="12"/>
  <c r="H279" i="12"/>
  <c r="G279" i="12"/>
  <c r="F279" i="12"/>
  <c r="E279" i="12"/>
  <c r="D279" i="12"/>
  <c r="C279" i="12"/>
  <c r="B279" i="12"/>
  <c r="A279" i="12"/>
  <c r="H278" i="12"/>
  <c r="G278" i="12"/>
  <c r="F278" i="12"/>
  <c r="E278" i="12"/>
  <c r="D278" i="12"/>
  <c r="C278" i="12"/>
  <c r="B278" i="12"/>
  <c r="A278" i="12"/>
  <c r="H277" i="12"/>
  <c r="G277" i="12"/>
  <c r="F277" i="12"/>
  <c r="E277" i="12"/>
  <c r="D277" i="12"/>
  <c r="C277" i="12"/>
  <c r="B277" i="12"/>
  <c r="A277" i="12"/>
  <c r="H276" i="12"/>
  <c r="G276" i="12"/>
  <c r="F276" i="12"/>
  <c r="E276" i="12"/>
  <c r="D276" i="12"/>
  <c r="C276" i="12"/>
  <c r="B276" i="12"/>
  <c r="A276" i="12"/>
  <c r="H275" i="12"/>
  <c r="G275" i="12"/>
  <c r="F275" i="12"/>
  <c r="E275" i="12"/>
  <c r="D275" i="12"/>
  <c r="C275" i="12"/>
  <c r="B275" i="12"/>
  <c r="A275" i="12"/>
  <c r="H274" i="12"/>
  <c r="G274" i="12"/>
  <c r="F274" i="12"/>
  <c r="E274" i="12"/>
  <c r="D274" i="12"/>
  <c r="C274" i="12"/>
  <c r="B274" i="12"/>
  <c r="A274" i="12"/>
  <c r="H273" i="12"/>
  <c r="G273" i="12"/>
  <c r="F273" i="12"/>
  <c r="E273" i="12"/>
  <c r="D273" i="12"/>
  <c r="C273" i="12"/>
  <c r="B273" i="12"/>
  <c r="A273" i="12"/>
  <c r="H272" i="12"/>
  <c r="G272" i="12"/>
  <c r="F272" i="12"/>
  <c r="E272" i="12"/>
  <c r="D272" i="12"/>
  <c r="C272" i="12"/>
  <c r="B272" i="12"/>
  <c r="A272" i="12"/>
  <c r="H271" i="12"/>
  <c r="G271" i="12"/>
  <c r="F271" i="12"/>
  <c r="E271" i="12"/>
  <c r="D271" i="12"/>
  <c r="C271" i="12"/>
  <c r="B271" i="12"/>
  <c r="A271" i="12"/>
  <c r="H270" i="12"/>
  <c r="G270" i="12"/>
  <c r="F270" i="12"/>
  <c r="E270" i="12"/>
  <c r="D270" i="12"/>
  <c r="C270" i="12"/>
  <c r="B270" i="12"/>
  <c r="A270" i="12"/>
  <c r="H269" i="12"/>
  <c r="G269" i="12"/>
  <c r="F269" i="12"/>
  <c r="E269" i="12"/>
  <c r="D269" i="12"/>
  <c r="C269" i="12"/>
  <c r="B269" i="12"/>
  <c r="A269" i="12"/>
  <c r="H268" i="12"/>
  <c r="G268" i="12"/>
  <c r="F268" i="12"/>
  <c r="E268" i="12"/>
  <c r="D268" i="12"/>
  <c r="C268" i="12"/>
  <c r="B268" i="12"/>
  <c r="A268" i="12"/>
  <c r="H267" i="12"/>
  <c r="G267" i="12"/>
  <c r="F267" i="12"/>
  <c r="E267" i="12"/>
  <c r="D267" i="12"/>
  <c r="C267" i="12"/>
  <c r="B267" i="12"/>
  <c r="A267" i="12"/>
  <c r="H266" i="12"/>
  <c r="G266" i="12"/>
  <c r="F266" i="12"/>
  <c r="E266" i="12"/>
  <c r="D266" i="12"/>
  <c r="C266" i="12"/>
  <c r="B266" i="12"/>
  <c r="A266" i="12"/>
  <c r="H265" i="12"/>
  <c r="G265" i="12"/>
  <c r="F265" i="12"/>
  <c r="E265" i="12"/>
  <c r="D265" i="12"/>
  <c r="C265" i="12"/>
  <c r="B265" i="12"/>
  <c r="A265" i="12"/>
  <c r="H264" i="12"/>
  <c r="G264" i="12"/>
  <c r="F264" i="12"/>
  <c r="E264" i="12"/>
  <c r="D264" i="12"/>
  <c r="C264" i="12"/>
  <c r="B264" i="12"/>
  <c r="A264" i="12"/>
  <c r="H263" i="12"/>
  <c r="G263" i="12"/>
  <c r="F263" i="12"/>
  <c r="E263" i="12"/>
  <c r="D263" i="12"/>
  <c r="C263" i="12"/>
  <c r="B263" i="12"/>
  <c r="A263" i="12"/>
  <c r="H262" i="12"/>
  <c r="G262" i="12"/>
  <c r="F262" i="12"/>
  <c r="E262" i="12"/>
  <c r="D262" i="12"/>
  <c r="C262" i="12"/>
  <c r="B262" i="12"/>
  <c r="A262" i="12"/>
  <c r="H261" i="12"/>
  <c r="G261" i="12"/>
  <c r="F261" i="12"/>
  <c r="E261" i="12"/>
  <c r="D261" i="12"/>
  <c r="C261" i="12"/>
  <c r="B261" i="12"/>
  <c r="A261" i="12"/>
  <c r="H260" i="12"/>
  <c r="G260" i="12"/>
  <c r="F260" i="12"/>
  <c r="E260" i="12"/>
  <c r="D260" i="12"/>
  <c r="C260" i="12"/>
  <c r="B260" i="12"/>
  <c r="A260" i="12"/>
  <c r="H259" i="12"/>
  <c r="G259" i="12"/>
  <c r="F259" i="12"/>
  <c r="E259" i="12"/>
  <c r="D259" i="12"/>
  <c r="C259" i="12"/>
  <c r="B259" i="12"/>
  <c r="A259" i="12"/>
  <c r="H258" i="12"/>
  <c r="G258" i="12"/>
  <c r="F258" i="12"/>
  <c r="E258" i="12"/>
  <c r="D258" i="12"/>
  <c r="C258" i="12"/>
  <c r="B258" i="12"/>
  <c r="A258" i="12"/>
  <c r="H257" i="12"/>
  <c r="G257" i="12"/>
  <c r="F257" i="12"/>
  <c r="E257" i="12"/>
  <c r="D257" i="12"/>
  <c r="C257" i="12"/>
  <c r="B257" i="12"/>
  <c r="A257" i="12"/>
  <c r="H256" i="12"/>
  <c r="G256" i="12"/>
  <c r="F256" i="12"/>
  <c r="E256" i="12"/>
  <c r="D256" i="12"/>
  <c r="C256" i="12"/>
  <c r="B256" i="12"/>
  <c r="A256" i="12"/>
  <c r="H255" i="12"/>
  <c r="G255" i="12"/>
  <c r="F255" i="12"/>
  <c r="E255" i="12"/>
  <c r="D255" i="12"/>
  <c r="C255" i="12"/>
  <c r="B255" i="12"/>
  <c r="A255" i="12"/>
  <c r="H254" i="12"/>
  <c r="G254" i="12"/>
  <c r="F254" i="12"/>
  <c r="E254" i="12"/>
  <c r="D254" i="12"/>
  <c r="C254" i="12"/>
  <c r="B254" i="12"/>
  <c r="A254" i="12"/>
  <c r="H253" i="12"/>
  <c r="G253" i="12"/>
  <c r="F253" i="12"/>
  <c r="E253" i="12"/>
  <c r="D253" i="12"/>
  <c r="C253" i="12"/>
  <c r="B253" i="12"/>
  <c r="A253" i="12"/>
  <c r="H252" i="12"/>
  <c r="G252" i="12"/>
  <c r="F252" i="12"/>
  <c r="E252" i="12"/>
  <c r="D252" i="12"/>
  <c r="C252" i="12"/>
  <c r="B252" i="12"/>
  <c r="A252" i="12"/>
  <c r="H251" i="12"/>
  <c r="G251" i="12"/>
  <c r="F251" i="12"/>
  <c r="E251" i="12"/>
  <c r="D251" i="12"/>
  <c r="C251" i="12"/>
  <c r="B251" i="12"/>
  <c r="A251" i="12"/>
  <c r="H250" i="12"/>
  <c r="G250" i="12"/>
  <c r="F250" i="12"/>
  <c r="E250" i="12"/>
  <c r="D250" i="12"/>
  <c r="C250" i="12"/>
  <c r="B250" i="12"/>
  <c r="A250" i="12"/>
  <c r="H249" i="12"/>
  <c r="G249" i="12"/>
  <c r="F249" i="12"/>
  <c r="E249" i="12"/>
  <c r="D249" i="12"/>
  <c r="C249" i="12"/>
  <c r="B249" i="12"/>
  <c r="A249" i="12"/>
  <c r="H248" i="12"/>
  <c r="G248" i="12"/>
  <c r="F248" i="12"/>
  <c r="E248" i="12"/>
  <c r="D248" i="12"/>
  <c r="C248" i="12"/>
  <c r="B248" i="12"/>
  <c r="A248" i="12"/>
  <c r="H247" i="12"/>
  <c r="G247" i="12"/>
  <c r="F247" i="12"/>
  <c r="E247" i="12"/>
  <c r="D247" i="12"/>
  <c r="C247" i="12"/>
  <c r="B247" i="12"/>
  <c r="A247" i="12"/>
  <c r="H246" i="12"/>
  <c r="G246" i="12"/>
  <c r="F246" i="12"/>
  <c r="E246" i="12"/>
  <c r="D246" i="12"/>
  <c r="C246" i="12"/>
  <c r="B246" i="12"/>
  <c r="A246" i="12"/>
  <c r="H245" i="12"/>
  <c r="G245" i="12"/>
  <c r="F245" i="12"/>
  <c r="E245" i="12"/>
  <c r="D245" i="12"/>
  <c r="C245" i="12"/>
  <c r="B245" i="12"/>
  <c r="A245" i="12"/>
  <c r="H244" i="12"/>
  <c r="G244" i="12"/>
  <c r="F244" i="12"/>
  <c r="E244" i="12"/>
  <c r="D244" i="12"/>
  <c r="C244" i="12"/>
  <c r="B244" i="12"/>
  <c r="A244" i="12"/>
  <c r="H243" i="12"/>
  <c r="G243" i="12"/>
  <c r="F243" i="12"/>
  <c r="E243" i="12"/>
  <c r="D243" i="12"/>
  <c r="C243" i="12"/>
  <c r="B243" i="12"/>
  <c r="A243" i="12"/>
  <c r="H242" i="12"/>
  <c r="G242" i="12"/>
  <c r="F242" i="12"/>
  <c r="E242" i="12"/>
  <c r="D242" i="12"/>
  <c r="C242" i="12"/>
  <c r="B242" i="12"/>
  <c r="A242" i="12"/>
  <c r="H241" i="12"/>
  <c r="G241" i="12"/>
  <c r="F241" i="12"/>
  <c r="E241" i="12"/>
  <c r="D241" i="12"/>
  <c r="C241" i="12"/>
  <c r="B241" i="12"/>
  <c r="A241" i="12"/>
  <c r="H240" i="12"/>
  <c r="G240" i="12"/>
  <c r="F240" i="12"/>
  <c r="E240" i="12"/>
  <c r="D240" i="12"/>
  <c r="C240" i="12"/>
  <c r="B240" i="12"/>
  <c r="A240" i="12"/>
  <c r="H239" i="12"/>
  <c r="G239" i="12"/>
  <c r="F239" i="12"/>
  <c r="E239" i="12"/>
  <c r="D239" i="12"/>
  <c r="C239" i="12"/>
  <c r="B239" i="12"/>
  <c r="A239" i="12"/>
  <c r="H238" i="12"/>
  <c r="G238" i="12"/>
  <c r="F238" i="12"/>
  <c r="E238" i="12"/>
  <c r="D238" i="12"/>
  <c r="C238" i="12"/>
  <c r="B238" i="12"/>
  <c r="A238" i="12"/>
  <c r="H237" i="12"/>
  <c r="G237" i="12"/>
  <c r="F237" i="12"/>
  <c r="E237" i="12"/>
  <c r="D237" i="12"/>
  <c r="C237" i="12"/>
  <c r="B237" i="12"/>
  <c r="A237" i="12"/>
  <c r="H236" i="12"/>
  <c r="G236" i="12"/>
  <c r="F236" i="12"/>
  <c r="E236" i="12"/>
  <c r="D236" i="12"/>
  <c r="C236" i="12"/>
  <c r="B236" i="12"/>
  <c r="A236" i="12"/>
  <c r="H235" i="12"/>
  <c r="G235" i="12"/>
  <c r="F235" i="12"/>
  <c r="E235" i="12"/>
  <c r="D235" i="12"/>
  <c r="C235" i="12"/>
  <c r="B235" i="12"/>
  <c r="A235" i="12"/>
  <c r="H234" i="12"/>
  <c r="G234" i="12"/>
  <c r="F234" i="12"/>
  <c r="E234" i="12"/>
  <c r="D234" i="12"/>
  <c r="C234" i="12"/>
  <c r="B234" i="12"/>
  <c r="A234" i="12"/>
  <c r="H233" i="12"/>
  <c r="G233" i="12"/>
  <c r="F233" i="12"/>
  <c r="E233" i="12"/>
  <c r="D233" i="12"/>
  <c r="C233" i="12"/>
  <c r="B233" i="12"/>
  <c r="A233" i="12"/>
  <c r="H232" i="12"/>
  <c r="G232" i="12"/>
  <c r="F232" i="12"/>
  <c r="E232" i="12"/>
  <c r="D232" i="12"/>
  <c r="C232" i="12"/>
  <c r="B232" i="12"/>
  <c r="A232" i="12"/>
  <c r="H231" i="12"/>
  <c r="G231" i="12"/>
  <c r="F231" i="12"/>
  <c r="E231" i="12"/>
  <c r="D231" i="12"/>
  <c r="C231" i="12"/>
  <c r="B231" i="12"/>
  <c r="A231" i="12"/>
  <c r="H230" i="12"/>
  <c r="G230" i="12"/>
  <c r="F230" i="12"/>
  <c r="E230" i="12"/>
  <c r="D230" i="12"/>
  <c r="C230" i="12"/>
  <c r="B230" i="12"/>
  <c r="A230" i="12"/>
  <c r="H229" i="12"/>
  <c r="G229" i="12"/>
  <c r="F229" i="12"/>
  <c r="E229" i="12"/>
  <c r="D229" i="12"/>
  <c r="C229" i="12"/>
  <c r="B229" i="12"/>
  <c r="A229" i="12"/>
  <c r="H228" i="12"/>
  <c r="G228" i="12"/>
  <c r="F228" i="12"/>
  <c r="E228" i="12"/>
  <c r="D228" i="12"/>
  <c r="C228" i="12"/>
  <c r="B228" i="12"/>
  <c r="A228" i="12"/>
  <c r="H227" i="12"/>
  <c r="G227" i="12"/>
  <c r="F227" i="12"/>
  <c r="E227" i="12"/>
  <c r="D227" i="12"/>
  <c r="C227" i="12"/>
  <c r="B227" i="12"/>
  <c r="A227" i="12"/>
  <c r="H226" i="12"/>
  <c r="G226" i="12"/>
  <c r="F226" i="12"/>
  <c r="E226" i="12"/>
  <c r="D226" i="12"/>
  <c r="C226" i="12"/>
  <c r="B226" i="12"/>
  <c r="A226" i="12"/>
  <c r="H225" i="12"/>
  <c r="G225" i="12"/>
  <c r="F225" i="12"/>
  <c r="E225" i="12"/>
  <c r="D225" i="12"/>
  <c r="C225" i="12"/>
  <c r="B225" i="12"/>
  <c r="A225" i="12"/>
  <c r="H224" i="12"/>
  <c r="G224" i="12"/>
  <c r="F224" i="12"/>
  <c r="E224" i="12"/>
  <c r="D224" i="12"/>
  <c r="C224" i="12"/>
  <c r="B224" i="12"/>
  <c r="A224" i="12"/>
  <c r="H223" i="12"/>
  <c r="G223" i="12"/>
  <c r="F223" i="12"/>
  <c r="E223" i="12"/>
  <c r="D223" i="12"/>
  <c r="C223" i="12"/>
  <c r="B223" i="12"/>
  <c r="A223" i="12"/>
  <c r="H222" i="12"/>
  <c r="G222" i="12"/>
  <c r="F222" i="12"/>
  <c r="E222" i="12"/>
  <c r="D222" i="12"/>
  <c r="C222" i="12"/>
  <c r="B222" i="12"/>
  <c r="A222" i="12"/>
  <c r="H221" i="12"/>
  <c r="G221" i="12"/>
  <c r="F221" i="12"/>
  <c r="E221" i="12"/>
  <c r="D221" i="12"/>
  <c r="C221" i="12"/>
  <c r="B221" i="12"/>
  <c r="A221" i="12"/>
  <c r="H220" i="12"/>
  <c r="G220" i="12"/>
  <c r="F220" i="12"/>
  <c r="E220" i="12"/>
  <c r="D220" i="12"/>
  <c r="C220" i="12"/>
  <c r="B220" i="12"/>
  <c r="A220" i="12"/>
  <c r="H219" i="12"/>
  <c r="G219" i="12"/>
  <c r="F219" i="12"/>
  <c r="E219" i="12"/>
  <c r="D219" i="12"/>
  <c r="C219" i="12"/>
  <c r="B219" i="12"/>
  <c r="A219" i="12"/>
  <c r="H218" i="12"/>
  <c r="G218" i="12"/>
  <c r="F218" i="12"/>
  <c r="E218" i="12"/>
  <c r="D218" i="12"/>
  <c r="C218" i="12"/>
  <c r="B218" i="12"/>
  <c r="A218" i="12"/>
  <c r="H217" i="12"/>
  <c r="G217" i="12"/>
  <c r="F217" i="12"/>
  <c r="E217" i="12"/>
  <c r="D217" i="12"/>
  <c r="C217" i="12"/>
  <c r="B217" i="12"/>
  <c r="A217" i="12"/>
  <c r="H216" i="12"/>
  <c r="G216" i="12"/>
  <c r="F216" i="12"/>
  <c r="E216" i="12"/>
  <c r="D216" i="12"/>
  <c r="C216" i="12"/>
  <c r="B216" i="12"/>
  <c r="A216" i="12"/>
  <c r="H215" i="12"/>
  <c r="G215" i="12"/>
  <c r="F215" i="12"/>
  <c r="E215" i="12"/>
  <c r="D215" i="12"/>
  <c r="C215" i="12"/>
  <c r="B215" i="12"/>
  <c r="A215" i="12"/>
  <c r="H214" i="12"/>
  <c r="G214" i="12"/>
  <c r="F214" i="12"/>
  <c r="E214" i="12"/>
  <c r="D214" i="12"/>
  <c r="C214" i="12"/>
  <c r="B214" i="12"/>
  <c r="A214" i="12"/>
  <c r="H213" i="12"/>
  <c r="G213" i="12"/>
  <c r="F213" i="12"/>
  <c r="E213" i="12"/>
  <c r="D213" i="12"/>
  <c r="C213" i="12"/>
  <c r="B213" i="12"/>
  <c r="A213" i="12"/>
  <c r="H212" i="12"/>
  <c r="G212" i="12"/>
  <c r="F212" i="12"/>
  <c r="E212" i="12"/>
  <c r="D212" i="12"/>
  <c r="C212" i="12"/>
  <c r="B212" i="12"/>
  <c r="A212" i="12"/>
  <c r="H211" i="12"/>
  <c r="G211" i="12"/>
  <c r="F211" i="12"/>
  <c r="E211" i="12"/>
  <c r="D211" i="12"/>
  <c r="C211" i="12"/>
  <c r="B211" i="12"/>
  <c r="A211" i="12"/>
  <c r="H210" i="12"/>
  <c r="G210" i="12"/>
  <c r="F210" i="12"/>
  <c r="E210" i="12"/>
  <c r="D210" i="12"/>
  <c r="C210" i="12"/>
  <c r="B210" i="12"/>
  <c r="A210" i="12"/>
  <c r="H209" i="12"/>
  <c r="G209" i="12"/>
  <c r="F209" i="12"/>
  <c r="E209" i="12"/>
  <c r="D209" i="12"/>
  <c r="C209" i="12"/>
  <c r="B209" i="12"/>
  <c r="A209" i="12"/>
  <c r="H208" i="12"/>
  <c r="G208" i="12"/>
  <c r="F208" i="12"/>
  <c r="E208" i="12"/>
  <c r="D208" i="12"/>
  <c r="C208" i="12"/>
  <c r="B208" i="12"/>
  <c r="A208" i="12"/>
  <c r="H207" i="12"/>
  <c r="G207" i="12"/>
  <c r="F207" i="12"/>
  <c r="E207" i="12"/>
  <c r="D207" i="12"/>
  <c r="C207" i="12"/>
  <c r="B207" i="12"/>
  <c r="A207" i="12"/>
  <c r="H206" i="12"/>
  <c r="G206" i="12"/>
  <c r="F206" i="12"/>
  <c r="E206" i="12"/>
  <c r="D206" i="12"/>
  <c r="C206" i="12"/>
  <c r="B206" i="12"/>
  <c r="A206" i="12"/>
  <c r="H205" i="12"/>
  <c r="G205" i="12"/>
  <c r="F205" i="12"/>
  <c r="E205" i="12"/>
  <c r="D205" i="12"/>
  <c r="C205" i="12"/>
  <c r="B205" i="12"/>
  <c r="A205" i="12"/>
  <c r="H204" i="12"/>
  <c r="G204" i="12"/>
  <c r="F204" i="12"/>
  <c r="E204" i="12"/>
  <c r="D204" i="12"/>
  <c r="C204" i="12"/>
  <c r="B204" i="12"/>
  <c r="A204" i="12"/>
  <c r="H203" i="12"/>
  <c r="G203" i="12"/>
  <c r="F203" i="12"/>
  <c r="E203" i="12"/>
  <c r="D203" i="12"/>
  <c r="C203" i="12"/>
  <c r="B203" i="12"/>
  <c r="A203" i="12"/>
  <c r="H202" i="12"/>
  <c r="G202" i="12"/>
  <c r="F202" i="12"/>
  <c r="E202" i="12"/>
  <c r="D202" i="12"/>
  <c r="C202" i="12"/>
  <c r="B202" i="12"/>
  <c r="A202" i="12"/>
  <c r="H201" i="12"/>
  <c r="G201" i="12"/>
  <c r="F201" i="12"/>
  <c r="E201" i="12"/>
  <c r="D201" i="12"/>
  <c r="C201" i="12"/>
  <c r="B201" i="12"/>
  <c r="A201" i="12"/>
  <c r="H200" i="12"/>
  <c r="G200" i="12"/>
  <c r="F200" i="12"/>
  <c r="E200" i="12"/>
  <c r="D200" i="12"/>
  <c r="C200" i="12"/>
  <c r="B200" i="12"/>
  <c r="A200" i="12"/>
  <c r="H199" i="12"/>
  <c r="G199" i="12"/>
  <c r="F199" i="12"/>
  <c r="E199" i="12"/>
  <c r="D199" i="12"/>
  <c r="C199" i="12"/>
  <c r="B199" i="12"/>
  <c r="A199" i="12"/>
  <c r="H198" i="12"/>
  <c r="G198" i="12"/>
  <c r="F198" i="12"/>
  <c r="E198" i="12"/>
  <c r="D198" i="12"/>
  <c r="C198" i="12"/>
  <c r="B198" i="12"/>
  <c r="A198" i="12"/>
  <c r="H197" i="12"/>
  <c r="G197" i="12"/>
  <c r="F197" i="12"/>
  <c r="E197" i="12"/>
  <c r="D197" i="12"/>
  <c r="C197" i="12"/>
  <c r="B197" i="12"/>
  <c r="A197" i="12"/>
  <c r="H196" i="12"/>
  <c r="G196" i="12"/>
  <c r="F196" i="12"/>
  <c r="E196" i="12"/>
  <c r="D196" i="12"/>
  <c r="C196" i="12"/>
  <c r="B196" i="12"/>
  <c r="A196" i="12"/>
  <c r="H195" i="12"/>
  <c r="G195" i="12"/>
  <c r="F195" i="12"/>
  <c r="E195" i="12"/>
  <c r="D195" i="12"/>
  <c r="C195" i="12"/>
  <c r="B195" i="12"/>
  <c r="A195" i="12"/>
  <c r="H194" i="12"/>
  <c r="G194" i="12"/>
  <c r="F194" i="12"/>
  <c r="E194" i="12"/>
  <c r="D194" i="12"/>
  <c r="C194" i="12"/>
  <c r="B194" i="12"/>
  <c r="A194" i="12"/>
  <c r="H193" i="12"/>
  <c r="G193" i="12"/>
  <c r="F193" i="12"/>
  <c r="E193" i="12"/>
  <c r="D193" i="12"/>
  <c r="C193" i="12"/>
  <c r="B193" i="12"/>
  <c r="A193" i="12"/>
  <c r="H192" i="12"/>
  <c r="G192" i="12"/>
  <c r="F192" i="12"/>
  <c r="E192" i="12"/>
  <c r="D192" i="12"/>
  <c r="C192" i="12"/>
  <c r="B192" i="12"/>
  <c r="A192" i="12"/>
  <c r="H191" i="12"/>
  <c r="G191" i="12"/>
  <c r="F191" i="12"/>
  <c r="E191" i="12"/>
  <c r="D191" i="12"/>
  <c r="C191" i="12"/>
  <c r="B191" i="12"/>
  <c r="A191" i="12"/>
  <c r="H190" i="12"/>
  <c r="G190" i="12"/>
  <c r="F190" i="12"/>
  <c r="E190" i="12"/>
  <c r="D190" i="12"/>
  <c r="C190" i="12"/>
  <c r="B190" i="12"/>
  <c r="A190" i="12"/>
  <c r="H189" i="12"/>
  <c r="G189" i="12"/>
  <c r="F189" i="12"/>
  <c r="E189" i="12"/>
  <c r="D189" i="12"/>
  <c r="C189" i="12"/>
  <c r="B189" i="12"/>
  <c r="A189" i="12"/>
  <c r="H188" i="12"/>
  <c r="G188" i="12"/>
  <c r="F188" i="12"/>
  <c r="E188" i="12"/>
  <c r="D188" i="12"/>
  <c r="C188" i="12"/>
  <c r="B188" i="12"/>
  <c r="A188" i="12"/>
  <c r="H187" i="12"/>
  <c r="G187" i="12"/>
  <c r="F187" i="12"/>
  <c r="E187" i="12"/>
  <c r="D187" i="12"/>
  <c r="C187" i="12"/>
  <c r="B187" i="12"/>
  <c r="A187" i="12"/>
  <c r="H186" i="12"/>
  <c r="G186" i="12"/>
  <c r="F186" i="12"/>
  <c r="E186" i="12"/>
  <c r="D186" i="12"/>
  <c r="C186" i="12"/>
  <c r="B186" i="12"/>
  <c r="A186" i="12"/>
  <c r="H185" i="12"/>
  <c r="G185" i="12"/>
  <c r="F185" i="12"/>
  <c r="E185" i="12"/>
  <c r="D185" i="12"/>
  <c r="C185" i="12"/>
  <c r="B185" i="12"/>
  <c r="A185" i="12"/>
  <c r="H184" i="12"/>
  <c r="G184" i="12"/>
  <c r="F184" i="12"/>
  <c r="E184" i="12"/>
  <c r="D184" i="12"/>
  <c r="C184" i="12"/>
  <c r="B184" i="12"/>
  <c r="A184" i="12"/>
  <c r="H183" i="12"/>
  <c r="G183" i="12"/>
  <c r="F183" i="12"/>
  <c r="E183" i="12"/>
  <c r="D183" i="12"/>
  <c r="C183" i="12"/>
  <c r="B183" i="12"/>
  <c r="A183" i="12"/>
  <c r="H182" i="12"/>
  <c r="G182" i="12"/>
  <c r="F182" i="12"/>
  <c r="E182" i="12"/>
  <c r="D182" i="12"/>
  <c r="C182" i="12"/>
  <c r="B182" i="12"/>
  <c r="A182" i="12"/>
  <c r="H181" i="12"/>
  <c r="G181" i="12"/>
  <c r="F181" i="12"/>
  <c r="E181" i="12"/>
  <c r="D181" i="12"/>
  <c r="C181" i="12"/>
  <c r="B181" i="12"/>
  <c r="A181" i="12"/>
  <c r="H180" i="12"/>
  <c r="G180" i="12"/>
  <c r="F180" i="12"/>
  <c r="E180" i="12"/>
  <c r="D180" i="12"/>
  <c r="C180" i="12"/>
  <c r="B180" i="12"/>
  <c r="A180" i="12"/>
  <c r="H179" i="12"/>
  <c r="G179" i="12"/>
  <c r="F179" i="12"/>
  <c r="E179" i="12"/>
  <c r="D179" i="12"/>
  <c r="C179" i="12"/>
  <c r="B179" i="12"/>
  <c r="A179" i="12"/>
  <c r="H178" i="12"/>
  <c r="G178" i="12"/>
  <c r="F178" i="12"/>
  <c r="E178" i="12"/>
  <c r="D178" i="12"/>
  <c r="C178" i="12"/>
  <c r="B178" i="12"/>
  <c r="A178" i="12"/>
  <c r="H177" i="12"/>
  <c r="G177" i="12"/>
  <c r="F177" i="12"/>
  <c r="E177" i="12"/>
  <c r="D177" i="12"/>
  <c r="C177" i="12"/>
  <c r="B177" i="12"/>
  <c r="A177" i="12"/>
  <c r="H176" i="12"/>
  <c r="G176" i="12"/>
  <c r="F176" i="12"/>
  <c r="E176" i="12"/>
  <c r="D176" i="12"/>
  <c r="C176" i="12"/>
  <c r="B176" i="12"/>
  <c r="A176" i="12"/>
  <c r="H175" i="12"/>
  <c r="G175" i="12"/>
  <c r="F175" i="12"/>
  <c r="E175" i="12"/>
  <c r="D175" i="12"/>
  <c r="C175" i="12"/>
  <c r="B175" i="12"/>
  <c r="A175" i="12"/>
  <c r="H174" i="12"/>
  <c r="G174" i="12"/>
  <c r="F174" i="12"/>
  <c r="E174" i="12"/>
  <c r="D174" i="12"/>
  <c r="C174" i="12"/>
  <c r="B174" i="12"/>
  <c r="A174" i="12"/>
  <c r="H173" i="12"/>
  <c r="G173" i="12"/>
  <c r="F173" i="12"/>
  <c r="E173" i="12"/>
  <c r="D173" i="12"/>
  <c r="C173" i="12"/>
  <c r="B173" i="12"/>
  <c r="A173" i="12"/>
  <c r="H172" i="12"/>
  <c r="G172" i="12"/>
  <c r="F172" i="12"/>
  <c r="E172" i="12"/>
  <c r="D172" i="12"/>
  <c r="C172" i="12"/>
  <c r="B172" i="12"/>
  <c r="A172" i="12"/>
  <c r="H171" i="12"/>
  <c r="G171" i="12"/>
  <c r="F171" i="12"/>
  <c r="E171" i="12"/>
  <c r="D171" i="12"/>
  <c r="C171" i="12"/>
  <c r="B171" i="12"/>
  <c r="A171" i="12"/>
  <c r="H170" i="12"/>
  <c r="G170" i="12"/>
  <c r="F170" i="12"/>
  <c r="E170" i="12"/>
  <c r="D170" i="12"/>
  <c r="C170" i="12"/>
  <c r="B170" i="12"/>
  <c r="A170" i="12"/>
  <c r="H169" i="12"/>
  <c r="G169" i="12"/>
  <c r="F169" i="12"/>
  <c r="E169" i="12"/>
  <c r="D169" i="12"/>
  <c r="C169" i="12"/>
  <c r="B169" i="12"/>
  <c r="A169" i="12"/>
  <c r="H168" i="12"/>
  <c r="G168" i="12"/>
  <c r="F168" i="12"/>
  <c r="E168" i="12"/>
  <c r="D168" i="12"/>
  <c r="C168" i="12"/>
  <c r="B168" i="12"/>
  <c r="A168" i="12"/>
  <c r="H167" i="12"/>
  <c r="G167" i="12"/>
  <c r="F167" i="12"/>
  <c r="E167" i="12"/>
  <c r="D167" i="12"/>
  <c r="C167" i="12"/>
  <c r="B167" i="12"/>
  <c r="A167" i="12"/>
  <c r="H166" i="12"/>
  <c r="G166" i="12"/>
  <c r="F166" i="12"/>
  <c r="E166" i="12"/>
  <c r="D166" i="12"/>
  <c r="C166" i="12"/>
  <c r="B166" i="12"/>
  <c r="A166" i="12"/>
  <c r="H165" i="12"/>
  <c r="G165" i="12"/>
  <c r="F165" i="12"/>
  <c r="E165" i="12"/>
  <c r="D165" i="12"/>
  <c r="C165" i="12"/>
  <c r="B165" i="12"/>
  <c r="A165" i="12"/>
  <c r="H164" i="12"/>
  <c r="G164" i="12"/>
  <c r="F164" i="12"/>
  <c r="E164" i="12"/>
  <c r="D164" i="12"/>
  <c r="C164" i="12"/>
  <c r="B164" i="12"/>
  <c r="A164" i="12"/>
  <c r="H163" i="12"/>
  <c r="G163" i="12"/>
  <c r="F163" i="12"/>
  <c r="E163" i="12"/>
  <c r="D163" i="12"/>
  <c r="C163" i="12"/>
  <c r="B163" i="12"/>
  <c r="A163" i="12"/>
  <c r="H162" i="12"/>
  <c r="G162" i="12"/>
  <c r="F162" i="12"/>
  <c r="E162" i="12"/>
  <c r="D162" i="12"/>
  <c r="C162" i="12"/>
  <c r="B162" i="12"/>
  <c r="A162" i="12"/>
  <c r="H161" i="12"/>
  <c r="G161" i="12"/>
  <c r="F161" i="12"/>
  <c r="E161" i="12"/>
  <c r="D161" i="12"/>
  <c r="C161" i="12"/>
  <c r="B161" i="12"/>
  <c r="A161" i="12"/>
  <c r="H160" i="12"/>
  <c r="G160" i="12"/>
  <c r="F160" i="12"/>
  <c r="E160" i="12"/>
  <c r="D160" i="12"/>
  <c r="C160" i="12"/>
  <c r="B160" i="12"/>
  <c r="A160" i="12"/>
  <c r="H159" i="12"/>
  <c r="G159" i="12"/>
  <c r="F159" i="12"/>
  <c r="E159" i="12"/>
  <c r="D159" i="12"/>
  <c r="C159" i="12"/>
  <c r="B159" i="12"/>
  <c r="A159" i="12"/>
  <c r="H158" i="12"/>
  <c r="G158" i="12"/>
  <c r="F158" i="12"/>
  <c r="E158" i="12"/>
  <c r="D158" i="12"/>
  <c r="C158" i="12"/>
  <c r="B158" i="12"/>
  <c r="A158" i="12"/>
  <c r="H157" i="12"/>
  <c r="G157" i="12"/>
  <c r="F157" i="12"/>
  <c r="E157" i="12"/>
  <c r="D157" i="12"/>
  <c r="C157" i="12"/>
  <c r="B157" i="12"/>
  <c r="A157" i="12"/>
  <c r="H156" i="12"/>
  <c r="G156" i="12"/>
  <c r="F156" i="12"/>
  <c r="E156" i="12"/>
  <c r="D156" i="12"/>
  <c r="C156" i="12"/>
  <c r="B156" i="12"/>
  <c r="A156" i="12"/>
  <c r="H155" i="12"/>
  <c r="G155" i="12"/>
  <c r="F155" i="12"/>
  <c r="E155" i="12"/>
  <c r="D155" i="12"/>
  <c r="C155" i="12"/>
  <c r="B155" i="12"/>
  <c r="A155" i="12"/>
  <c r="H154" i="12"/>
  <c r="G154" i="12"/>
  <c r="F154" i="12"/>
  <c r="E154" i="12"/>
  <c r="D154" i="12"/>
  <c r="C154" i="12"/>
  <c r="B154" i="12"/>
  <c r="A154" i="12"/>
  <c r="H153" i="12"/>
  <c r="G153" i="12"/>
  <c r="F153" i="12"/>
  <c r="E153" i="12"/>
  <c r="D153" i="12"/>
  <c r="C153" i="12"/>
  <c r="B153" i="12"/>
  <c r="A153" i="12"/>
  <c r="H152" i="12"/>
  <c r="G152" i="12"/>
  <c r="F152" i="12"/>
  <c r="E152" i="12"/>
  <c r="D152" i="12"/>
  <c r="C152" i="12"/>
  <c r="B152" i="12"/>
  <c r="A152" i="12"/>
  <c r="H151" i="12"/>
  <c r="G151" i="12"/>
  <c r="F151" i="12"/>
  <c r="E151" i="12"/>
  <c r="D151" i="12"/>
  <c r="C151" i="12"/>
  <c r="B151" i="12"/>
  <c r="A151" i="12"/>
  <c r="H150" i="12"/>
  <c r="G150" i="12"/>
  <c r="F150" i="12"/>
  <c r="E150" i="12"/>
  <c r="D150" i="12"/>
  <c r="C150" i="12"/>
  <c r="B150" i="12"/>
  <c r="A150" i="12"/>
  <c r="H149" i="12"/>
  <c r="G149" i="12"/>
  <c r="F149" i="12"/>
  <c r="E149" i="12"/>
  <c r="D149" i="12"/>
  <c r="C149" i="12"/>
  <c r="B149" i="12"/>
  <c r="A149" i="12"/>
  <c r="H148" i="12"/>
  <c r="G148" i="12"/>
  <c r="F148" i="12"/>
  <c r="E148" i="12"/>
  <c r="D148" i="12"/>
  <c r="C148" i="12"/>
  <c r="B148" i="12"/>
  <c r="A148" i="12"/>
  <c r="H147" i="12"/>
  <c r="G147" i="12"/>
  <c r="F147" i="12"/>
  <c r="E147" i="12"/>
  <c r="D147" i="12"/>
  <c r="C147" i="12"/>
  <c r="B147" i="12"/>
  <c r="A147" i="12"/>
  <c r="H146" i="12"/>
  <c r="G146" i="12"/>
  <c r="F146" i="12"/>
  <c r="E146" i="12"/>
  <c r="D146" i="12"/>
  <c r="C146" i="12"/>
  <c r="B146" i="12"/>
  <c r="A146" i="12"/>
  <c r="H145" i="12"/>
  <c r="G145" i="12"/>
  <c r="F145" i="12"/>
  <c r="E145" i="12"/>
  <c r="D145" i="12"/>
  <c r="C145" i="12"/>
  <c r="B145" i="12"/>
  <c r="A145" i="12"/>
  <c r="H144" i="12"/>
  <c r="G144" i="12"/>
  <c r="F144" i="12"/>
  <c r="E144" i="12"/>
  <c r="D144" i="12"/>
  <c r="C144" i="12"/>
  <c r="B144" i="12"/>
  <c r="A144" i="12"/>
  <c r="H143" i="12"/>
  <c r="G143" i="12"/>
  <c r="F143" i="12"/>
  <c r="E143" i="12"/>
  <c r="D143" i="12"/>
  <c r="C143" i="12"/>
  <c r="B143" i="12"/>
  <c r="A143" i="12"/>
  <c r="H142" i="12"/>
  <c r="G142" i="12"/>
  <c r="F142" i="12"/>
  <c r="E142" i="12"/>
  <c r="D142" i="12"/>
  <c r="C142" i="12"/>
  <c r="B142" i="12"/>
  <c r="A142" i="12"/>
  <c r="H141" i="12"/>
  <c r="G141" i="12"/>
  <c r="F141" i="12"/>
  <c r="E141" i="12"/>
  <c r="D141" i="12"/>
  <c r="C141" i="12"/>
  <c r="B141" i="12"/>
  <c r="A141" i="12"/>
  <c r="H140" i="12"/>
  <c r="G140" i="12"/>
  <c r="F140" i="12"/>
  <c r="E140" i="12"/>
  <c r="D140" i="12"/>
  <c r="C140" i="12"/>
  <c r="B140" i="12"/>
  <c r="A140" i="12"/>
  <c r="H139" i="12"/>
  <c r="G139" i="12"/>
  <c r="F139" i="12"/>
  <c r="E139" i="12"/>
  <c r="D139" i="12"/>
  <c r="C139" i="12"/>
  <c r="B139" i="12"/>
  <c r="A139" i="12"/>
  <c r="H138" i="12"/>
  <c r="G138" i="12"/>
  <c r="F138" i="12"/>
  <c r="E138" i="12"/>
  <c r="D138" i="12"/>
  <c r="C138" i="12"/>
  <c r="B138" i="12"/>
  <c r="A138" i="12"/>
  <c r="H137" i="12"/>
  <c r="G137" i="12"/>
  <c r="F137" i="12"/>
  <c r="E137" i="12"/>
  <c r="D137" i="12"/>
  <c r="C137" i="12"/>
  <c r="B137" i="12"/>
  <c r="A137" i="12"/>
  <c r="H136" i="12"/>
  <c r="G136" i="12"/>
  <c r="F136" i="12"/>
  <c r="E136" i="12"/>
  <c r="D136" i="12"/>
  <c r="C136" i="12"/>
  <c r="B136" i="12"/>
  <c r="A136" i="12"/>
  <c r="H135" i="12"/>
  <c r="G135" i="12"/>
  <c r="F135" i="12"/>
  <c r="E135" i="12"/>
  <c r="D135" i="12"/>
  <c r="C135" i="12"/>
  <c r="B135" i="12"/>
  <c r="A135" i="12"/>
  <c r="H134" i="12"/>
  <c r="G134" i="12"/>
  <c r="F134" i="12"/>
  <c r="E134" i="12"/>
  <c r="D134" i="12"/>
  <c r="C134" i="12"/>
  <c r="B134" i="12"/>
  <c r="A134" i="12"/>
  <c r="H133" i="12"/>
  <c r="G133" i="12"/>
  <c r="F133" i="12"/>
  <c r="E133" i="12"/>
  <c r="D133" i="12"/>
  <c r="C133" i="12"/>
  <c r="B133" i="12"/>
  <c r="A133" i="12"/>
  <c r="H132" i="12"/>
  <c r="G132" i="12"/>
  <c r="F132" i="12"/>
  <c r="E132" i="12"/>
  <c r="D132" i="12"/>
  <c r="C132" i="12"/>
  <c r="B132" i="12"/>
  <c r="A132" i="12"/>
  <c r="H131" i="12"/>
  <c r="G131" i="12"/>
  <c r="F131" i="12"/>
  <c r="E131" i="12"/>
  <c r="D131" i="12"/>
  <c r="C131" i="12"/>
  <c r="B131" i="12"/>
  <c r="A131" i="12"/>
  <c r="H130" i="12"/>
  <c r="G130" i="12"/>
  <c r="F130" i="12"/>
  <c r="E130" i="12"/>
  <c r="D130" i="12"/>
  <c r="C130" i="12"/>
  <c r="B130" i="12"/>
  <c r="A130" i="12"/>
  <c r="H129" i="12"/>
  <c r="G129" i="12"/>
  <c r="F129" i="12"/>
  <c r="E129" i="12"/>
  <c r="D129" i="12"/>
  <c r="C129" i="12"/>
  <c r="B129" i="12"/>
  <c r="A129" i="12"/>
  <c r="H128" i="12"/>
  <c r="G128" i="12"/>
  <c r="F128" i="12"/>
  <c r="E128" i="12"/>
  <c r="D128" i="12"/>
  <c r="C128" i="12"/>
  <c r="B128" i="12"/>
  <c r="A128" i="12"/>
  <c r="H127" i="12"/>
  <c r="G127" i="12"/>
  <c r="F127" i="12"/>
  <c r="E127" i="12"/>
  <c r="D127" i="12"/>
  <c r="C127" i="12"/>
  <c r="B127" i="12"/>
  <c r="A127" i="12"/>
  <c r="H126" i="12"/>
  <c r="G126" i="12"/>
  <c r="F126" i="12"/>
  <c r="E126" i="12"/>
  <c r="D126" i="12"/>
  <c r="C126" i="12"/>
  <c r="B126" i="12"/>
  <c r="A126" i="12"/>
  <c r="H125" i="12"/>
  <c r="G125" i="12"/>
  <c r="F125" i="12"/>
  <c r="E125" i="12"/>
  <c r="D125" i="12"/>
  <c r="C125" i="12"/>
  <c r="B125" i="12"/>
  <c r="A125" i="12"/>
  <c r="H124" i="12"/>
  <c r="G124" i="12"/>
  <c r="F124" i="12"/>
  <c r="E124" i="12"/>
  <c r="D124" i="12"/>
  <c r="C124" i="12"/>
  <c r="B124" i="12"/>
  <c r="A124" i="12"/>
  <c r="H123" i="12"/>
  <c r="G123" i="12"/>
  <c r="F123" i="12"/>
  <c r="E123" i="12"/>
  <c r="D123" i="12"/>
  <c r="C123" i="12"/>
  <c r="B123" i="12"/>
  <c r="A123" i="12"/>
  <c r="H122" i="12"/>
  <c r="G122" i="12"/>
  <c r="F122" i="12"/>
  <c r="E122" i="12"/>
  <c r="D122" i="12"/>
  <c r="C122" i="12"/>
  <c r="B122" i="12"/>
  <c r="A122" i="12"/>
  <c r="H121" i="12"/>
  <c r="G121" i="12"/>
  <c r="F121" i="12"/>
  <c r="E121" i="12"/>
  <c r="D121" i="12"/>
  <c r="C121" i="12"/>
  <c r="B121" i="12"/>
  <c r="A121" i="12"/>
  <c r="H120" i="12"/>
  <c r="G120" i="12"/>
  <c r="F120" i="12"/>
  <c r="E120" i="12"/>
  <c r="D120" i="12"/>
  <c r="C120" i="12"/>
  <c r="B120" i="12"/>
  <c r="A120" i="12"/>
  <c r="H119" i="12"/>
  <c r="G119" i="12"/>
  <c r="F119" i="12"/>
  <c r="E119" i="12"/>
  <c r="D119" i="12"/>
  <c r="C119" i="12"/>
  <c r="B119" i="12"/>
  <c r="A119" i="12"/>
  <c r="H118" i="12"/>
  <c r="G118" i="12"/>
  <c r="F118" i="12"/>
  <c r="E118" i="12"/>
  <c r="D118" i="12"/>
  <c r="C118" i="12"/>
  <c r="B118" i="12"/>
  <c r="A118" i="12"/>
  <c r="H117" i="12"/>
  <c r="G117" i="12"/>
  <c r="F117" i="12"/>
  <c r="E117" i="12"/>
  <c r="D117" i="12"/>
  <c r="C117" i="12"/>
  <c r="B117" i="12"/>
  <c r="A117" i="12"/>
  <c r="H116" i="12"/>
  <c r="G116" i="12"/>
  <c r="F116" i="12"/>
  <c r="E116" i="12"/>
  <c r="D116" i="12"/>
  <c r="C116" i="12"/>
  <c r="B116" i="12"/>
  <c r="A116" i="12"/>
  <c r="H115" i="12"/>
  <c r="G115" i="12"/>
  <c r="F115" i="12"/>
  <c r="E115" i="12"/>
  <c r="D115" i="12"/>
  <c r="C115" i="12"/>
  <c r="B115" i="12"/>
  <c r="A115" i="12"/>
  <c r="H114" i="12"/>
  <c r="G114" i="12"/>
  <c r="F114" i="12"/>
  <c r="E114" i="12"/>
  <c r="D114" i="12"/>
  <c r="C114" i="12"/>
  <c r="B114" i="12"/>
  <c r="A114" i="12"/>
  <c r="H113" i="12"/>
  <c r="G113" i="12"/>
  <c r="F113" i="12"/>
  <c r="E113" i="12"/>
  <c r="D113" i="12"/>
  <c r="C113" i="12"/>
  <c r="B113" i="12"/>
  <c r="A113" i="12"/>
  <c r="H112" i="12"/>
  <c r="G112" i="12"/>
  <c r="F112" i="12"/>
  <c r="E112" i="12"/>
  <c r="D112" i="12"/>
  <c r="C112" i="12"/>
  <c r="B112" i="12"/>
  <c r="A112" i="12"/>
  <c r="H111" i="12"/>
  <c r="G111" i="12"/>
  <c r="F111" i="12"/>
  <c r="E111" i="12"/>
  <c r="D111" i="12"/>
  <c r="C111" i="12"/>
  <c r="B111" i="12"/>
  <c r="A111" i="12"/>
  <c r="H110" i="12"/>
  <c r="G110" i="12"/>
  <c r="F110" i="12"/>
  <c r="E110" i="12"/>
  <c r="D110" i="12"/>
  <c r="C110" i="12"/>
  <c r="B110" i="12"/>
  <c r="A110" i="12"/>
  <c r="H109" i="12"/>
  <c r="G109" i="12"/>
  <c r="F109" i="12"/>
  <c r="E109" i="12"/>
  <c r="D109" i="12"/>
  <c r="C109" i="12"/>
  <c r="B109" i="12"/>
  <c r="A109" i="12"/>
  <c r="H108" i="12"/>
  <c r="G108" i="12"/>
  <c r="F108" i="12"/>
  <c r="E108" i="12"/>
  <c r="D108" i="12"/>
  <c r="C108" i="12"/>
  <c r="B108" i="12"/>
  <c r="A108" i="12"/>
  <c r="H107" i="12"/>
  <c r="G107" i="12"/>
  <c r="F107" i="12"/>
  <c r="E107" i="12"/>
  <c r="D107" i="12"/>
  <c r="C107" i="12"/>
  <c r="B107" i="12"/>
  <c r="A107" i="12"/>
  <c r="H106" i="12"/>
  <c r="G106" i="12"/>
  <c r="F106" i="12"/>
  <c r="E106" i="12"/>
  <c r="D106" i="12"/>
  <c r="C106" i="12"/>
  <c r="B106" i="12"/>
  <c r="A106" i="12"/>
  <c r="H105" i="12"/>
  <c r="G105" i="12"/>
  <c r="F105" i="12"/>
  <c r="E105" i="12"/>
  <c r="D105" i="12"/>
  <c r="C105" i="12"/>
  <c r="B105" i="12"/>
  <c r="A105" i="12"/>
  <c r="H104" i="12"/>
  <c r="G104" i="12"/>
  <c r="F104" i="12"/>
  <c r="E104" i="12"/>
  <c r="D104" i="12"/>
  <c r="C104" i="12"/>
  <c r="B104" i="12"/>
  <c r="A104" i="12"/>
  <c r="H103" i="12"/>
  <c r="G103" i="12"/>
  <c r="F103" i="12"/>
  <c r="E103" i="12"/>
  <c r="D103" i="12"/>
  <c r="C103" i="12"/>
  <c r="B103" i="12"/>
  <c r="A103" i="12"/>
  <c r="H102" i="12"/>
  <c r="G102" i="12"/>
  <c r="F102" i="12"/>
  <c r="E102" i="12"/>
  <c r="D102" i="12"/>
  <c r="C102" i="12"/>
  <c r="B102" i="12"/>
  <c r="A102" i="12"/>
  <c r="H101" i="12"/>
  <c r="G101" i="12"/>
  <c r="F101" i="12"/>
  <c r="E101" i="12"/>
  <c r="D101" i="12"/>
  <c r="C101" i="12"/>
  <c r="B101" i="12"/>
  <c r="A101" i="12"/>
  <c r="H100" i="12"/>
  <c r="G100" i="12"/>
  <c r="F100" i="12"/>
  <c r="E100" i="12"/>
  <c r="D100" i="12"/>
  <c r="C100" i="12"/>
  <c r="B100" i="12"/>
  <c r="A100" i="12"/>
  <c r="H99" i="12"/>
  <c r="G99" i="12"/>
  <c r="F99" i="12"/>
  <c r="E99" i="12"/>
  <c r="D99" i="12"/>
  <c r="C99" i="12"/>
  <c r="B99" i="12"/>
  <c r="A99" i="12"/>
  <c r="H98" i="12"/>
  <c r="G98" i="12"/>
  <c r="F98" i="12"/>
  <c r="E98" i="12"/>
  <c r="D98" i="12"/>
  <c r="C98" i="12"/>
  <c r="B98" i="12"/>
  <c r="A98" i="12"/>
  <c r="H97" i="12"/>
  <c r="G97" i="12"/>
  <c r="F97" i="12"/>
  <c r="E97" i="12"/>
  <c r="D97" i="12"/>
  <c r="C97" i="12"/>
  <c r="B97" i="12"/>
  <c r="A97" i="12"/>
  <c r="H96" i="12"/>
  <c r="G96" i="12"/>
  <c r="F96" i="12"/>
  <c r="E96" i="12"/>
  <c r="D96" i="12"/>
  <c r="C96" i="12"/>
  <c r="B96" i="12"/>
  <c r="A96" i="12"/>
  <c r="H95" i="12"/>
  <c r="G95" i="12"/>
  <c r="F95" i="12"/>
  <c r="E95" i="12"/>
  <c r="D95" i="12"/>
  <c r="C95" i="12"/>
  <c r="B95" i="12"/>
  <c r="A95" i="12"/>
  <c r="H94" i="12"/>
  <c r="G94" i="12"/>
  <c r="F94" i="12"/>
  <c r="E94" i="12"/>
  <c r="D94" i="12"/>
  <c r="C94" i="12"/>
  <c r="B94" i="12"/>
  <c r="A94" i="12"/>
  <c r="H93" i="12"/>
  <c r="G93" i="12"/>
  <c r="F93" i="12"/>
  <c r="E93" i="12"/>
  <c r="D93" i="12"/>
  <c r="C93" i="12"/>
  <c r="B93" i="12"/>
  <c r="A93" i="12"/>
  <c r="H92" i="12"/>
  <c r="G92" i="12"/>
  <c r="F92" i="12"/>
  <c r="E92" i="12"/>
  <c r="D92" i="12"/>
  <c r="C92" i="12"/>
  <c r="B92" i="12"/>
  <c r="A92" i="12"/>
  <c r="H91" i="12"/>
  <c r="G91" i="12"/>
  <c r="F91" i="12"/>
  <c r="E91" i="12"/>
  <c r="D91" i="12"/>
  <c r="C91" i="12"/>
  <c r="B91" i="12"/>
  <c r="A91" i="12"/>
  <c r="H90" i="12"/>
  <c r="G90" i="12"/>
  <c r="F90" i="12"/>
  <c r="E90" i="12"/>
  <c r="D90" i="12"/>
  <c r="C90" i="12"/>
  <c r="B90" i="12"/>
  <c r="A90" i="12"/>
  <c r="H89" i="12"/>
  <c r="G89" i="12"/>
  <c r="F89" i="12"/>
  <c r="E89" i="12"/>
  <c r="D89" i="12"/>
  <c r="C89" i="12"/>
  <c r="B89" i="12"/>
  <c r="A89" i="12"/>
  <c r="H88" i="12"/>
  <c r="G88" i="12"/>
  <c r="F88" i="12"/>
  <c r="E88" i="12"/>
  <c r="D88" i="12"/>
  <c r="C88" i="12"/>
  <c r="B88" i="12"/>
  <c r="A88" i="12"/>
  <c r="H87" i="12"/>
  <c r="G87" i="12"/>
  <c r="F87" i="12"/>
  <c r="E87" i="12"/>
  <c r="D87" i="12"/>
  <c r="C87" i="12"/>
  <c r="B87" i="12"/>
  <c r="A87" i="12"/>
  <c r="H86" i="12"/>
  <c r="G86" i="12"/>
  <c r="F86" i="12"/>
  <c r="E86" i="12"/>
  <c r="D86" i="12"/>
  <c r="C86" i="12"/>
  <c r="B86" i="12"/>
  <c r="A86" i="12"/>
  <c r="H85" i="12"/>
  <c r="G85" i="12"/>
  <c r="F85" i="12"/>
  <c r="E85" i="12"/>
  <c r="D85" i="12"/>
  <c r="C85" i="12"/>
  <c r="B85" i="12"/>
  <c r="A85" i="12"/>
  <c r="H84" i="12"/>
  <c r="G84" i="12"/>
  <c r="F84" i="12"/>
  <c r="E84" i="12"/>
  <c r="D84" i="12"/>
  <c r="C84" i="12"/>
  <c r="B84" i="12"/>
  <c r="A84" i="12"/>
  <c r="H83" i="12"/>
  <c r="G83" i="12"/>
  <c r="F83" i="12"/>
  <c r="E83" i="12"/>
  <c r="D83" i="12"/>
  <c r="C83" i="12"/>
  <c r="B83" i="12"/>
  <c r="A83" i="12"/>
  <c r="H82" i="12"/>
  <c r="G82" i="12"/>
  <c r="F82" i="12"/>
  <c r="E82" i="12"/>
  <c r="D82" i="12"/>
  <c r="C82" i="12"/>
  <c r="B82" i="12"/>
  <c r="A82" i="12"/>
  <c r="H81" i="12"/>
  <c r="G81" i="12"/>
  <c r="F81" i="12"/>
  <c r="E81" i="12"/>
  <c r="D81" i="12"/>
  <c r="C81" i="12"/>
  <c r="B81" i="12"/>
  <c r="A81" i="12"/>
  <c r="H80" i="12"/>
  <c r="G80" i="12"/>
  <c r="F80" i="12"/>
  <c r="E80" i="12"/>
  <c r="D80" i="12"/>
  <c r="C80" i="12"/>
  <c r="B80" i="12"/>
  <c r="A80" i="12"/>
  <c r="H79" i="12"/>
  <c r="G79" i="12"/>
  <c r="F79" i="12"/>
  <c r="E79" i="12"/>
  <c r="D79" i="12"/>
  <c r="C79" i="12"/>
  <c r="B79" i="12"/>
  <c r="A79" i="12"/>
  <c r="H78" i="12"/>
  <c r="G78" i="12"/>
  <c r="F78" i="12"/>
  <c r="E78" i="12"/>
  <c r="D78" i="12"/>
  <c r="C78" i="12"/>
  <c r="B78" i="12"/>
  <c r="A78" i="12"/>
  <c r="H77" i="12"/>
  <c r="G77" i="12"/>
  <c r="F77" i="12"/>
  <c r="E77" i="12"/>
  <c r="D77" i="12"/>
  <c r="C77" i="12"/>
  <c r="B77" i="12"/>
  <c r="A77" i="12"/>
  <c r="H76" i="12"/>
  <c r="G76" i="12"/>
  <c r="F76" i="12"/>
  <c r="E76" i="12"/>
  <c r="D76" i="12"/>
  <c r="C76" i="12"/>
  <c r="B76" i="12"/>
  <c r="A76" i="12"/>
  <c r="H75" i="12"/>
  <c r="G75" i="12"/>
  <c r="F75" i="12"/>
  <c r="E75" i="12"/>
  <c r="D75" i="12"/>
  <c r="C75" i="12"/>
  <c r="B75" i="12"/>
  <c r="A75" i="12"/>
  <c r="H74" i="12"/>
  <c r="G74" i="12"/>
  <c r="F74" i="12"/>
  <c r="E74" i="12"/>
  <c r="D74" i="12"/>
  <c r="C74" i="12"/>
  <c r="B74" i="12"/>
  <c r="A74" i="12"/>
  <c r="H73" i="12"/>
  <c r="G73" i="12"/>
  <c r="F73" i="12"/>
  <c r="E73" i="12"/>
  <c r="D73" i="12"/>
  <c r="C73" i="12"/>
  <c r="B73" i="12"/>
  <c r="A73" i="12"/>
  <c r="H72" i="12"/>
  <c r="G72" i="12"/>
  <c r="F72" i="12"/>
  <c r="E72" i="12"/>
  <c r="D72" i="12"/>
  <c r="C72" i="12"/>
  <c r="B72" i="12"/>
  <c r="A72" i="12"/>
  <c r="H71" i="12"/>
  <c r="G71" i="12"/>
  <c r="F71" i="12"/>
  <c r="E71" i="12"/>
  <c r="D71" i="12"/>
  <c r="C71" i="12"/>
  <c r="B71" i="12"/>
  <c r="A71" i="12"/>
  <c r="H70" i="12"/>
  <c r="G70" i="12"/>
  <c r="F70" i="12"/>
  <c r="E70" i="12"/>
  <c r="D70" i="12"/>
  <c r="C70" i="12"/>
  <c r="B70" i="12"/>
  <c r="A70" i="12"/>
  <c r="H69" i="12"/>
  <c r="G69" i="12"/>
  <c r="F69" i="12"/>
  <c r="E69" i="12"/>
  <c r="D69" i="12"/>
  <c r="C69" i="12"/>
  <c r="B69" i="12"/>
  <c r="A69" i="12"/>
  <c r="H68" i="12"/>
  <c r="G68" i="12"/>
  <c r="F68" i="12"/>
  <c r="E68" i="12"/>
  <c r="D68" i="12"/>
  <c r="C68" i="12"/>
  <c r="B68" i="12"/>
  <c r="A68" i="12"/>
  <c r="H67" i="12"/>
  <c r="G67" i="12"/>
  <c r="F67" i="12"/>
  <c r="E67" i="12"/>
  <c r="D67" i="12"/>
  <c r="C67" i="12"/>
  <c r="B67" i="12"/>
  <c r="A67" i="12"/>
  <c r="H66" i="12"/>
  <c r="G66" i="12"/>
  <c r="F66" i="12"/>
  <c r="E66" i="12"/>
  <c r="D66" i="12"/>
  <c r="C66" i="12"/>
  <c r="B66" i="12"/>
  <c r="A66" i="12"/>
  <c r="H65" i="12"/>
  <c r="G65" i="12"/>
  <c r="F65" i="12"/>
  <c r="E65" i="12"/>
  <c r="D65" i="12"/>
  <c r="C65" i="12"/>
  <c r="B65" i="12"/>
  <c r="A65" i="12"/>
  <c r="H64" i="12"/>
  <c r="G64" i="12"/>
  <c r="F64" i="12"/>
  <c r="E64" i="12"/>
  <c r="D64" i="12"/>
  <c r="C64" i="12"/>
  <c r="B64" i="12"/>
  <c r="A64" i="12"/>
  <c r="H63" i="12"/>
  <c r="G63" i="12"/>
  <c r="F63" i="12"/>
  <c r="E63" i="12"/>
  <c r="D63" i="12"/>
  <c r="C63" i="12"/>
  <c r="B63" i="12"/>
  <c r="A63" i="12"/>
  <c r="H62" i="12"/>
  <c r="G62" i="12"/>
  <c r="F62" i="12"/>
  <c r="E62" i="12"/>
  <c r="D62" i="12"/>
  <c r="C62" i="12"/>
  <c r="B62" i="12"/>
  <c r="A62" i="12"/>
  <c r="H61" i="12"/>
  <c r="G61" i="12"/>
  <c r="F61" i="12"/>
  <c r="E61" i="12"/>
  <c r="D61" i="12"/>
  <c r="C61" i="12"/>
  <c r="B61" i="12"/>
  <c r="A61" i="12"/>
  <c r="H60" i="12"/>
  <c r="G60" i="12"/>
  <c r="F60" i="12"/>
  <c r="E60" i="12"/>
  <c r="D60" i="12"/>
  <c r="C60" i="12"/>
  <c r="B60" i="12"/>
  <c r="A60" i="12"/>
  <c r="H59" i="12"/>
  <c r="G59" i="12"/>
  <c r="F59" i="12"/>
  <c r="E59" i="12"/>
  <c r="D59" i="12"/>
  <c r="C59" i="12"/>
  <c r="B59" i="12"/>
  <c r="A59" i="12"/>
  <c r="H58" i="12"/>
  <c r="G58" i="12"/>
  <c r="F58" i="12"/>
  <c r="E58" i="12"/>
  <c r="D58" i="12"/>
  <c r="C58" i="12"/>
  <c r="B58" i="12"/>
  <c r="A58" i="12"/>
  <c r="H57" i="12"/>
  <c r="G57" i="12"/>
  <c r="F57" i="12"/>
  <c r="E57" i="12"/>
  <c r="D57" i="12"/>
  <c r="C57" i="12"/>
  <c r="B57" i="12"/>
  <c r="A57" i="12"/>
  <c r="H56" i="12"/>
  <c r="G56" i="12"/>
  <c r="F56" i="12"/>
  <c r="E56" i="12"/>
  <c r="D56" i="12"/>
  <c r="C56" i="12"/>
  <c r="B56" i="12"/>
  <c r="A56" i="12"/>
  <c r="H55" i="12"/>
  <c r="G55" i="12"/>
  <c r="F55" i="12"/>
  <c r="E55" i="12"/>
  <c r="D55" i="12"/>
  <c r="C55" i="12"/>
  <c r="B55" i="12"/>
  <c r="A55" i="12"/>
  <c r="H54" i="12"/>
  <c r="G54" i="12"/>
  <c r="F54" i="12"/>
  <c r="E54" i="12"/>
  <c r="D54" i="12"/>
  <c r="C54" i="12"/>
  <c r="B54" i="12"/>
  <c r="A54" i="12"/>
  <c r="H53" i="12"/>
  <c r="G53" i="12"/>
  <c r="F53" i="12"/>
  <c r="E53" i="12"/>
  <c r="D53" i="12"/>
  <c r="C53" i="12"/>
  <c r="B53" i="12"/>
  <c r="A53" i="12"/>
  <c r="H52" i="12"/>
  <c r="G52" i="12"/>
  <c r="F52" i="12"/>
  <c r="E52" i="12"/>
  <c r="D52" i="12"/>
  <c r="C52" i="12"/>
  <c r="B52" i="12"/>
  <c r="A52" i="12"/>
  <c r="H51" i="12"/>
  <c r="G51" i="12"/>
  <c r="F51" i="12"/>
  <c r="E51" i="12"/>
  <c r="D51" i="12"/>
  <c r="C51" i="12"/>
  <c r="B51" i="12"/>
  <c r="A51" i="12"/>
  <c r="H50" i="12"/>
  <c r="G50" i="12"/>
  <c r="F50" i="12"/>
  <c r="E50" i="12"/>
  <c r="D50" i="12"/>
  <c r="C50" i="12"/>
  <c r="B50" i="12"/>
  <c r="A50" i="12"/>
  <c r="H49" i="12"/>
  <c r="G49" i="12"/>
  <c r="F49" i="12"/>
  <c r="E49" i="12"/>
  <c r="D49" i="12"/>
  <c r="C49" i="12"/>
  <c r="B49" i="12"/>
  <c r="A49" i="12"/>
  <c r="H48" i="12"/>
  <c r="G48" i="12"/>
  <c r="F48" i="12"/>
  <c r="E48" i="12"/>
  <c r="D48" i="12"/>
  <c r="C48" i="12"/>
  <c r="B48" i="12"/>
  <c r="A48" i="12"/>
  <c r="H47" i="12"/>
  <c r="G47" i="12"/>
  <c r="F47" i="12"/>
  <c r="E47" i="12"/>
  <c r="D47" i="12"/>
  <c r="C47" i="12"/>
  <c r="B47" i="12"/>
  <c r="A47" i="12"/>
  <c r="H46" i="12"/>
  <c r="G46" i="12"/>
  <c r="F46" i="12"/>
  <c r="E46" i="12"/>
  <c r="D46" i="12"/>
  <c r="C46" i="12"/>
  <c r="B46" i="12"/>
  <c r="A46" i="12"/>
  <c r="H45" i="12"/>
  <c r="G45" i="12"/>
  <c r="F45" i="12"/>
  <c r="E45" i="12"/>
  <c r="D45" i="12"/>
  <c r="C45" i="12"/>
  <c r="B45" i="12"/>
  <c r="A45" i="12"/>
  <c r="H44" i="12"/>
  <c r="G44" i="12"/>
  <c r="F44" i="12"/>
  <c r="E44" i="12"/>
  <c r="D44" i="12"/>
  <c r="C44" i="12"/>
  <c r="B44" i="12"/>
  <c r="A44" i="12"/>
  <c r="H43" i="12"/>
  <c r="G43" i="12"/>
  <c r="F43" i="12"/>
  <c r="E43" i="12"/>
  <c r="D43" i="12"/>
  <c r="C43" i="12"/>
  <c r="B43" i="12"/>
  <c r="A43" i="12"/>
  <c r="H42" i="12"/>
  <c r="G42" i="12"/>
  <c r="F42" i="12"/>
  <c r="E42" i="12"/>
  <c r="D42" i="12"/>
  <c r="C42" i="12"/>
  <c r="B42" i="12"/>
  <c r="A42" i="12"/>
  <c r="H41" i="12"/>
  <c r="G41" i="12"/>
  <c r="F41" i="12"/>
  <c r="E41" i="12"/>
  <c r="D41" i="12"/>
  <c r="C41" i="12"/>
  <c r="B41" i="12"/>
  <c r="A41" i="12"/>
  <c r="H40" i="12"/>
  <c r="G40" i="12"/>
  <c r="F40" i="12"/>
  <c r="E40" i="12"/>
  <c r="D40" i="12"/>
  <c r="C40" i="12"/>
  <c r="B40" i="12"/>
  <c r="A40" i="12"/>
  <c r="H39" i="12"/>
  <c r="G39" i="12"/>
  <c r="F39" i="12"/>
  <c r="E39" i="12"/>
  <c r="D39" i="12"/>
  <c r="C39" i="12"/>
  <c r="B39" i="12"/>
  <c r="A39" i="12"/>
  <c r="H38" i="12"/>
  <c r="G38" i="12"/>
  <c r="F38" i="12"/>
  <c r="E38" i="12"/>
  <c r="D38" i="12"/>
  <c r="C38" i="12"/>
  <c r="B38" i="12"/>
  <c r="A38" i="12"/>
  <c r="H37" i="12"/>
  <c r="G37" i="12"/>
  <c r="F37" i="12"/>
  <c r="E37" i="12"/>
  <c r="D37" i="12"/>
  <c r="C37" i="12"/>
  <c r="B37" i="12"/>
  <c r="A37" i="12"/>
  <c r="H36" i="12"/>
  <c r="G36" i="12"/>
  <c r="F36" i="12"/>
  <c r="E36" i="12"/>
  <c r="D36" i="12"/>
  <c r="C36" i="12"/>
  <c r="B36" i="12"/>
  <c r="A36" i="12"/>
  <c r="H35" i="12"/>
  <c r="G35" i="12"/>
  <c r="F35" i="12"/>
  <c r="E35" i="12"/>
  <c r="D35" i="12"/>
  <c r="C35" i="12"/>
  <c r="B35" i="12"/>
  <c r="A35" i="12"/>
  <c r="H34" i="12"/>
  <c r="G34" i="12"/>
  <c r="F34" i="12"/>
  <c r="E34" i="12"/>
  <c r="D34" i="12"/>
  <c r="C34" i="12"/>
  <c r="B34" i="12"/>
  <c r="A34" i="12"/>
  <c r="H33" i="12"/>
  <c r="G33" i="12"/>
  <c r="F33" i="12"/>
  <c r="E33" i="12"/>
  <c r="D33" i="12"/>
  <c r="C33" i="12"/>
  <c r="B33" i="12"/>
  <c r="A33" i="12"/>
  <c r="H32" i="12"/>
  <c r="G32" i="12"/>
  <c r="F32" i="12"/>
  <c r="E32" i="12"/>
  <c r="D32" i="12"/>
  <c r="C32" i="12"/>
  <c r="B32" i="12"/>
  <c r="A32" i="12"/>
  <c r="H31" i="12"/>
  <c r="G31" i="12"/>
  <c r="F31" i="12"/>
  <c r="E31" i="12"/>
  <c r="D31" i="12"/>
  <c r="C31" i="12"/>
  <c r="B31" i="12"/>
  <c r="A31" i="12"/>
  <c r="H30" i="12"/>
  <c r="G30" i="12"/>
  <c r="F30" i="12"/>
  <c r="E30" i="12"/>
  <c r="D30" i="12"/>
  <c r="C30" i="12"/>
  <c r="B30" i="12"/>
  <c r="A30" i="12"/>
  <c r="H29" i="12"/>
  <c r="G29" i="12"/>
  <c r="F29" i="12"/>
  <c r="E29" i="12"/>
  <c r="D29" i="12"/>
  <c r="C29" i="12"/>
  <c r="B29" i="12"/>
  <c r="A29" i="12"/>
  <c r="H28" i="12"/>
  <c r="G28" i="12"/>
  <c r="F28" i="12"/>
  <c r="E28" i="12"/>
  <c r="D28" i="12"/>
  <c r="C28" i="12"/>
  <c r="B28" i="12"/>
  <c r="A28" i="12"/>
  <c r="H27" i="12"/>
  <c r="G27" i="12"/>
  <c r="F27" i="12"/>
  <c r="E27" i="12"/>
  <c r="D27" i="12"/>
  <c r="C27" i="12"/>
  <c r="B27" i="12"/>
  <c r="A27" i="12"/>
  <c r="H26" i="12"/>
  <c r="G26" i="12"/>
  <c r="F26" i="12"/>
  <c r="E26" i="12"/>
  <c r="D26" i="12"/>
  <c r="C26" i="12"/>
  <c r="B26" i="12"/>
  <c r="A26" i="12"/>
  <c r="H25" i="12"/>
  <c r="G25" i="12"/>
  <c r="F25" i="12"/>
  <c r="E25" i="12"/>
  <c r="D25" i="12"/>
  <c r="C25" i="12"/>
  <c r="B25" i="12"/>
  <c r="A25" i="12"/>
  <c r="H24" i="12"/>
  <c r="G24" i="12"/>
  <c r="F24" i="12"/>
  <c r="E24" i="12"/>
  <c r="D24" i="12"/>
  <c r="C24" i="12"/>
  <c r="B24" i="12"/>
  <c r="A24" i="12"/>
  <c r="H23" i="12"/>
  <c r="G23" i="12"/>
  <c r="F23" i="12"/>
  <c r="E23" i="12"/>
  <c r="D23" i="12"/>
  <c r="C23" i="12"/>
  <c r="B23" i="12"/>
  <c r="A23" i="12"/>
  <c r="H22" i="12"/>
  <c r="G22" i="12"/>
  <c r="F22" i="12"/>
  <c r="E22" i="12"/>
  <c r="D22" i="12"/>
  <c r="C22" i="12"/>
  <c r="B22" i="12"/>
  <c r="A22" i="12"/>
  <c r="H21" i="12"/>
  <c r="G21" i="12"/>
  <c r="F21" i="12"/>
  <c r="E21" i="12"/>
  <c r="D21" i="12"/>
  <c r="C21" i="12"/>
  <c r="B21" i="12"/>
  <c r="A21" i="12"/>
  <c r="H20" i="12"/>
  <c r="G20" i="12"/>
  <c r="F20" i="12"/>
  <c r="E20" i="12"/>
  <c r="D20" i="12"/>
  <c r="C20" i="12"/>
  <c r="B20" i="12"/>
  <c r="A20" i="12"/>
  <c r="H19" i="12"/>
  <c r="G19" i="12"/>
  <c r="F19" i="12"/>
  <c r="E19" i="12"/>
  <c r="D19" i="12"/>
  <c r="C19" i="12"/>
  <c r="B19" i="12"/>
  <c r="A19" i="12"/>
  <c r="H18" i="12"/>
  <c r="G18" i="12"/>
  <c r="F18" i="12"/>
  <c r="E18" i="12"/>
  <c r="D18" i="12"/>
  <c r="C18" i="12"/>
  <c r="B18" i="12"/>
  <c r="A18" i="12"/>
  <c r="H17" i="12"/>
  <c r="G17" i="12"/>
  <c r="F17" i="12"/>
  <c r="E17" i="12"/>
  <c r="D17" i="12"/>
  <c r="C17" i="12"/>
  <c r="B17" i="12"/>
  <c r="A17" i="12"/>
  <c r="H16" i="12"/>
  <c r="G16" i="12"/>
  <c r="F16" i="12"/>
  <c r="E16" i="12"/>
  <c r="D16" i="12"/>
  <c r="C16" i="12"/>
  <c r="B16" i="12"/>
  <c r="A16" i="12"/>
  <c r="H15" i="12"/>
  <c r="G15" i="12"/>
  <c r="F15" i="12"/>
  <c r="E15" i="12"/>
  <c r="D15" i="12"/>
  <c r="C15" i="12"/>
  <c r="B15" i="12"/>
  <c r="A15" i="12"/>
  <c r="H14" i="12"/>
  <c r="G14" i="12"/>
  <c r="F14" i="12"/>
  <c r="E14" i="12"/>
  <c r="D14" i="12"/>
  <c r="C14" i="12"/>
  <c r="B14" i="12"/>
  <c r="A14" i="12"/>
  <c r="H13" i="12"/>
  <c r="G13" i="12"/>
  <c r="F13" i="12"/>
  <c r="E13" i="12"/>
  <c r="D13" i="12"/>
  <c r="C13" i="12"/>
  <c r="B13" i="12"/>
  <c r="A13" i="12"/>
  <c r="H12" i="12"/>
  <c r="G12" i="12"/>
  <c r="F12" i="12"/>
  <c r="E12" i="12"/>
  <c r="D12" i="12"/>
  <c r="C12" i="12"/>
  <c r="B12" i="12"/>
  <c r="A12" i="12"/>
  <c r="H11" i="12"/>
  <c r="G11" i="12"/>
  <c r="F11" i="12"/>
  <c r="E11" i="12"/>
  <c r="D11" i="12"/>
  <c r="C11" i="12"/>
  <c r="B11" i="12"/>
  <c r="A11" i="12"/>
  <c r="H10" i="12"/>
  <c r="G10" i="12"/>
  <c r="F10" i="12"/>
  <c r="E10" i="12"/>
  <c r="D10" i="12"/>
  <c r="C10" i="12"/>
  <c r="B10" i="12"/>
  <c r="A10" i="12"/>
  <c r="H9" i="12"/>
  <c r="G9" i="12"/>
  <c r="F9" i="12"/>
  <c r="E9" i="12"/>
  <c r="D9" i="12"/>
  <c r="C9" i="12"/>
  <c r="B9" i="12"/>
  <c r="A9" i="12"/>
  <c r="H8" i="12"/>
  <c r="G8" i="12"/>
  <c r="F8" i="12"/>
  <c r="E8" i="12"/>
  <c r="D8" i="12"/>
  <c r="C8" i="12"/>
  <c r="B8" i="12"/>
  <c r="A8" i="12"/>
  <c r="H7" i="12"/>
  <c r="G7" i="12"/>
  <c r="F7" i="12"/>
  <c r="E7" i="12"/>
  <c r="D7" i="12"/>
  <c r="C7" i="12"/>
  <c r="B7" i="12"/>
  <c r="A7" i="12"/>
  <c r="H6" i="12"/>
  <c r="G6" i="12"/>
  <c r="F6" i="12"/>
  <c r="E6" i="12"/>
  <c r="D6" i="12"/>
  <c r="C6" i="12"/>
  <c r="B6" i="12"/>
  <c r="A6" i="12"/>
  <c r="H5" i="12"/>
  <c r="G5" i="12"/>
  <c r="F5" i="12"/>
  <c r="E5" i="12"/>
  <c r="D5" i="12"/>
  <c r="C5" i="12"/>
  <c r="B5" i="12"/>
  <c r="A5" i="12"/>
  <c r="H4" i="12"/>
  <c r="G4" i="12"/>
  <c r="F4" i="12"/>
  <c r="E4" i="12"/>
  <c r="D4" i="12"/>
  <c r="C4" i="12"/>
  <c r="B4" i="12"/>
  <c r="A4" i="12"/>
  <c r="H3" i="12"/>
  <c r="G3" i="12"/>
  <c r="F3" i="12"/>
  <c r="E3" i="12"/>
  <c r="D3" i="12"/>
  <c r="C3" i="12"/>
  <c r="B3" i="12"/>
  <c r="A3" i="12"/>
  <c r="H2" i="12"/>
  <c r="G2" i="12"/>
  <c r="F2" i="12"/>
  <c r="E2" i="12"/>
  <c r="D2" i="12"/>
  <c r="C2" i="12"/>
  <c r="B2" i="12"/>
  <c r="A2" i="12"/>
  <c r="H1" i="12"/>
  <c r="F1" i="12"/>
  <c r="E1" i="12"/>
  <c r="D1" i="12"/>
  <c r="B1" i="12"/>
  <c r="A1" i="12"/>
  <c r="O105" i="11"/>
  <c r="L116" i="1" s="1"/>
  <c r="N105" i="11"/>
  <c r="M105" i="11"/>
  <c r="J105" i="11"/>
  <c r="J116" i="1" s="1"/>
  <c r="I105" i="11"/>
  <c r="G105" i="11"/>
  <c r="I116" i="1" s="1"/>
  <c r="F105" i="11"/>
  <c r="C105" i="11"/>
  <c r="B105" i="11"/>
  <c r="G116" i="1" s="1"/>
  <c r="A105" i="11"/>
  <c r="O104" i="11"/>
  <c r="L115" i="1" s="1"/>
  <c r="N104" i="11"/>
  <c r="M104" i="11"/>
  <c r="J104" i="11"/>
  <c r="J115" i="1" s="1"/>
  <c r="I104" i="11"/>
  <c r="G104" i="11"/>
  <c r="I115" i="1" s="1"/>
  <c r="F104" i="11"/>
  <c r="C104" i="11"/>
  <c r="B104" i="11"/>
  <c r="G115" i="1" s="1"/>
  <c r="A104" i="11"/>
  <c r="O103" i="11"/>
  <c r="L114" i="1" s="1"/>
  <c r="N103" i="11"/>
  <c r="M103" i="11"/>
  <c r="J103" i="11"/>
  <c r="J114" i="1" s="1"/>
  <c r="I103" i="11"/>
  <c r="G103" i="11"/>
  <c r="I114" i="1" s="1"/>
  <c r="F103" i="11"/>
  <c r="C103" i="11"/>
  <c r="B103" i="11"/>
  <c r="G114" i="1" s="1"/>
  <c r="A103" i="11"/>
  <c r="O102" i="11"/>
  <c r="L113" i="1" s="1"/>
  <c r="N102" i="11"/>
  <c r="M102" i="11"/>
  <c r="J102" i="11"/>
  <c r="J113" i="1" s="1"/>
  <c r="I102" i="11"/>
  <c r="G102" i="11"/>
  <c r="I113" i="1" s="1"/>
  <c r="F102" i="11"/>
  <c r="C102" i="11"/>
  <c r="B102" i="11"/>
  <c r="G113" i="1" s="1"/>
  <c r="A102" i="11"/>
  <c r="O101" i="11"/>
  <c r="L112" i="1" s="1"/>
  <c r="N101" i="11"/>
  <c r="M101" i="11"/>
  <c r="J101" i="11"/>
  <c r="J112" i="1" s="1"/>
  <c r="I101" i="11"/>
  <c r="G101" i="11"/>
  <c r="I112" i="1" s="1"/>
  <c r="F101" i="11"/>
  <c r="C101" i="11"/>
  <c r="B101" i="11"/>
  <c r="G112" i="1" s="1"/>
  <c r="A101" i="11"/>
  <c r="O100" i="11"/>
  <c r="L111" i="1" s="1"/>
  <c r="N100" i="11"/>
  <c r="M100" i="11"/>
  <c r="J100" i="11"/>
  <c r="J111" i="1" s="1"/>
  <c r="I100" i="11"/>
  <c r="G100" i="11"/>
  <c r="I111" i="1" s="1"/>
  <c r="F100" i="11"/>
  <c r="C100" i="11"/>
  <c r="B100" i="11"/>
  <c r="G111" i="1" s="1"/>
  <c r="A100" i="11"/>
  <c r="O99" i="11"/>
  <c r="L110" i="1" s="1"/>
  <c r="N99" i="11"/>
  <c r="M99" i="11"/>
  <c r="J99" i="11"/>
  <c r="J110" i="1" s="1"/>
  <c r="I99" i="11"/>
  <c r="G99" i="11"/>
  <c r="I110" i="1" s="1"/>
  <c r="F99" i="11"/>
  <c r="C99" i="11"/>
  <c r="B99" i="11"/>
  <c r="G110" i="1" s="1"/>
  <c r="A99" i="11"/>
  <c r="O98" i="11"/>
  <c r="L109" i="1" s="1"/>
  <c r="N98" i="11"/>
  <c r="M98" i="11"/>
  <c r="J98" i="11"/>
  <c r="J109" i="1" s="1"/>
  <c r="I98" i="11"/>
  <c r="G98" i="11"/>
  <c r="I109" i="1" s="1"/>
  <c r="F98" i="11"/>
  <c r="C98" i="11"/>
  <c r="B98" i="11"/>
  <c r="G109" i="1" s="1"/>
  <c r="A98" i="11"/>
  <c r="O97" i="11"/>
  <c r="L108" i="1" s="1"/>
  <c r="N97" i="11"/>
  <c r="M97" i="11"/>
  <c r="J97" i="11"/>
  <c r="J108" i="1" s="1"/>
  <c r="I97" i="11"/>
  <c r="G97" i="11"/>
  <c r="I108" i="1" s="1"/>
  <c r="F97" i="11"/>
  <c r="C97" i="11"/>
  <c r="B97" i="11"/>
  <c r="G108" i="1" s="1"/>
  <c r="A97" i="11"/>
  <c r="O96" i="11"/>
  <c r="L107" i="1" s="1"/>
  <c r="N96" i="11"/>
  <c r="M96" i="11"/>
  <c r="J96" i="11"/>
  <c r="J107" i="1" s="1"/>
  <c r="I96" i="11"/>
  <c r="G96" i="11"/>
  <c r="I107" i="1" s="1"/>
  <c r="F96" i="11"/>
  <c r="C96" i="11"/>
  <c r="B96" i="11"/>
  <c r="G107" i="1" s="1"/>
  <c r="A96" i="11"/>
  <c r="O95" i="11"/>
  <c r="L106" i="1" s="1"/>
  <c r="N95" i="11"/>
  <c r="M95" i="11"/>
  <c r="J95" i="11"/>
  <c r="J106" i="1" s="1"/>
  <c r="I95" i="11"/>
  <c r="G95" i="11"/>
  <c r="I106" i="1" s="1"/>
  <c r="F95" i="11"/>
  <c r="C95" i="11"/>
  <c r="B95" i="11"/>
  <c r="G106" i="1" s="1"/>
  <c r="A95" i="11"/>
  <c r="O94" i="11"/>
  <c r="L105" i="1" s="1"/>
  <c r="N94" i="11"/>
  <c r="M94" i="11"/>
  <c r="J94" i="11"/>
  <c r="J105" i="1" s="1"/>
  <c r="I94" i="11"/>
  <c r="G94" i="11"/>
  <c r="I105" i="1" s="1"/>
  <c r="F94" i="11"/>
  <c r="C94" i="11"/>
  <c r="B94" i="11"/>
  <c r="G105" i="1" s="1"/>
  <c r="A94" i="11"/>
  <c r="O93" i="11"/>
  <c r="L104" i="1" s="1"/>
  <c r="N93" i="11"/>
  <c r="M93" i="11"/>
  <c r="J93" i="11"/>
  <c r="J104" i="1" s="1"/>
  <c r="I93" i="11"/>
  <c r="G93" i="11"/>
  <c r="I104" i="1" s="1"/>
  <c r="F93" i="11"/>
  <c r="C93" i="11"/>
  <c r="B93" i="11"/>
  <c r="G104" i="1" s="1"/>
  <c r="A93" i="11"/>
  <c r="O92" i="11"/>
  <c r="L103" i="1" s="1"/>
  <c r="N92" i="11"/>
  <c r="M92" i="11"/>
  <c r="J92" i="11"/>
  <c r="J103" i="1" s="1"/>
  <c r="I92" i="11"/>
  <c r="G92" i="11"/>
  <c r="I103" i="1" s="1"/>
  <c r="F92" i="11"/>
  <c r="C92" i="11"/>
  <c r="B92" i="11"/>
  <c r="G103" i="1" s="1"/>
  <c r="A92" i="11"/>
  <c r="O91" i="11"/>
  <c r="L102" i="1" s="1"/>
  <c r="N91" i="11"/>
  <c r="M91" i="11"/>
  <c r="J91" i="11"/>
  <c r="J102" i="1" s="1"/>
  <c r="I91" i="11"/>
  <c r="G91" i="11"/>
  <c r="I102" i="1" s="1"/>
  <c r="F91" i="11"/>
  <c r="C91" i="11"/>
  <c r="B91" i="11"/>
  <c r="G102" i="1" s="1"/>
  <c r="A91" i="11"/>
  <c r="O90" i="11"/>
  <c r="L101" i="1" s="1"/>
  <c r="N90" i="11"/>
  <c r="M90" i="11"/>
  <c r="J90" i="11"/>
  <c r="J101" i="1" s="1"/>
  <c r="I90" i="11"/>
  <c r="G90" i="11"/>
  <c r="I101" i="1" s="1"/>
  <c r="F90" i="11"/>
  <c r="C90" i="11"/>
  <c r="B90" i="11"/>
  <c r="G101" i="1" s="1"/>
  <c r="A90" i="11"/>
  <c r="O89" i="11"/>
  <c r="L100" i="1" s="1"/>
  <c r="N89" i="11"/>
  <c r="M89" i="11"/>
  <c r="J89" i="11"/>
  <c r="J100" i="1" s="1"/>
  <c r="I89" i="11"/>
  <c r="G89" i="11"/>
  <c r="I100" i="1" s="1"/>
  <c r="F89" i="11"/>
  <c r="C89" i="11"/>
  <c r="B89" i="11"/>
  <c r="G100" i="1" s="1"/>
  <c r="A89" i="11"/>
  <c r="O88" i="11"/>
  <c r="L99" i="1" s="1"/>
  <c r="N88" i="11"/>
  <c r="M88" i="11"/>
  <c r="J88" i="11"/>
  <c r="J99" i="1" s="1"/>
  <c r="I88" i="11"/>
  <c r="G88" i="11"/>
  <c r="I99" i="1" s="1"/>
  <c r="F88" i="11"/>
  <c r="C88" i="11"/>
  <c r="B88" i="11"/>
  <c r="G99" i="1" s="1"/>
  <c r="A88" i="11"/>
  <c r="O87" i="11"/>
  <c r="L98" i="1" s="1"/>
  <c r="N87" i="11"/>
  <c r="M87" i="11"/>
  <c r="J87" i="11"/>
  <c r="J98" i="1" s="1"/>
  <c r="I87" i="11"/>
  <c r="G87" i="11"/>
  <c r="I98" i="1" s="1"/>
  <c r="F87" i="11"/>
  <c r="C87" i="11"/>
  <c r="B87" i="11"/>
  <c r="G98" i="1" s="1"/>
  <c r="A87" i="11"/>
  <c r="O86" i="11"/>
  <c r="L97" i="1" s="1"/>
  <c r="N86" i="11"/>
  <c r="M86" i="11"/>
  <c r="J86" i="11"/>
  <c r="J97" i="1" s="1"/>
  <c r="I86" i="11"/>
  <c r="G86" i="11"/>
  <c r="I97" i="1" s="1"/>
  <c r="F86" i="11"/>
  <c r="C86" i="11"/>
  <c r="B86" i="11"/>
  <c r="G97" i="1" s="1"/>
  <c r="A86" i="11"/>
  <c r="O85" i="11"/>
  <c r="L96" i="1" s="1"/>
  <c r="N85" i="11"/>
  <c r="M85" i="11"/>
  <c r="J85" i="11"/>
  <c r="J96" i="1" s="1"/>
  <c r="I85" i="11"/>
  <c r="G85" i="11"/>
  <c r="I96" i="1" s="1"/>
  <c r="F85" i="11"/>
  <c r="C85" i="11"/>
  <c r="B85" i="11"/>
  <c r="G96" i="1" s="1"/>
  <c r="A85" i="11"/>
  <c r="O84" i="11"/>
  <c r="L95" i="1" s="1"/>
  <c r="N84" i="11"/>
  <c r="M84" i="11"/>
  <c r="J84" i="11"/>
  <c r="J95" i="1" s="1"/>
  <c r="I84" i="11"/>
  <c r="G84" i="11"/>
  <c r="I95" i="1" s="1"/>
  <c r="F84" i="11"/>
  <c r="C84" i="11"/>
  <c r="B84" i="11"/>
  <c r="G95" i="1" s="1"/>
  <c r="A84" i="11"/>
  <c r="O83" i="11"/>
  <c r="L94" i="1" s="1"/>
  <c r="N83" i="11"/>
  <c r="M83" i="11"/>
  <c r="J83" i="11"/>
  <c r="J94" i="1" s="1"/>
  <c r="I83" i="11"/>
  <c r="G83" i="11"/>
  <c r="I94" i="1" s="1"/>
  <c r="F83" i="11"/>
  <c r="C83" i="11"/>
  <c r="B83" i="11"/>
  <c r="G94" i="1" s="1"/>
  <c r="A83" i="11"/>
  <c r="O82" i="11"/>
  <c r="L93" i="1" s="1"/>
  <c r="N82" i="11"/>
  <c r="M82" i="11"/>
  <c r="J82" i="11"/>
  <c r="J93" i="1" s="1"/>
  <c r="I82" i="11"/>
  <c r="G82" i="11"/>
  <c r="I93" i="1" s="1"/>
  <c r="F82" i="11"/>
  <c r="C82" i="11"/>
  <c r="B82" i="11"/>
  <c r="G93" i="1" s="1"/>
  <c r="A82" i="11"/>
  <c r="O81" i="11"/>
  <c r="L92" i="1" s="1"/>
  <c r="N81" i="11"/>
  <c r="M81" i="11"/>
  <c r="J81" i="11"/>
  <c r="J92" i="1" s="1"/>
  <c r="I81" i="11"/>
  <c r="G81" i="11"/>
  <c r="I92" i="1" s="1"/>
  <c r="F81" i="11"/>
  <c r="C81" i="11"/>
  <c r="B81" i="11"/>
  <c r="G92" i="1" s="1"/>
  <c r="A81" i="11"/>
  <c r="O80" i="11"/>
  <c r="L91" i="1" s="1"/>
  <c r="N80" i="11"/>
  <c r="M80" i="11"/>
  <c r="J80" i="11"/>
  <c r="J91" i="1" s="1"/>
  <c r="I80" i="11"/>
  <c r="G80" i="11"/>
  <c r="I91" i="1" s="1"/>
  <c r="F80" i="11"/>
  <c r="C80" i="11"/>
  <c r="B80" i="11"/>
  <c r="G91" i="1" s="1"/>
  <c r="A80" i="11"/>
  <c r="O79" i="11"/>
  <c r="L90" i="1" s="1"/>
  <c r="N79" i="11"/>
  <c r="M79" i="11"/>
  <c r="J79" i="11"/>
  <c r="J90" i="1" s="1"/>
  <c r="I79" i="11"/>
  <c r="G79" i="11"/>
  <c r="I90" i="1" s="1"/>
  <c r="F79" i="11"/>
  <c r="C79" i="11"/>
  <c r="B79" i="11"/>
  <c r="G90" i="1" s="1"/>
  <c r="A79" i="11"/>
  <c r="O78" i="11"/>
  <c r="L89" i="1" s="1"/>
  <c r="N78" i="11"/>
  <c r="M78" i="11"/>
  <c r="J78" i="11"/>
  <c r="J89" i="1" s="1"/>
  <c r="I78" i="11"/>
  <c r="G78" i="11"/>
  <c r="I89" i="1" s="1"/>
  <c r="F78" i="11"/>
  <c r="C78" i="11"/>
  <c r="B78" i="11"/>
  <c r="G89" i="1" s="1"/>
  <c r="A78" i="11"/>
  <c r="O77" i="11"/>
  <c r="L88" i="1" s="1"/>
  <c r="N77" i="11"/>
  <c r="M77" i="11"/>
  <c r="J77" i="11"/>
  <c r="J88" i="1" s="1"/>
  <c r="I77" i="11"/>
  <c r="G77" i="11"/>
  <c r="I88" i="1" s="1"/>
  <c r="F77" i="11"/>
  <c r="C77" i="11"/>
  <c r="B77" i="11"/>
  <c r="G88" i="1" s="1"/>
  <c r="A77" i="11"/>
  <c r="O76" i="11"/>
  <c r="L87" i="1" s="1"/>
  <c r="N76" i="11"/>
  <c r="M76" i="11"/>
  <c r="J76" i="11"/>
  <c r="J87" i="1" s="1"/>
  <c r="I76" i="11"/>
  <c r="G76" i="11"/>
  <c r="I87" i="1" s="1"/>
  <c r="F76" i="11"/>
  <c r="C76" i="11"/>
  <c r="B76" i="11"/>
  <c r="G87" i="1" s="1"/>
  <c r="A76" i="11"/>
  <c r="O75" i="11"/>
  <c r="L86" i="1" s="1"/>
  <c r="N75" i="11"/>
  <c r="M75" i="11"/>
  <c r="J75" i="11"/>
  <c r="J86" i="1" s="1"/>
  <c r="I75" i="11"/>
  <c r="G75" i="11"/>
  <c r="I86" i="1" s="1"/>
  <c r="F75" i="11"/>
  <c r="C75" i="11"/>
  <c r="B75" i="11"/>
  <c r="G86" i="1" s="1"/>
  <c r="A75" i="11"/>
  <c r="O74" i="11"/>
  <c r="L85" i="1" s="1"/>
  <c r="N74" i="11"/>
  <c r="M74" i="11"/>
  <c r="J74" i="11"/>
  <c r="J85" i="1" s="1"/>
  <c r="I74" i="11"/>
  <c r="G74" i="11"/>
  <c r="I85" i="1" s="1"/>
  <c r="F74" i="11"/>
  <c r="C74" i="11"/>
  <c r="B74" i="11"/>
  <c r="G85" i="1" s="1"/>
  <c r="A74" i="11"/>
  <c r="O73" i="11"/>
  <c r="L84" i="1" s="1"/>
  <c r="N73" i="11"/>
  <c r="M73" i="11"/>
  <c r="J73" i="11"/>
  <c r="J84" i="1" s="1"/>
  <c r="I73" i="11"/>
  <c r="G73" i="11"/>
  <c r="I84" i="1" s="1"/>
  <c r="F73" i="11"/>
  <c r="C73" i="11"/>
  <c r="B73" i="11"/>
  <c r="G84" i="1" s="1"/>
  <c r="A73" i="11"/>
  <c r="O72" i="11"/>
  <c r="L83" i="1" s="1"/>
  <c r="N72" i="11"/>
  <c r="M72" i="11"/>
  <c r="J72" i="11"/>
  <c r="J83" i="1" s="1"/>
  <c r="I72" i="11"/>
  <c r="G72" i="11"/>
  <c r="I83" i="1" s="1"/>
  <c r="F72" i="11"/>
  <c r="C72" i="11"/>
  <c r="B72" i="11"/>
  <c r="G83" i="1" s="1"/>
  <c r="A72" i="11"/>
  <c r="O71" i="11"/>
  <c r="L82" i="1" s="1"/>
  <c r="N71" i="11"/>
  <c r="M71" i="11"/>
  <c r="J71" i="11"/>
  <c r="J82" i="1" s="1"/>
  <c r="I71" i="11"/>
  <c r="G71" i="11"/>
  <c r="I82" i="1" s="1"/>
  <c r="F71" i="11"/>
  <c r="C71" i="11"/>
  <c r="B71" i="11"/>
  <c r="G82" i="1" s="1"/>
  <c r="A71" i="11"/>
  <c r="O70" i="11"/>
  <c r="L81" i="1" s="1"/>
  <c r="N70" i="11"/>
  <c r="M70" i="11"/>
  <c r="J70" i="11"/>
  <c r="J81" i="1" s="1"/>
  <c r="I70" i="11"/>
  <c r="G70" i="11"/>
  <c r="I81" i="1" s="1"/>
  <c r="F70" i="11"/>
  <c r="C70" i="11"/>
  <c r="B70" i="11"/>
  <c r="G81" i="1" s="1"/>
  <c r="A70" i="11"/>
  <c r="O69" i="11"/>
  <c r="L80" i="1" s="1"/>
  <c r="N69" i="11"/>
  <c r="M69" i="11"/>
  <c r="J69" i="11"/>
  <c r="J80" i="1" s="1"/>
  <c r="I69" i="11"/>
  <c r="G69" i="11"/>
  <c r="I80" i="1" s="1"/>
  <c r="F69" i="11"/>
  <c r="C69" i="11"/>
  <c r="B69" i="11"/>
  <c r="G80" i="1" s="1"/>
  <c r="A69" i="11"/>
  <c r="O68" i="11"/>
  <c r="L79" i="1" s="1"/>
  <c r="N68" i="11"/>
  <c r="M68" i="11"/>
  <c r="J68" i="11"/>
  <c r="J79" i="1" s="1"/>
  <c r="I68" i="11"/>
  <c r="G68" i="11"/>
  <c r="I79" i="1" s="1"/>
  <c r="F68" i="11"/>
  <c r="C68" i="11"/>
  <c r="B68" i="11"/>
  <c r="G79" i="1" s="1"/>
  <c r="A68" i="11"/>
  <c r="O67" i="11"/>
  <c r="L78" i="1" s="1"/>
  <c r="N67" i="11"/>
  <c r="M67" i="11"/>
  <c r="J67" i="11"/>
  <c r="J78" i="1" s="1"/>
  <c r="I67" i="11"/>
  <c r="G67" i="11"/>
  <c r="I78" i="1" s="1"/>
  <c r="F67" i="11"/>
  <c r="C67" i="11"/>
  <c r="B67" i="11"/>
  <c r="G78" i="1" s="1"/>
  <c r="A67" i="11"/>
  <c r="O66" i="11"/>
  <c r="L77" i="1" s="1"/>
  <c r="N66" i="11"/>
  <c r="M66" i="11"/>
  <c r="J66" i="11"/>
  <c r="J77" i="1" s="1"/>
  <c r="I66" i="11"/>
  <c r="G66" i="11"/>
  <c r="I77" i="1" s="1"/>
  <c r="F66" i="11"/>
  <c r="C66" i="11"/>
  <c r="B66" i="11"/>
  <c r="G77" i="1" s="1"/>
  <c r="A66" i="11"/>
  <c r="O65" i="11"/>
  <c r="L76" i="1" s="1"/>
  <c r="N65" i="11"/>
  <c r="M65" i="11"/>
  <c r="J65" i="11"/>
  <c r="J76" i="1" s="1"/>
  <c r="I65" i="11"/>
  <c r="G65" i="11"/>
  <c r="I76" i="1" s="1"/>
  <c r="F65" i="11"/>
  <c r="C65" i="11"/>
  <c r="B65" i="11"/>
  <c r="G76" i="1" s="1"/>
  <c r="A65" i="11"/>
  <c r="O64" i="11"/>
  <c r="L75" i="1" s="1"/>
  <c r="N64" i="11"/>
  <c r="M64" i="11"/>
  <c r="J64" i="11"/>
  <c r="J75" i="1" s="1"/>
  <c r="I64" i="11"/>
  <c r="G64" i="11"/>
  <c r="I75" i="1" s="1"/>
  <c r="F64" i="11"/>
  <c r="C64" i="11"/>
  <c r="B64" i="11"/>
  <c r="G75" i="1" s="1"/>
  <c r="A64" i="11"/>
  <c r="O63" i="11"/>
  <c r="L74" i="1" s="1"/>
  <c r="N63" i="11"/>
  <c r="M63" i="11"/>
  <c r="J63" i="11"/>
  <c r="J74" i="1" s="1"/>
  <c r="I63" i="11"/>
  <c r="G63" i="11"/>
  <c r="I74" i="1" s="1"/>
  <c r="F63" i="11"/>
  <c r="C63" i="11"/>
  <c r="B63" i="11"/>
  <c r="G74" i="1" s="1"/>
  <c r="A63" i="11"/>
  <c r="O62" i="11"/>
  <c r="L73" i="1" s="1"/>
  <c r="N62" i="11"/>
  <c r="M62" i="11"/>
  <c r="J62" i="11"/>
  <c r="J73" i="1" s="1"/>
  <c r="I62" i="11"/>
  <c r="G62" i="11"/>
  <c r="I73" i="1" s="1"/>
  <c r="F62" i="11"/>
  <c r="C62" i="11"/>
  <c r="B62" i="11"/>
  <c r="G73" i="1" s="1"/>
  <c r="A62" i="11"/>
  <c r="O61" i="11"/>
  <c r="L72" i="1" s="1"/>
  <c r="N61" i="11"/>
  <c r="M61" i="11"/>
  <c r="J61" i="11"/>
  <c r="J72" i="1" s="1"/>
  <c r="I61" i="11"/>
  <c r="G61" i="11"/>
  <c r="I72" i="1" s="1"/>
  <c r="F61" i="11"/>
  <c r="C61" i="11"/>
  <c r="B61" i="11"/>
  <c r="G72" i="1" s="1"/>
  <c r="A61" i="11"/>
  <c r="O60" i="11"/>
  <c r="L71" i="1" s="1"/>
  <c r="N60" i="11"/>
  <c r="M60" i="11"/>
  <c r="J60" i="11"/>
  <c r="J71" i="1" s="1"/>
  <c r="I60" i="11"/>
  <c r="G60" i="11"/>
  <c r="I71" i="1" s="1"/>
  <c r="F60" i="11"/>
  <c r="C60" i="11"/>
  <c r="B60" i="11"/>
  <c r="G71" i="1" s="1"/>
  <c r="A60" i="11"/>
  <c r="O59" i="11"/>
  <c r="L70" i="1" s="1"/>
  <c r="N59" i="11"/>
  <c r="M59" i="11"/>
  <c r="J59" i="11"/>
  <c r="J70" i="1" s="1"/>
  <c r="I59" i="11"/>
  <c r="G59" i="11"/>
  <c r="I70" i="1" s="1"/>
  <c r="F59" i="11"/>
  <c r="C59" i="11"/>
  <c r="B59" i="11"/>
  <c r="G70" i="1" s="1"/>
  <c r="A59" i="11"/>
  <c r="O58" i="11"/>
  <c r="L69" i="1" s="1"/>
  <c r="N58" i="11"/>
  <c r="M58" i="11"/>
  <c r="J58" i="11"/>
  <c r="J69" i="1" s="1"/>
  <c r="I58" i="11"/>
  <c r="G58" i="11"/>
  <c r="I69" i="1" s="1"/>
  <c r="F58" i="11"/>
  <c r="C58" i="11"/>
  <c r="B58" i="11"/>
  <c r="G69" i="1" s="1"/>
  <c r="A58" i="11"/>
  <c r="O57" i="11"/>
  <c r="L68" i="1" s="1"/>
  <c r="N57" i="11"/>
  <c r="M57" i="11"/>
  <c r="J57" i="11"/>
  <c r="J68" i="1" s="1"/>
  <c r="I57" i="11"/>
  <c r="G57" i="11"/>
  <c r="I68" i="1" s="1"/>
  <c r="F57" i="11"/>
  <c r="C57" i="11"/>
  <c r="B57" i="11"/>
  <c r="G68" i="1" s="1"/>
  <c r="A57" i="11"/>
  <c r="O56" i="11"/>
  <c r="L67" i="1" s="1"/>
  <c r="N56" i="11"/>
  <c r="M56" i="11"/>
  <c r="J56" i="11"/>
  <c r="J67" i="1" s="1"/>
  <c r="I56" i="11"/>
  <c r="G56" i="11"/>
  <c r="I67" i="1" s="1"/>
  <c r="F56" i="11"/>
  <c r="C56" i="11"/>
  <c r="B56" i="11"/>
  <c r="G67" i="1" s="1"/>
  <c r="A56" i="11"/>
  <c r="O55" i="11"/>
  <c r="N55" i="11"/>
  <c r="M55" i="11"/>
  <c r="J55" i="11"/>
  <c r="I55" i="11"/>
  <c r="G55" i="11"/>
  <c r="F55" i="11"/>
  <c r="C55" i="11"/>
  <c r="B55" i="11"/>
  <c r="A55" i="11"/>
  <c r="I54" i="11"/>
  <c r="A54" i="11"/>
  <c r="AE52" i="11"/>
  <c r="AD52" i="11"/>
  <c r="AC52" i="11"/>
  <c r="Z52" i="11"/>
  <c r="Y52" i="11"/>
  <c r="X52" i="11"/>
  <c r="V52" i="11"/>
  <c r="U52" i="11"/>
  <c r="T52" i="11"/>
  <c r="Q52" i="11"/>
  <c r="P52" i="11"/>
  <c r="O52" i="11"/>
  <c r="M52" i="11"/>
  <c r="J52" i="11"/>
  <c r="I52" i="11"/>
  <c r="D116" i="1" s="1"/>
  <c r="H52" i="11"/>
  <c r="F52" i="11"/>
  <c r="C52" i="11"/>
  <c r="B52" i="11"/>
  <c r="B116" i="1" s="1"/>
  <c r="A52" i="11"/>
  <c r="AE51" i="11"/>
  <c r="AD51" i="11"/>
  <c r="AC51" i="11"/>
  <c r="Z51" i="11"/>
  <c r="Y51" i="11"/>
  <c r="X51" i="11"/>
  <c r="V51" i="11"/>
  <c r="U51" i="11"/>
  <c r="T51" i="11"/>
  <c r="Q51" i="11"/>
  <c r="P51" i="11"/>
  <c r="O51" i="11"/>
  <c r="M51" i="11"/>
  <c r="J51" i="11"/>
  <c r="I51" i="11"/>
  <c r="D115" i="1" s="1"/>
  <c r="H51" i="11"/>
  <c r="F51" i="11"/>
  <c r="C51" i="11"/>
  <c r="B51" i="11"/>
  <c r="B115" i="1" s="1"/>
  <c r="A51" i="11"/>
  <c r="AE50" i="11"/>
  <c r="AD50" i="11"/>
  <c r="AC50" i="11"/>
  <c r="Z50" i="11"/>
  <c r="Y50" i="11"/>
  <c r="X50" i="11"/>
  <c r="V50" i="11"/>
  <c r="U50" i="11"/>
  <c r="T50" i="11"/>
  <c r="Q50" i="11"/>
  <c r="P50" i="11"/>
  <c r="O50" i="11"/>
  <c r="M50" i="11"/>
  <c r="J50" i="11"/>
  <c r="I50" i="11"/>
  <c r="D114" i="1" s="1"/>
  <c r="H50" i="11"/>
  <c r="F50" i="11"/>
  <c r="C50" i="11"/>
  <c r="B50" i="11"/>
  <c r="B114" i="1" s="1"/>
  <c r="A50" i="11"/>
  <c r="AE49" i="11"/>
  <c r="AD49" i="11"/>
  <c r="AC49" i="11"/>
  <c r="Z49" i="11"/>
  <c r="Y49" i="11"/>
  <c r="X49" i="11"/>
  <c r="V49" i="11"/>
  <c r="U49" i="11"/>
  <c r="T49" i="11"/>
  <c r="Q49" i="11"/>
  <c r="P49" i="11"/>
  <c r="O49" i="11"/>
  <c r="M49" i="11"/>
  <c r="J49" i="11"/>
  <c r="I49" i="11"/>
  <c r="D113" i="1" s="1"/>
  <c r="H49" i="11"/>
  <c r="F49" i="11"/>
  <c r="C49" i="11"/>
  <c r="B49" i="11"/>
  <c r="B113" i="1" s="1"/>
  <c r="A49" i="11"/>
  <c r="AE48" i="11"/>
  <c r="AD48" i="11"/>
  <c r="AC48" i="11"/>
  <c r="Z48" i="11"/>
  <c r="Y48" i="11"/>
  <c r="X48" i="11"/>
  <c r="V48" i="11"/>
  <c r="U48" i="11"/>
  <c r="T48" i="11"/>
  <c r="Q48" i="11"/>
  <c r="P48" i="11"/>
  <c r="O48" i="11"/>
  <c r="M48" i="11"/>
  <c r="J48" i="11"/>
  <c r="I48" i="11"/>
  <c r="D112" i="1" s="1"/>
  <c r="H48" i="11"/>
  <c r="F48" i="11"/>
  <c r="C48" i="11"/>
  <c r="B48" i="11"/>
  <c r="B112" i="1" s="1"/>
  <c r="A48" i="11"/>
  <c r="AE47" i="11"/>
  <c r="AD47" i="11"/>
  <c r="AC47" i="11"/>
  <c r="Z47" i="11"/>
  <c r="Y47" i="11"/>
  <c r="X47" i="11"/>
  <c r="V47" i="11"/>
  <c r="U47" i="11"/>
  <c r="T47" i="11"/>
  <c r="Q47" i="11"/>
  <c r="P47" i="11"/>
  <c r="O47" i="11"/>
  <c r="M47" i="11"/>
  <c r="J47" i="11"/>
  <c r="I47" i="11"/>
  <c r="D111" i="1" s="1"/>
  <c r="H47" i="11"/>
  <c r="F47" i="11"/>
  <c r="C47" i="11"/>
  <c r="B47" i="11"/>
  <c r="B111" i="1" s="1"/>
  <c r="A47" i="11"/>
  <c r="AE46" i="11"/>
  <c r="AD46" i="11"/>
  <c r="AC46" i="11"/>
  <c r="Z46" i="11"/>
  <c r="Y46" i="11"/>
  <c r="X46" i="11"/>
  <c r="V46" i="11"/>
  <c r="U46" i="11"/>
  <c r="T46" i="11"/>
  <c r="Q46" i="11"/>
  <c r="P46" i="11"/>
  <c r="O46" i="11"/>
  <c r="M46" i="11"/>
  <c r="J46" i="11"/>
  <c r="I46" i="11"/>
  <c r="D110" i="1" s="1"/>
  <c r="H46" i="11"/>
  <c r="F46" i="11"/>
  <c r="C46" i="11"/>
  <c r="B46" i="11"/>
  <c r="B110" i="1" s="1"/>
  <c r="A46" i="11"/>
  <c r="AE45" i="11"/>
  <c r="AD45" i="11"/>
  <c r="AC45" i="11"/>
  <c r="Z45" i="11"/>
  <c r="Y45" i="11"/>
  <c r="X45" i="11"/>
  <c r="V45" i="11"/>
  <c r="U45" i="11"/>
  <c r="T45" i="11"/>
  <c r="Q45" i="11"/>
  <c r="P45" i="11"/>
  <c r="O45" i="11"/>
  <c r="M45" i="11"/>
  <c r="J45" i="11"/>
  <c r="I45" i="11"/>
  <c r="D109" i="1" s="1"/>
  <c r="H45" i="11"/>
  <c r="F45" i="11"/>
  <c r="C45" i="11"/>
  <c r="B45" i="11"/>
  <c r="B109" i="1" s="1"/>
  <c r="A45" i="11"/>
  <c r="AE44" i="11"/>
  <c r="AD44" i="11"/>
  <c r="AC44" i="11"/>
  <c r="Z44" i="11"/>
  <c r="Y44" i="11"/>
  <c r="X44" i="11"/>
  <c r="V44" i="11"/>
  <c r="U44" i="11"/>
  <c r="T44" i="11"/>
  <c r="Q44" i="11"/>
  <c r="P44" i="11"/>
  <c r="O44" i="11"/>
  <c r="M44" i="11"/>
  <c r="J44" i="11"/>
  <c r="I44" i="11"/>
  <c r="D108" i="1" s="1"/>
  <c r="H44" i="11"/>
  <c r="F44" i="11"/>
  <c r="C44" i="11"/>
  <c r="B44" i="11"/>
  <c r="B108" i="1" s="1"/>
  <c r="A44" i="11"/>
  <c r="AE43" i="11"/>
  <c r="AD43" i="11"/>
  <c r="AC43" i="11"/>
  <c r="Z43" i="11"/>
  <c r="Y43" i="11"/>
  <c r="X43" i="11"/>
  <c r="V43" i="11"/>
  <c r="U43" i="11"/>
  <c r="T43" i="11"/>
  <c r="Q43" i="11"/>
  <c r="P43" i="11"/>
  <c r="O43" i="11"/>
  <c r="M43" i="11"/>
  <c r="J43" i="11"/>
  <c r="I43" i="11"/>
  <c r="D107" i="1" s="1"/>
  <c r="H43" i="11"/>
  <c r="F43" i="11"/>
  <c r="C43" i="11"/>
  <c r="B43" i="11"/>
  <c r="B107" i="1" s="1"/>
  <c r="A43" i="11"/>
  <c r="AE42" i="11"/>
  <c r="AD42" i="11"/>
  <c r="AC42" i="11"/>
  <c r="Z42" i="11"/>
  <c r="Y42" i="11"/>
  <c r="X42" i="11"/>
  <c r="V42" i="11"/>
  <c r="U42" i="11"/>
  <c r="T42" i="11"/>
  <c r="Q42" i="11"/>
  <c r="P42" i="11"/>
  <c r="O42" i="11"/>
  <c r="M42" i="11"/>
  <c r="J42" i="11"/>
  <c r="I42" i="11"/>
  <c r="D106" i="1" s="1"/>
  <c r="H42" i="11"/>
  <c r="F42" i="11"/>
  <c r="C42" i="11"/>
  <c r="B42" i="11"/>
  <c r="B106" i="1" s="1"/>
  <c r="A42" i="11"/>
  <c r="AE41" i="11"/>
  <c r="AD41" i="11"/>
  <c r="AC41" i="11"/>
  <c r="Z41" i="11"/>
  <c r="Y41" i="11"/>
  <c r="X41" i="11"/>
  <c r="V41" i="11"/>
  <c r="U41" i="11"/>
  <c r="T41" i="11"/>
  <c r="Q41" i="11"/>
  <c r="P41" i="11"/>
  <c r="O41" i="11"/>
  <c r="M41" i="11"/>
  <c r="J41" i="11"/>
  <c r="I41" i="11"/>
  <c r="D105" i="1" s="1"/>
  <c r="H41" i="11"/>
  <c r="F41" i="11"/>
  <c r="C41" i="11"/>
  <c r="B41" i="11"/>
  <c r="B105" i="1" s="1"/>
  <c r="A41" i="11"/>
  <c r="AE40" i="11"/>
  <c r="AD40" i="11"/>
  <c r="AC40" i="11"/>
  <c r="Z40" i="11"/>
  <c r="Y40" i="11"/>
  <c r="X40" i="11"/>
  <c r="V40" i="11"/>
  <c r="U40" i="11"/>
  <c r="T40" i="11"/>
  <c r="Q40" i="11"/>
  <c r="P40" i="11"/>
  <c r="O40" i="11"/>
  <c r="M40" i="11"/>
  <c r="J40" i="11"/>
  <c r="I40" i="11"/>
  <c r="D104" i="1" s="1"/>
  <c r="H40" i="11"/>
  <c r="F40" i="11"/>
  <c r="C40" i="11"/>
  <c r="B40" i="11"/>
  <c r="B104" i="1" s="1"/>
  <c r="A40" i="11"/>
  <c r="AE39" i="11"/>
  <c r="AD39" i="11"/>
  <c r="AC39" i="11"/>
  <c r="Z39" i="11"/>
  <c r="Y39" i="11"/>
  <c r="X39" i="11"/>
  <c r="V39" i="11"/>
  <c r="U39" i="11"/>
  <c r="T39" i="11"/>
  <c r="Q39" i="11"/>
  <c r="P39" i="11"/>
  <c r="O39" i="11"/>
  <c r="M39" i="11"/>
  <c r="J39" i="11"/>
  <c r="I39" i="11"/>
  <c r="D103" i="1" s="1"/>
  <c r="H39" i="11"/>
  <c r="F39" i="11"/>
  <c r="C39" i="11"/>
  <c r="B39" i="11"/>
  <c r="B103" i="1" s="1"/>
  <c r="A39" i="11"/>
  <c r="AE38" i="11"/>
  <c r="AD38" i="11"/>
  <c r="AC38" i="11"/>
  <c r="Z38" i="11"/>
  <c r="Y38" i="11"/>
  <c r="X38" i="11"/>
  <c r="V38" i="11"/>
  <c r="U38" i="11"/>
  <c r="T38" i="11"/>
  <c r="Q38" i="11"/>
  <c r="P38" i="11"/>
  <c r="O38" i="11"/>
  <c r="M38" i="11"/>
  <c r="J38" i="11"/>
  <c r="I38" i="11"/>
  <c r="D102" i="1" s="1"/>
  <c r="H38" i="11"/>
  <c r="F38" i="11"/>
  <c r="C38" i="11"/>
  <c r="B38" i="11"/>
  <c r="B102" i="1" s="1"/>
  <c r="A38" i="11"/>
  <c r="AE37" i="11"/>
  <c r="AD37" i="11"/>
  <c r="AC37" i="11"/>
  <c r="Z37" i="11"/>
  <c r="Y37" i="11"/>
  <c r="X37" i="11"/>
  <c r="V37" i="11"/>
  <c r="U37" i="11"/>
  <c r="T37" i="11"/>
  <c r="Q37" i="11"/>
  <c r="P37" i="11"/>
  <c r="O37" i="11"/>
  <c r="M37" i="11"/>
  <c r="J37" i="11"/>
  <c r="I37" i="11"/>
  <c r="D101" i="1" s="1"/>
  <c r="H37" i="11"/>
  <c r="F37" i="11"/>
  <c r="C37" i="11"/>
  <c r="B37" i="11"/>
  <c r="B101" i="1" s="1"/>
  <c r="A37" i="11"/>
  <c r="AE36" i="11"/>
  <c r="AD36" i="11"/>
  <c r="AC36" i="11"/>
  <c r="Z36" i="11"/>
  <c r="Y36" i="11"/>
  <c r="X36" i="11"/>
  <c r="V36" i="11"/>
  <c r="U36" i="11"/>
  <c r="T36" i="11"/>
  <c r="Q36" i="11"/>
  <c r="P36" i="11"/>
  <c r="O36" i="11"/>
  <c r="M36" i="11"/>
  <c r="J36" i="11"/>
  <c r="I36" i="11"/>
  <c r="D100" i="1" s="1"/>
  <c r="H36" i="11"/>
  <c r="F36" i="11"/>
  <c r="C36" i="11"/>
  <c r="B36" i="11"/>
  <c r="B100" i="1" s="1"/>
  <c r="A36" i="11"/>
  <c r="AE35" i="11"/>
  <c r="AD35" i="11"/>
  <c r="AC35" i="11"/>
  <c r="Z35" i="11"/>
  <c r="Y35" i="11"/>
  <c r="X35" i="11"/>
  <c r="V35" i="11"/>
  <c r="U35" i="11"/>
  <c r="T35" i="11"/>
  <c r="Q35" i="11"/>
  <c r="P35" i="11"/>
  <c r="O35" i="11"/>
  <c r="M35" i="11"/>
  <c r="J35" i="11"/>
  <c r="I35" i="11"/>
  <c r="D99" i="1" s="1"/>
  <c r="H35" i="11"/>
  <c r="F35" i="11"/>
  <c r="C35" i="11"/>
  <c r="B35" i="11"/>
  <c r="B99" i="1" s="1"/>
  <c r="A35" i="11"/>
  <c r="AE34" i="11"/>
  <c r="AD34" i="11"/>
  <c r="AC34" i="11"/>
  <c r="Z34" i="11"/>
  <c r="Y34" i="11"/>
  <c r="X34" i="11"/>
  <c r="V34" i="11"/>
  <c r="U34" i="11"/>
  <c r="T34" i="11"/>
  <c r="Q34" i="11"/>
  <c r="P34" i="11"/>
  <c r="O34" i="11"/>
  <c r="M34" i="11"/>
  <c r="J34" i="11"/>
  <c r="I34" i="11"/>
  <c r="D98" i="1" s="1"/>
  <c r="H34" i="11"/>
  <c r="F34" i="11"/>
  <c r="C34" i="11"/>
  <c r="B34" i="11"/>
  <c r="B98" i="1" s="1"/>
  <c r="A34" i="11"/>
  <c r="AE33" i="11"/>
  <c r="AD33" i="11"/>
  <c r="AC33" i="11"/>
  <c r="Z33" i="11"/>
  <c r="Y33" i="11"/>
  <c r="X33" i="11"/>
  <c r="V33" i="11"/>
  <c r="U33" i="11"/>
  <c r="T33" i="11"/>
  <c r="Q33" i="11"/>
  <c r="P33" i="11"/>
  <c r="O33" i="11"/>
  <c r="M33" i="11"/>
  <c r="J33" i="11"/>
  <c r="I33" i="11"/>
  <c r="D97" i="1" s="1"/>
  <c r="H33" i="11"/>
  <c r="F33" i="11"/>
  <c r="C33" i="11"/>
  <c r="B33" i="11"/>
  <c r="B97" i="1" s="1"/>
  <c r="A33" i="11"/>
  <c r="AE32" i="11"/>
  <c r="AD32" i="11"/>
  <c r="AC32" i="11"/>
  <c r="Z32" i="11"/>
  <c r="Y32" i="11"/>
  <c r="X32" i="11"/>
  <c r="V32" i="11"/>
  <c r="U32" i="11"/>
  <c r="T32" i="11"/>
  <c r="Q32" i="11"/>
  <c r="P32" i="11"/>
  <c r="O32" i="11"/>
  <c r="M32" i="11"/>
  <c r="J32" i="11"/>
  <c r="I32" i="11"/>
  <c r="D96" i="1" s="1"/>
  <c r="H32" i="11"/>
  <c r="F32" i="11"/>
  <c r="C32" i="11"/>
  <c r="B32" i="11"/>
  <c r="B96" i="1" s="1"/>
  <c r="A32" i="11"/>
  <c r="AE31" i="11"/>
  <c r="AD31" i="11"/>
  <c r="AC31" i="11"/>
  <c r="Z31" i="11"/>
  <c r="Y31" i="11"/>
  <c r="X31" i="11"/>
  <c r="V31" i="11"/>
  <c r="U31" i="11"/>
  <c r="T31" i="11"/>
  <c r="Q31" i="11"/>
  <c r="P31" i="11"/>
  <c r="O31" i="11"/>
  <c r="M31" i="11"/>
  <c r="J31" i="11"/>
  <c r="I31" i="11"/>
  <c r="D95" i="1" s="1"/>
  <c r="H31" i="11"/>
  <c r="F31" i="11"/>
  <c r="C31" i="11"/>
  <c r="B31" i="11"/>
  <c r="B95" i="1" s="1"/>
  <c r="A31" i="11"/>
  <c r="AE30" i="11"/>
  <c r="AD30" i="11"/>
  <c r="AC30" i="11"/>
  <c r="Z30" i="11"/>
  <c r="Y30" i="11"/>
  <c r="X30" i="11"/>
  <c r="V30" i="11"/>
  <c r="U30" i="11"/>
  <c r="T30" i="11"/>
  <c r="Q30" i="11"/>
  <c r="P30" i="11"/>
  <c r="O30" i="11"/>
  <c r="M30" i="11"/>
  <c r="J30" i="11"/>
  <c r="I30" i="11"/>
  <c r="D94" i="1" s="1"/>
  <c r="H30" i="11"/>
  <c r="F30" i="11"/>
  <c r="C30" i="11"/>
  <c r="B30" i="11"/>
  <c r="B94" i="1" s="1"/>
  <c r="A30" i="11"/>
  <c r="AE29" i="11"/>
  <c r="AD29" i="11"/>
  <c r="AC29" i="11"/>
  <c r="Z29" i="11"/>
  <c r="Y29" i="11"/>
  <c r="X29" i="11"/>
  <c r="V29" i="11"/>
  <c r="U29" i="11"/>
  <c r="T29" i="11"/>
  <c r="Q29" i="11"/>
  <c r="P29" i="11"/>
  <c r="O29" i="11"/>
  <c r="M29" i="11"/>
  <c r="J29" i="11"/>
  <c r="I29" i="11"/>
  <c r="D93" i="1" s="1"/>
  <c r="H29" i="11"/>
  <c r="F29" i="11"/>
  <c r="C29" i="11"/>
  <c r="B29" i="11"/>
  <c r="B93" i="1" s="1"/>
  <c r="A29" i="11"/>
  <c r="AE28" i="11"/>
  <c r="AD28" i="11"/>
  <c r="AC28" i="11"/>
  <c r="Z28" i="11"/>
  <c r="Y28" i="11"/>
  <c r="X28" i="11"/>
  <c r="V28" i="11"/>
  <c r="U28" i="11"/>
  <c r="T28" i="11"/>
  <c r="Q28" i="11"/>
  <c r="P28" i="11"/>
  <c r="O28" i="11"/>
  <c r="M28" i="11"/>
  <c r="J28" i="11"/>
  <c r="I28" i="11"/>
  <c r="D92" i="1" s="1"/>
  <c r="H28" i="11"/>
  <c r="F28" i="11"/>
  <c r="C28" i="11"/>
  <c r="B28" i="11"/>
  <c r="B92" i="1" s="1"/>
  <c r="A28" i="11"/>
  <c r="AE27" i="11"/>
  <c r="AD27" i="11"/>
  <c r="AC27" i="11"/>
  <c r="Z27" i="11"/>
  <c r="Y27" i="11"/>
  <c r="X27" i="11"/>
  <c r="V27" i="11"/>
  <c r="U27" i="11"/>
  <c r="T27" i="11"/>
  <c r="Q27" i="11"/>
  <c r="P27" i="11"/>
  <c r="O27" i="11"/>
  <c r="M27" i="11"/>
  <c r="J27" i="11"/>
  <c r="I27" i="11"/>
  <c r="D91" i="1" s="1"/>
  <c r="H27" i="11"/>
  <c r="F27" i="11"/>
  <c r="C27" i="11"/>
  <c r="B27" i="11"/>
  <c r="B91" i="1" s="1"/>
  <c r="A27" i="11"/>
  <c r="AE26" i="11"/>
  <c r="AD26" i="11"/>
  <c r="AC26" i="11"/>
  <c r="Z26" i="11"/>
  <c r="Y26" i="11"/>
  <c r="X26" i="11"/>
  <c r="V26" i="11"/>
  <c r="U26" i="11"/>
  <c r="T26" i="11"/>
  <c r="Q26" i="11"/>
  <c r="P26" i="11"/>
  <c r="O26" i="11"/>
  <c r="M26" i="11"/>
  <c r="J26" i="11"/>
  <c r="I26" i="11"/>
  <c r="D90" i="1" s="1"/>
  <c r="H26" i="11"/>
  <c r="F26" i="11"/>
  <c r="C26" i="11"/>
  <c r="B26" i="11"/>
  <c r="B90" i="1" s="1"/>
  <c r="A26" i="11"/>
  <c r="AE25" i="11"/>
  <c r="AD25" i="11"/>
  <c r="AC25" i="11"/>
  <c r="Z25" i="11"/>
  <c r="Y25" i="11"/>
  <c r="X25" i="11"/>
  <c r="V25" i="11"/>
  <c r="U25" i="11"/>
  <c r="T25" i="11"/>
  <c r="Q25" i="11"/>
  <c r="P25" i="11"/>
  <c r="O25" i="11"/>
  <c r="M25" i="11"/>
  <c r="J25" i="11"/>
  <c r="I25" i="11"/>
  <c r="D89" i="1" s="1"/>
  <c r="H25" i="11"/>
  <c r="F25" i="11"/>
  <c r="C25" i="11"/>
  <c r="B25" i="11"/>
  <c r="B89" i="1" s="1"/>
  <c r="A25" i="11"/>
  <c r="AE24" i="11"/>
  <c r="AD24" i="11"/>
  <c r="AC24" i="11"/>
  <c r="Z24" i="11"/>
  <c r="Y24" i="11"/>
  <c r="X24" i="11"/>
  <c r="V24" i="11"/>
  <c r="U24" i="11"/>
  <c r="T24" i="11"/>
  <c r="Q24" i="11"/>
  <c r="P24" i="11"/>
  <c r="O24" i="11"/>
  <c r="M24" i="11"/>
  <c r="J24" i="11"/>
  <c r="I24" i="11"/>
  <c r="D88" i="1" s="1"/>
  <c r="H24" i="11"/>
  <c r="F24" i="11"/>
  <c r="C24" i="11"/>
  <c r="B24" i="11"/>
  <c r="B88" i="1" s="1"/>
  <c r="A24" i="11"/>
  <c r="AE23" i="11"/>
  <c r="AD23" i="11"/>
  <c r="AC23" i="11"/>
  <c r="Z23" i="11"/>
  <c r="Y23" i="11"/>
  <c r="X23" i="11"/>
  <c r="V23" i="11"/>
  <c r="U23" i="11"/>
  <c r="T23" i="11"/>
  <c r="Q23" i="11"/>
  <c r="P23" i="11"/>
  <c r="O23" i="11"/>
  <c r="M23" i="11"/>
  <c r="J23" i="11"/>
  <c r="I23" i="11"/>
  <c r="D87" i="1" s="1"/>
  <c r="H23" i="11"/>
  <c r="F23" i="11"/>
  <c r="C23" i="11"/>
  <c r="B23" i="11"/>
  <c r="B87" i="1" s="1"/>
  <c r="A23" i="11"/>
  <c r="AE22" i="11"/>
  <c r="AD22" i="11"/>
  <c r="AC22" i="11"/>
  <c r="Z22" i="11"/>
  <c r="Y22" i="11"/>
  <c r="X22" i="11"/>
  <c r="V22" i="11"/>
  <c r="U22" i="11"/>
  <c r="T22" i="11"/>
  <c r="Q22" i="11"/>
  <c r="P22" i="11"/>
  <c r="O22" i="11"/>
  <c r="M22" i="11"/>
  <c r="J22" i="11"/>
  <c r="I22" i="11"/>
  <c r="D86" i="1" s="1"/>
  <c r="H22" i="11"/>
  <c r="F22" i="11"/>
  <c r="C22" i="11"/>
  <c r="B22" i="11"/>
  <c r="B86" i="1" s="1"/>
  <c r="A22" i="11"/>
  <c r="AE21" i="11"/>
  <c r="AD21" i="11"/>
  <c r="AC21" i="11"/>
  <c r="Z21" i="11"/>
  <c r="Y21" i="11"/>
  <c r="X21" i="11"/>
  <c r="V21" i="11"/>
  <c r="U21" i="11"/>
  <c r="T21" i="11"/>
  <c r="Q21" i="11"/>
  <c r="P21" i="11"/>
  <c r="O21" i="11"/>
  <c r="M21" i="11"/>
  <c r="J21" i="11"/>
  <c r="I21" i="11"/>
  <c r="D85" i="1" s="1"/>
  <c r="H21" i="11"/>
  <c r="F21" i="11"/>
  <c r="C21" i="11"/>
  <c r="B21" i="11"/>
  <c r="B85" i="1" s="1"/>
  <c r="A21" i="11"/>
  <c r="AE20" i="11"/>
  <c r="AD20" i="11"/>
  <c r="AC20" i="11"/>
  <c r="Z20" i="11"/>
  <c r="Y20" i="11"/>
  <c r="X20" i="11"/>
  <c r="V20" i="11"/>
  <c r="U20" i="11"/>
  <c r="T20" i="11"/>
  <c r="Q20" i="11"/>
  <c r="P20" i="11"/>
  <c r="O20" i="11"/>
  <c r="M20" i="11"/>
  <c r="J20" i="11"/>
  <c r="I20" i="11"/>
  <c r="D84" i="1" s="1"/>
  <c r="H20" i="11"/>
  <c r="F20" i="11"/>
  <c r="C20" i="11"/>
  <c r="B20" i="11"/>
  <c r="B84" i="1" s="1"/>
  <c r="A20" i="11"/>
  <c r="AE19" i="11"/>
  <c r="AD19" i="11"/>
  <c r="AC19" i="11"/>
  <c r="Z19" i="11"/>
  <c r="Y19" i="11"/>
  <c r="X19" i="11"/>
  <c r="V19" i="11"/>
  <c r="U19" i="11"/>
  <c r="T19" i="11"/>
  <c r="Q19" i="11"/>
  <c r="P19" i="11"/>
  <c r="O19" i="11"/>
  <c r="M19" i="11"/>
  <c r="J19" i="11"/>
  <c r="I19" i="11"/>
  <c r="D83" i="1" s="1"/>
  <c r="H19" i="11"/>
  <c r="F19" i="11"/>
  <c r="C19" i="11"/>
  <c r="B19" i="11"/>
  <c r="B83" i="1" s="1"/>
  <c r="A19" i="11"/>
  <c r="AE18" i="11"/>
  <c r="AD18" i="11"/>
  <c r="AC18" i="11"/>
  <c r="Z18" i="11"/>
  <c r="Y18" i="11"/>
  <c r="X18" i="11"/>
  <c r="V18" i="11"/>
  <c r="U18" i="11"/>
  <c r="T18" i="11"/>
  <c r="Q18" i="11"/>
  <c r="P18" i="11"/>
  <c r="O18" i="11"/>
  <c r="M18" i="11"/>
  <c r="J18" i="11"/>
  <c r="I18" i="11"/>
  <c r="D82" i="1" s="1"/>
  <c r="H18" i="11"/>
  <c r="F18" i="11"/>
  <c r="C18" i="11"/>
  <c r="B18" i="11"/>
  <c r="B82" i="1" s="1"/>
  <c r="A18" i="11"/>
  <c r="AE17" i="11"/>
  <c r="AD17" i="11"/>
  <c r="AC17" i="11"/>
  <c r="Z17" i="11"/>
  <c r="Y17" i="11"/>
  <c r="X17" i="11"/>
  <c r="V17" i="11"/>
  <c r="U17" i="11"/>
  <c r="T17" i="11"/>
  <c r="Q17" i="11"/>
  <c r="P17" i="11"/>
  <c r="O17" i="11"/>
  <c r="M17" i="11"/>
  <c r="J17" i="11"/>
  <c r="I17" i="11"/>
  <c r="D81" i="1" s="1"/>
  <c r="H17" i="11"/>
  <c r="F17" i="11"/>
  <c r="C17" i="11"/>
  <c r="B17" i="11"/>
  <c r="B81" i="1" s="1"/>
  <c r="A17" i="11"/>
  <c r="AE16" i="11"/>
  <c r="AD16" i="11"/>
  <c r="AC16" i="11"/>
  <c r="Z16" i="11"/>
  <c r="Y16" i="11"/>
  <c r="X16" i="11"/>
  <c r="V16" i="11"/>
  <c r="U16" i="11"/>
  <c r="T16" i="11"/>
  <c r="Q16" i="11"/>
  <c r="P16" i="11"/>
  <c r="O16" i="11"/>
  <c r="M16" i="11"/>
  <c r="J16" i="11"/>
  <c r="I16" i="11"/>
  <c r="D80" i="1" s="1"/>
  <c r="H16" i="11"/>
  <c r="F16" i="11"/>
  <c r="C16" i="11"/>
  <c r="B16" i="11"/>
  <c r="B80" i="1" s="1"/>
  <c r="A16" i="11"/>
  <c r="AE15" i="11"/>
  <c r="AD15" i="11"/>
  <c r="AC15" i="11"/>
  <c r="Z15" i="11"/>
  <c r="Y15" i="11"/>
  <c r="X15" i="11"/>
  <c r="V15" i="11"/>
  <c r="U15" i="11"/>
  <c r="T15" i="11"/>
  <c r="Q15" i="11"/>
  <c r="P15" i="11"/>
  <c r="O15" i="11"/>
  <c r="M15" i="11"/>
  <c r="J15" i="11"/>
  <c r="I15" i="11"/>
  <c r="D79" i="1" s="1"/>
  <c r="H15" i="11"/>
  <c r="F15" i="11"/>
  <c r="C15" i="11"/>
  <c r="B15" i="11"/>
  <c r="B79" i="1" s="1"/>
  <c r="A15" i="11"/>
  <c r="AE14" i="11"/>
  <c r="AD14" i="11"/>
  <c r="AC14" i="11"/>
  <c r="Z14" i="11"/>
  <c r="Y14" i="11"/>
  <c r="X14" i="11"/>
  <c r="V14" i="11"/>
  <c r="U14" i="11"/>
  <c r="T14" i="11"/>
  <c r="Q14" i="11"/>
  <c r="P14" i="11"/>
  <c r="O14" i="11"/>
  <c r="M14" i="11"/>
  <c r="J14" i="11"/>
  <c r="I14" i="11"/>
  <c r="D78" i="1" s="1"/>
  <c r="H14" i="11"/>
  <c r="F14" i="11"/>
  <c r="C14" i="11"/>
  <c r="B14" i="11"/>
  <c r="B78" i="1" s="1"/>
  <c r="A14" i="11"/>
  <c r="AE13" i="11"/>
  <c r="AD13" i="11"/>
  <c r="AC13" i="11"/>
  <c r="Z13" i="11"/>
  <c r="Y13" i="11"/>
  <c r="X13" i="11"/>
  <c r="V13" i="11"/>
  <c r="U13" i="11"/>
  <c r="T13" i="11"/>
  <c r="Q13" i="11"/>
  <c r="P13" i="11"/>
  <c r="O13" i="11"/>
  <c r="M13" i="11"/>
  <c r="J13" i="11"/>
  <c r="I13" i="11"/>
  <c r="D77" i="1" s="1"/>
  <c r="H13" i="11"/>
  <c r="F13" i="11"/>
  <c r="C13" i="11"/>
  <c r="B13" i="11"/>
  <c r="B77" i="1" s="1"/>
  <c r="A13" i="11"/>
  <c r="AE12" i="11"/>
  <c r="AD12" i="11"/>
  <c r="AC12" i="11"/>
  <c r="Z12" i="11"/>
  <c r="Y12" i="11"/>
  <c r="X12" i="11"/>
  <c r="V12" i="11"/>
  <c r="U12" i="11"/>
  <c r="T12" i="11"/>
  <c r="Q12" i="11"/>
  <c r="P12" i="11"/>
  <c r="O12" i="11"/>
  <c r="M12" i="11"/>
  <c r="J12" i="11"/>
  <c r="I12" i="11"/>
  <c r="D76" i="1" s="1"/>
  <c r="H12" i="11"/>
  <c r="F12" i="11"/>
  <c r="C12" i="11"/>
  <c r="B12" i="11"/>
  <c r="B76" i="1" s="1"/>
  <c r="A12" i="11"/>
  <c r="AE11" i="11"/>
  <c r="AD11" i="11"/>
  <c r="AC11" i="11"/>
  <c r="Z11" i="11"/>
  <c r="Y11" i="11"/>
  <c r="X11" i="11"/>
  <c r="V11" i="11"/>
  <c r="U11" i="11"/>
  <c r="T11" i="11"/>
  <c r="Q11" i="11"/>
  <c r="P11" i="11"/>
  <c r="O11" i="11"/>
  <c r="M11" i="11"/>
  <c r="J11" i="11"/>
  <c r="I11" i="11"/>
  <c r="D75" i="1" s="1"/>
  <c r="H11" i="11"/>
  <c r="F11" i="11"/>
  <c r="C11" i="11"/>
  <c r="B11" i="11"/>
  <c r="B75" i="1" s="1"/>
  <c r="A11" i="11"/>
  <c r="AE10" i="11"/>
  <c r="AD10" i="11"/>
  <c r="AC10" i="11"/>
  <c r="Z10" i="11"/>
  <c r="Y10" i="11"/>
  <c r="X10" i="11"/>
  <c r="V10" i="11"/>
  <c r="U10" i="11"/>
  <c r="T10" i="11"/>
  <c r="Q10" i="11"/>
  <c r="P10" i="11"/>
  <c r="O10" i="11"/>
  <c r="M10" i="11"/>
  <c r="J10" i="11"/>
  <c r="I10" i="11"/>
  <c r="D74" i="1" s="1"/>
  <c r="H10" i="11"/>
  <c r="F10" i="11"/>
  <c r="C10" i="11"/>
  <c r="B10" i="11"/>
  <c r="B74" i="1" s="1"/>
  <c r="A10" i="11"/>
  <c r="AE9" i="11"/>
  <c r="AD9" i="11"/>
  <c r="AC9" i="11"/>
  <c r="Z9" i="11"/>
  <c r="Y9" i="11"/>
  <c r="X9" i="11"/>
  <c r="V9" i="11"/>
  <c r="U9" i="11"/>
  <c r="T9" i="11"/>
  <c r="Q9" i="11"/>
  <c r="P9" i="11"/>
  <c r="O9" i="11"/>
  <c r="M9" i="11"/>
  <c r="J9" i="11"/>
  <c r="I9" i="11"/>
  <c r="D73" i="1" s="1"/>
  <c r="H9" i="11"/>
  <c r="F9" i="11"/>
  <c r="C9" i="11"/>
  <c r="B9" i="11"/>
  <c r="B73" i="1" s="1"/>
  <c r="A9" i="11"/>
  <c r="AE8" i="11"/>
  <c r="AD8" i="11"/>
  <c r="AC8" i="11"/>
  <c r="Z8" i="11"/>
  <c r="Y8" i="11"/>
  <c r="X8" i="11"/>
  <c r="V8" i="11"/>
  <c r="U8" i="11"/>
  <c r="T8" i="11"/>
  <c r="Q8" i="11"/>
  <c r="P8" i="11"/>
  <c r="O8" i="11"/>
  <c r="M8" i="11"/>
  <c r="J8" i="11"/>
  <c r="I8" i="11"/>
  <c r="D72" i="1" s="1"/>
  <c r="H8" i="11"/>
  <c r="F8" i="11"/>
  <c r="C8" i="11"/>
  <c r="B8" i="11"/>
  <c r="B72" i="1" s="1"/>
  <c r="A8" i="11"/>
  <c r="AE7" i="11"/>
  <c r="AD7" i="11"/>
  <c r="AC7" i="11"/>
  <c r="Z7" i="11"/>
  <c r="Y7" i="11"/>
  <c r="X7" i="11"/>
  <c r="V7" i="11"/>
  <c r="U7" i="11"/>
  <c r="T7" i="11"/>
  <c r="Q7" i="11"/>
  <c r="P7" i="11"/>
  <c r="O7" i="11"/>
  <c r="M7" i="11"/>
  <c r="J7" i="11"/>
  <c r="I7" i="11"/>
  <c r="D71" i="1" s="1"/>
  <c r="H7" i="11"/>
  <c r="F7" i="11"/>
  <c r="C7" i="11"/>
  <c r="B7" i="11"/>
  <c r="B71" i="1" s="1"/>
  <c r="A7" i="11"/>
  <c r="AE6" i="11"/>
  <c r="AD6" i="11"/>
  <c r="AC6" i="11"/>
  <c r="Z6" i="11"/>
  <c r="Y6" i="11"/>
  <c r="X6" i="11"/>
  <c r="V6" i="11"/>
  <c r="U6" i="11"/>
  <c r="T6" i="11"/>
  <c r="Q6" i="11"/>
  <c r="P6" i="11"/>
  <c r="O6" i="11"/>
  <c r="M6" i="11"/>
  <c r="J6" i="11"/>
  <c r="I6" i="11"/>
  <c r="D70" i="1" s="1"/>
  <c r="H6" i="11"/>
  <c r="F6" i="11"/>
  <c r="C6" i="11"/>
  <c r="B6" i="11"/>
  <c r="B70" i="1" s="1"/>
  <c r="A6" i="11"/>
  <c r="AE5" i="11"/>
  <c r="AD5" i="11"/>
  <c r="AC5" i="11"/>
  <c r="Z5" i="11"/>
  <c r="Y5" i="11"/>
  <c r="X5" i="11"/>
  <c r="V5" i="11"/>
  <c r="U5" i="11"/>
  <c r="T5" i="11"/>
  <c r="Q5" i="11"/>
  <c r="P5" i="11"/>
  <c r="O5" i="11"/>
  <c r="M5" i="11"/>
  <c r="J5" i="11"/>
  <c r="I5" i="11"/>
  <c r="D69" i="1" s="1"/>
  <c r="H5" i="11"/>
  <c r="F5" i="11"/>
  <c r="C5" i="11"/>
  <c r="B5" i="11"/>
  <c r="B69" i="1" s="1"/>
  <c r="A5" i="11"/>
  <c r="AE4" i="11"/>
  <c r="AD4" i="11"/>
  <c r="AC4" i="11"/>
  <c r="Z4" i="11"/>
  <c r="Y4" i="11"/>
  <c r="X4" i="11"/>
  <c r="V4" i="11"/>
  <c r="U4" i="11"/>
  <c r="T4" i="11"/>
  <c r="Q4" i="11"/>
  <c r="P4" i="11"/>
  <c r="O4" i="11"/>
  <c r="M4" i="11"/>
  <c r="J4" i="11"/>
  <c r="I4" i="11"/>
  <c r="D68" i="1" s="1"/>
  <c r="H4" i="11"/>
  <c r="F4" i="11"/>
  <c r="C4" i="11"/>
  <c r="B4" i="11"/>
  <c r="B68" i="1" s="1"/>
  <c r="A4" i="11"/>
  <c r="AE3" i="11"/>
  <c r="AD3" i="11"/>
  <c r="AC3" i="11"/>
  <c r="Z3" i="11"/>
  <c r="Y3" i="11"/>
  <c r="X3" i="11"/>
  <c r="V3" i="11"/>
  <c r="U3" i="11"/>
  <c r="T3" i="11"/>
  <c r="Q3" i="11"/>
  <c r="P3" i="11"/>
  <c r="O3" i="11"/>
  <c r="M3" i="11"/>
  <c r="J3" i="11"/>
  <c r="I3" i="11"/>
  <c r="D67" i="1" s="1"/>
  <c r="H3" i="11"/>
  <c r="F3" i="11"/>
  <c r="C3" i="11"/>
  <c r="B3" i="11"/>
  <c r="B67" i="1" s="1"/>
  <c r="A3" i="11"/>
  <c r="AE2" i="11"/>
  <c r="AD2" i="11"/>
  <c r="AC2" i="11"/>
  <c r="AB2" i="11"/>
  <c r="AA2" i="11"/>
  <c r="Z2" i="11"/>
  <c r="Y2" i="11"/>
  <c r="X2" i="11"/>
  <c r="V2" i="11"/>
  <c r="U2" i="11"/>
  <c r="T2" i="11"/>
  <c r="S2" i="11"/>
  <c r="R2" i="11"/>
  <c r="Q2" i="11"/>
  <c r="P2" i="11"/>
  <c r="O2" i="11"/>
  <c r="M2" i="11"/>
  <c r="L2" i="11"/>
  <c r="K2" i="11"/>
  <c r="J2" i="11"/>
  <c r="I2" i="11"/>
  <c r="H2" i="11"/>
  <c r="F2" i="11"/>
  <c r="E2" i="11"/>
  <c r="D2" i="11"/>
  <c r="C2" i="11"/>
  <c r="B2" i="11"/>
  <c r="A2" i="11"/>
  <c r="J66" i="10"/>
  <c r="I66" i="10"/>
  <c r="H66" i="10"/>
  <c r="G66" i="10"/>
  <c r="F66" i="10"/>
  <c r="E66" i="10"/>
  <c r="D66" i="10"/>
  <c r="C66" i="10"/>
  <c r="B66" i="10"/>
  <c r="A66" i="10"/>
  <c r="J65" i="10"/>
  <c r="I65" i="10"/>
  <c r="H65" i="10"/>
  <c r="G65" i="10"/>
  <c r="F65" i="10"/>
  <c r="E65" i="10"/>
  <c r="D65" i="10"/>
  <c r="C65" i="10"/>
  <c r="B65" i="10"/>
  <c r="A65" i="10"/>
  <c r="J64" i="10"/>
  <c r="I64" i="10"/>
  <c r="H64" i="10"/>
  <c r="G64" i="10"/>
  <c r="F64" i="10"/>
  <c r="E64" i="10"/>
  <c r="D64" i="10"/>
  <c r="C64" i="10"/>
  <c r="B64" i="10"/>
  <c r="A64" i="10"/>
  <c r="J63" i="10"/>
  <c r="I63" i="10"/>
  <c r="H63" i="10"/>
  <c r="G63" i="10"/>
  <c r="F63" i="10"/>
  <c r="E63" i="10"/>
  <c r="D63" i="10"/>
  <c r="C63" i="10"/>
  <c r="B63" i="10"/>
  <c r="A63" i="10"/>
  <c r="J62" i="10"/>
  <c r="I62" i="10"/>
  <c r="H62" i="10"/>
  <c r="G62" i="10"/>
  <c r="F62" i="10"/>
  <c r="E62" i="10"/>
  <c r="D62" i="10"/>
  <c r="C62" i="10"/>
  <c r="B62" i="10"/>
  <c r="A62" i="10"/>
  <c r="J61" i="10"/>
  <c r="I61" i="10"/>
  <c r="H61" i="10"/>
  <c r="G61" i="10"/>
  <c r="F61" i="10"/>
  <c r="E61" i="10"/>
  <c r="D61" i="10"/>
  <c r="C61" i="10"/>
  <c r="B61" i="10"/>
  <c r="A61" i="10"/>
  <c r="J60" i="10"/>
  <c r="I60" i="10"/>
  <c r="H60" i="10"/>
  <c r="G60" i="10"/>
  <c r="F60" i="10"/>
  <c r="E60" i="10"/>
  <c r="D60" i="10"/>
  <c r="C60" i="10"/>
  <c r="B60" i="10"/>
  <c r="A60" i="10"/>
  <c r="J59" i="10"/>
  <c r="I59" i="10"/>
  <c r="H59" i="10"/>
  <c r="G59" i="10"/>
  <c r="F59" i="10"/>
  <c r="E59" i="10"/>
  <c r="D59" i="10"/>
  <c r="C59" i="10"/>
  <c r="B59" i="10"/>
  <c r="A59" i="10"/>
  <c r="J58" i="10"/>
  <c r="I58" i="10"/>
  <c r="H58" i="10"/>
  <c r="G58" i="10"/>
  <c r="F58" i="10"/>
  <c r="E58" i="10"/>
  <c r="D58" i="10"/>
  <c r="C58" i="10"/>
  <c r="B58" i="10"/>
  <c r="A58" i="10"/>
  <c r="Q57" i="10"/>
  <c r="P57" i="10"/>
  <c r="O57" i="10"/>
  <c r="J57" i="10"/>
  <c r="I57" i="10"/>
  <c r="H57" i="10"/>
  <c r="G57" i="10"/>
  <c r="F57" i="10"/>
  <c r="E57" i="10"/>
  <c r="D57" i="10"/>
  <c r="C57" i="10"/>
  <c r="B57" i="10"/>
  <c r="A57" i="10"/>
  <c r="R56" i="10"/>
  <c r="Q56" i="10"/>
  <c r="P56" i="10"/>
  <c r="O56" i="10"/>
  <c r="J56" i="10"/>
  <c r="X63" i="1" s="1"/>
  <c r="I56" i="10"/>
  <c r="W63" i="1" s="1"/>
  <c r="G56" i="10"/>
  <c r="F56" i="10"/>
  <c r="V63" i="1" s="1"/>
  <c r="E56" i="10"/>
  <c r="AC63" i="1" s="1"/>
  <c r="D56" i="10"/>
  <c r="AB63" i="1" s="1"/>
  <c r="C56" i="10"/>
  <c r="B56" i="10"/>
  <c r="A56" i="10"/>
  <c r="AA63" i="1" s="1"/>
  <c r="R55" i="10"/>
  <c r="Q55" i="10"/>
  <c r="P55" i="10"/>
  <c r="O55" i="10"/>
  <c r="J55" i="10"/>
  <c r="X62" i="1" s="1"/>
  <c r="I55" i="10"/>
  <c r="W62" i="1" s="1"/>
  <c r="H55" i="10"/>
  <c r="G55" i="10"/>
  <c r="F55" i="10"/>
  <c r="V62" i="1" s="1"/>
  <c r="E55" i="10"/>
  <c r="AC62" i="1" s="1"/>
  <c r="D55" i="10"/>
  <c r="AB62" i="1" s="1"/>
  <c r="C55" i="10"/>
  <c r="B55" i="10"/>
  <c r="A55" i="10"/>
  <c r="AA62" i="1" s="1"/>
  <c r="R54" i="10"/>
  <c r="Q54" i="10"/>
  <c r="P54" i="10"/>
  <c r="O54" i="10"/>
  <c r="J54" i="10"/>
  <c r="X61" i="1" s="1"/>
  <c r="I54" i="10"/>
  <c r="W61" i="1" s="1"/>
  <c r="H54" i="10"/>
  <c r="G54" i="10"/>
  <c r="F54" i="10"/>
  <c r="V61" i="1" s="1"/>
  <c r="E54" i="10"/>
  <c r="AC61" i="1" s="1"/>
  <c r="D54" i="10"/>
  <c r="AB61" i="1" s="1"/>
  <c r="C54" i="10"/>
  <c r="B54" i="10"/>
  <c r="A54" i="10"/>
  <c r="AA61" i="1" s="1"/>
  <c r="R53" i="10"/>
  <c r="Q53" i="10"/>
  <c r="P53" i="10"/>
  <c r="O53" i="10"/>
  <c r="J53" i="10"/>
  <c r="X60" i="1" s="1"/>
  <c r="I53" i="10"/>
  <c r="W60" i="1" s="1"/>
  <c r="H53" i="10"/>
  <c r="G53" i="10"/>
  <c r="F53" i="10"/>
  <c r="V60" i="1" s="1"/>
  <c r="E53" i="10"/>
  <c r="AC60" i="1" s="1"/>
  <c r="D53" i="10"/>
  <c r="AB60" i="1" s="1"/>
  <c r="C53" i="10"/>
  <c r="B53" i="10"/>
  <c r="A53" i="10"/>
  <c r="AA60" i="1" s="1"/>
  <c r="R52" i="10"/>
  <c r="Q52" i="10"/>
  <c r="P52" i="10"/>
  <c r="O52" i="10"/>
  <c r="J52" i="10"/>
  <c r="X59" i="1" s="1"/>
  <c r="I52" i="10"/>
  <c r="W59" i="1" s="1"/>
  <c r="H52" i="10"/>
  <c r="G52" i="10"/>
  <c r="F52" i="10"/>
  <c r="V59" i="1" s="1"/>
  <c r="E52" i="10"/>
  <c r="AC59" i="1" s="1"/>
  <c r="D52" i="10"/>
  <c r="AB59" i="1" s="1"/>
  <c r="C52" i="10"/>
  <c r="B52" i="10"/>
  <c r="A52" i="10"/>
  <c r="AA59" i="1" s="1"/>
  <c r="R51" i="10"/>
  <c r="Q51" i="10"/>
  <c r="P51" i="10"/>
  <c r="O51" i="10"/>
  <c r="J51" i="10"/>
  <c r="X58" i="1" s="1"/>
  <c r="I51" i="10"/>
  <c r="W58" i="1" s="1"/>
  <c r="H51" i="10"/>
  <c r="G51" i="10"/>
  <c r="F51" i="10"/>
  <c r="V58" i="1" s="1"/>
  <c r="E51" i="10"/>
  <c r="AC58" i="1" s="1"/>
  <c r="D51" i="10"/>
  <c r="AB58" i="1" s="1"/>
  <c r="C51" i="10"/>
  <c r="B51" i="10"/>
  <c r="A51" i="10"/>
  <c r="AA58" i="1" s="1"/>
  <c r="AF48" i="10"/>
  <c r="AB48" i="10"/>
  <c r="Y48" i="10"/>
  <c r="T48" i="10"/>
  <c r="S48" i="10"/>
  <c r="K48" i="10"/>
  <c r="J48" i="10"/>
  <c r="I48" i="10"/>
  <c r="H48" i="10"/>
  <c r="G48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Q47" i="10"/>
  <c r="P47" i="10"/>
  <c r="O47" i="10"/>
  <c r="N47" i="10"/>
  <c r="M47" i="10"/>
  <c r="L47" i="10"/>
  <c r="K47" i="10"/>
  <c r="J47" i="10"/>
  <c r="I47" i="10"/>
  <c r="H47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Q46" i="10"/>
  <c r="P46" i="10"/>
  <c r="O46" i="10"/>
  <c r="N46" i="10"/>
  <c r="M46" i="10"/>
  <c r="L46" i="10"/>
  <c r="K46" i="10"/>
  <c r="J46" i="10"/>
  <c r="I46" i="10"/>
  <c r="H46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Q45" i="10"/>
  <c r="P45" i="10"/>
  <c r="O45" i="10"/>
  <c r="N45" i="10"/>
  <c r="M45" i="10"/>
  <c r="L45" i="10"/>
  <c r="K45" i="10"/>
  <c r="J45" i="10"/>
  <c r="I45" i="10"/>
  <c r="H45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Q44" i="10"/>
  <c r="P44" i="10"/>
  <c r="O44" i="10"/>
  <c r="N44" i="10"/>
  <c r="M44" i="10"/>
  <c r="L44" i="10"/>
  <c r="K44" i="10"/>
  <c r="J44" i="10"/>
  <c r="I44" i="10"/>
  <c r="H44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Q43" i="10"/>
  <c r="P43" i="10"/>
  <c r="O43" i="10"/>
  <c r="N43" i="10"/>
  <c r="M43" i="10"/>
  <c r="L43" i="10"/>
  <c r="K43" i="10"/>
  <c r="J43" i="10"/>
  <c r="I43" i="10"/>
  <c r="H43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Q42" i="10"/>
  <c r="P42" i="10"/>
  <c r="O42" i="10"/>
  <c r="N42" i="10"/>
  <c r="M42" i="10"/>
  <c r="L42" i="10"/>
  <c r="K42" i="10"/>
  <c r="J42" i="10"/>
  <c r="I42" i="10"/>
  <c r="H42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Q41" i="10"/>
  <c r="P41" i="10"/>
  <c r="O41" i="10"/>
  <c r="N41" i="10"/>
  <c r="M41" i="10"/>
  <c r="L41" i="10"/>
  <c r="K41" i="10"/>
  <c r="J41" i="10"/>
  <c r="I41" i="10"/>
  <c r="H41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Q40" i="10"/>
  <c r="P40" i="10"/>
  <c r="O40" i="10"/>
  <c r="N40" i="10"/>
  <c r="M40" i="10"/>
  <c r="L40" i="10"/>
  <c r="K40" i="10"/>
  <c r="J40" i="10"/>
  <c r="I40" i="10"/>
  <c r="H40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Q39" i="10"/>
  <c r="P39" i="10"/>
  <c r="O39" i="10"/>
  <c r="N39" i="10"/>
  <c r="M39" i="10"/>
  <c r="L39" i="10"/>
  <c r="K39" i="10"/>
  <c r="J39" i="10"/>
  <c r="I39" i="10"/>
  <c r="H39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Q38" i="10"/>
  <c r="P38" i="10"/>
  <c r="O38" i="10"/>
  <c r="N38" i="10"/>
  <c r="M38" i="10"/>
  <c r="L38" i="10"/>
  <c r="K38" i="10"/>
  <c r="J38" i="10"/>
  <c r="I38" i="10"/>
  <c r="H38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Q37" i="10"/>
  <c r="P37" i="10"/>
  <c r="O37" i="10"/>
  <c r="N37" i="10"/>
  <c r="M37" i="10"/>
  <c r="L37" i="10"/>
  <c r="K37" i="10"/>
  <c r="J37" i="10"/>
  <c r="I37" i="10"/>
  <c r="H37" i="10"/>
  <c r="E37" i="10"/>
  <c r="D37" i="10"/>
  <c r="C37" i="10"/>
  <c r="B37" i="10"/>
  <c r="A37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Q36" i="10"/>
  <c r="P36" i="10"/>
  <c r="O36" i="10"/>
  <c r="N36" i="10"/>
  <c r="M36" i="10"/>
  <c r="L36" i="10"/>
  <c r="K36" i="10"/>
  <c r="J36" i="10"/>
  <c r="I36" i="10"/>
  <c r="H36" i="10"/>
  <c r="E36" i="10"/>
  <c r="D36" i="10"/>
  <c r="C36" i="10"/>
  <c r="B36" i="10"/>
  <c r="A36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Q35" i="10"/>
  <c r="P35" i="10"/>
  <c r="O35" i="10"/>
  <c r="N35" i="10"/>
  <c r="M35" i="10"/>
  <c r="L35" i="10"/>
  <c r="K35" i="10"/>
  <c r="J35" i="10"/>
  <c r="I35" i="10"/>
  <c r="H35" i="10"/>
  <c r="E35" i="10"/>
  <c r="D35" i="10"/>
  <c r="C35" i="10"/>
  <c r="B35" i="10"/>
  <c r="A35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Q34" i="10"/>
  <c r="P34" i="10"/>
  <c r="O34" i="10"/>
  <c r="N34" i="10"/>
  <c r="M34" i="10"/>
  <c r="L34" i="10"/>
  <c r="K34" i="10"/>
  <c r="J34" i="10"/>
  <c r="I34" i="10"/>
  <c r="H34" i="10"/>
  <c r="E34" i="10"/>
  <c r="D34" i="10"/>
  <c r="C34" i="10"/>
  <c r="B34" i="10"/>
  <c r="A34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Q33" i="10"/>
  <c r="P33" i="10"/>
  <c r="O33" i="10"/>
  <c r="N33" i="10"/>
  <c r="M33" i="10"/>
  <c r="L33" i="10"/>
  <c r="K33" i="10"/>
  <c r="J33" i="10"/>
  <c r="I33" i="10"/>
  <c r="H33" i="10"/>
  <c r="E33" i="10"/>
  <c r="D33" i="10"/>
  <c r="C33" i="10"/>
  <c r="B33" i="10"/>
  <c r="A33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Q32" i="10"/>
  <c r="P32" i="10"/>
  <c r="O32" i="10"/>
  <c r="N32" i="10"/>
  <c r="M32" i="10"/>
  <c r="L32" i="10"/>
  <c r="K32" i="10"/>
  <c r="J32" i="10"/>
  <c r="I32" i="10"/>
  <c r="H32" i="10"/>
  <c r="E32" i="10"/>
  <c r="D32" i="10"/>
  <c r="C32" i="10"/>
  <c r="B32" i="10"/>
  <c r="A32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Q31" i="10"/>
  <c r="P31" i="10"/>
  <c r="O31" i="10"/>
  <c r="N31" i="10"/>
  <c r="M31" i="10"/>
  <c r="L31" i="10"/>
  <c r="K31" i="10"/>
  <c r="J31" i="10"/>
  <c r="I31" i="10"/>
  <c r="H31" i="10"/>
  <c r="E31" i="10"/>
  <c r="D31" i="10"/>
  <c r="C31" i="10"/>
  <c r="B31" i="10"/>
  <c r="A31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Q30" i="10"/>
  <c r="P30" i="10"/>
  <c r="O30" i="10"/>
  <c r="N30" i="10"/>
  <c r="M30" i="10"/>
  <c r="L30" i="10"/>
  <c r="K30" i="10"/>
  <c r="J30" i="10"/>
  <c r="I30" i="10"/>
  <c r="H30" i="10"/>
  <c r="E30" i="10"/>
  <c r="D30" i="10"/>
  <c r="C30" i="10"/>
  <c r="B30" i="10"/>
  <c r="A30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Q29" i="10"/>
  <c r="P29" i="10"/>
  <c r="O29" i="10"/>
  <c r="N29" i="10"/>
  <c r="M29" i="10"/>
  <c r="L29" i="10"/>
  <c r="K29" i="10"/>
  <c r="J29" i="10"/>
  <c r="I29" i="10"/>
  <c r="H29" i="10"/>
  <c r="E29" i="10"/>
  <c r="D29" i="10"/>
  <c r="C29" i="10"/>
  <c r="B29" i="10"/>
  <c r="A29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Q28" i="10"/>
  <c r="P28" i="10"/>
  <c r="O28" i="10"/>
  <c r="N28" i="10"/>
  <c r="M28" i="10"/>
  <c r="L28" i="10"/>
  <c r="K28" i="10"/>
  <c r="J28" i="10"/>
  <c r="I28" i="10"/>
  <c r="H28" i="10"/>
  <c r="E28" i="10"/>
  <c r="D28" i="10"/>
  <c r="C28" i="10"/>
  <c r="B28" i="10"/>
  <c r="A28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Q27" i="10"/>
  <c r="P27" i="10"/>
  <c r="O27" i="10"/>
  <c r="N27" i="10"/>
  <c r="M27" i="10"/>
  <c r="L27" i="10"/>
  <c r="K27" i="10"/>
  <c r="J27" i="10"/>
  <c r="I27" i="10"/>
  <c r="H27" i="10"/>
  <c r="E27" i="10"/>
  <c r="D27" i="10"/>
  <c r="C27" i="10"/>
  <c r="B27" i="10"/>
  <c r="A27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Q26" i="10"/>
  <c r="P26" i="10"/>
  <c r="O26" i="10"/>
  <c r="N26" i="10"/>
  <c r="M26" i="10"/>
  <c r="L26" i="10"/>
  <c r="K26" i="10"/>
  <c r="J26" i="10"/>
  <c r="I26" i="10"/>
  <c r="H26" i="10"/>
  <c r="E26" i="10"/>
  <c r="D26" i="10"/>
  <c r="C26" i="10"/>
  <c r="B26" i="10"/>
  <c r="A26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Q25" i="10"/>
  <c r="P25" i="10"/>
  <c r="O25" i="10"/>
  <c r="N25" i="10"/>
  <c r="M25" i="10"/>
  <c r="L25" i="10"/>
  <c r="K25" i="10"/>
  <c r="J25" i="10"/>
  <c r="I25" i="10"/>
  <c r="H25" i="10"/>
  <c r="E25" i="10"/>
  <c r="D25" i="10"/>
  <c r="C25" i="10"/>
  <c r="B25" i="10"/>
  <c r="A25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Q24" i="10"/>
  <c r="P24" i="10"/>
  <c r="O24" i="10"/>
  <c r="N24" i="10"/>
  <c r="M24" i="10"/>
  <c r="L24" i="10"/>
  <c r="K24" i="10"/>
  <c r="J24" i="10"/>
  <c r="I24" i="10"/>
  <c r="H24" i="10"/>
  <c r="E24" i="10"/>
  <c r="D24" i="10"/>
  <c r="C24" i="10"/>
  <c r="B24" i="10"/>
  <c r="A24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Q23" i="10"/>
  <c r="P23" i="10"/>
  <c r="O23" i="10"/>
  <c r="N23" i="10"/>
  <c r="M23" i="10"/>
  <c r="L23" i="10"/>
  <c r="K23" i="10"/>
  <c r="J23" i="10"/>
  <c r="I23" i="10"/>
  <c r="H23" i="10"/>
  <c r="E23" i="10"/>
  <c r="D23" i="10"/>
  <c r="C23" i="10"/>
  <c r="B23" i="10"/>
  <c r="A23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Q22" i="10"/>
  <c r="P22" i="10"/>
  <c r="O22" i="10"/>
  <c r="N22" i="10"/>
  <c r="M22" i="10"/>
  <c r="L22" i="10"/>
  <c r="K22" i="10"/>
  <c r="J22" i="10"/>
  <c r="I22" i="10"/>
  <c r="H22" i="10"/>
  <c r="E22" i="10"/>
  <c r="D22" i="10"/>
  <c r="C22" i="10"/>
  <c r="B22" i="10"/>
  <c r="A22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Q21" i="10"/>
  <c r="P21" i="10"/>
  <c r="O21" i="10"/>
  <c r="N21" i="10"/>
  <c r="M21" i="10"/>
  <c r="L21" i="10"/>
  <c r="K21" i="10"/>
  <c r="J21" i="10"/>
  <c r="I21" i="10"/>
  <c r="H21" i="10"/>
  <c r="E21" i="10"/>
  <c r="D21" i="10"/>
  <c r="C21" i="10"/>
  <c r="B21" i="10"/>
  <c r="A21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Q20" i="10"/>
  <c r="P20" i="10"/>
  <c r="O20" i="10"/>
  <c r="N20" i="10"/>
  <c r="M20" i="10"/>
  <c r="L20" i="10"/>
  <c r="K20" i="10"/>
  <c r="J20" i="10"/>
  <c r="I20" i="10"/>
  <c r="H20" i="10"/>
  <c r="E20" i="10"/>
  <c r="D20" i="10"/>
  <c r="C20" i="10"/>
  <c r="B20" i="10"/>
  <c r="A20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Q19" i="10"/>
  <c r="P19" i="10"/>
  <c r="O19" i="10"/>
  <c r="N19" i="10"/>
  <c r="M19" i="10"/>
  <c r="L19" i="10"/>
  <c r="K19" i="10"/>
  <c r="J19" i="10"/>
  <c r="I19" i="10"/>
  <c r="H19" i="10"/>
  <c r="E19" i="10"/>
  <c r="D19" i="10"/>
  <c r="C19" i="10"/>
  <c r="B19" i="10"/>
  <c r="A19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Q18" i="10"/>
  <c r="P18" i="10"/>
  <c r="O18" i="10"/>
  <c r="N18" i="10"/>
  <c r="M18" i="10"/>
  <c r="L18" i="10"/>
  <c r="K18" i="10"/>
  <c r="J18" i="10"/>
  <c r="I18" i="10"/>
  <c r="H18" i="10"/>
  <c r="E18" i="10"/>
  <c r="D18" i="10"/>
  <c r="C18" i="10"/>
  <c r="B18" i="10"/>
  <c r="A18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Q17" i="10"/>
  <c r="P17" i="10"/>
  <c r="O17" i="10"/>
  <c r="N17" i="10"/>
  <c r="M17" i="10"/>
  <c r="L17" i="10"/>
  <c r="K17" i="10"/>
  <c r="J17" i="10"/>
  <c r="I17" i="10"/>
  <c r="H17" i="10"/>
  <c r="E17" i="10"/>
  <c r="D17" i="10"/>
  <c r="C17" i="10"/>
  <c r="B17" i="10"/>
  <c r="A17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Q16" i="10"/>
  <c r="P16" i="10"/>
  <c r="O16" i="10"/>
  <c r="N16" i="10"/>
  <c r="M16" i="10"/>
  <c r="L16" i="10"/>
  <c r="K16" i="10"/>
  <c r="J16" i="10"/>
  <c r="I16" i="10"/>
  <c r="H16" i="10"/>
  <c r="E16" i="10"/>
  <c r="D16" i="10"/>
  <c r="C16" i="10"/>
  <c r="B16" i="10"/>
  <c r="A16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Q15" i="10"/>
  <c r="P15" i="10"/>
  <c r="O15" i="10"/>
  <c r="N15" i="10"/>
  <c r="M15" i="10"/>
  <c r="L15" i="10"/>
  <c r="K15" i="10"/>
  <c r="J15" i="10"/>
  <c r="I15" i="10"/>
  <c r="H15" i="10"/>
  <c r="E15" i="10"/>
  <c r="D15" i="10"/>
  <c r="C15" i="10"/>
  <c r="B15" i="10"/>
  <c r="A15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Q14" i="10"/>
  <c r="P14" i="10"/>
  <c r="O14" i="10"/>
  <c r="N14" i="10"/>
  <c r="M14" i="10"/>
  <c r="L14" i="10"/>
  <c r="K14" i="10"/>
  <c r="J14" i="10"/>
  <c r="I14" i="10"/>
  <c r="H14" i="10"/>
  <c r="E14" i="10"/>
  <c r="D14" i="10"/>
  <c r="C14" i="10"/>
  <c r="B14" i="10"/>
  <c r="A14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Q13" i="10"/>
  <c r="P13" i="10"/>
  <c r="O13" i="10"/>
  <c r="N13" i="10"/>
  <c r="M13" i="10"/>
  <c r="L13" i="10"/>
  <c r="K13" i="10"/>
  <c r="J13" i="10"/>
  <c r="I13" i="10"/>
  <c r="H13" i="10"/>
  <c r="E13" i="10"/>
  <c r="D13" i="10"/>
  <c r="C13" i="10"/>
  <c r="B13" i="10"/>
  <c r="A13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Q12" i="10"/>
  <c r="P12" i="10"/>
  <c r="O12" i="10"/>
  <c r="N12" i="10"/>
  <c r="M12" i="10"/>
  <c r="L12" i="10"/>
  <c r="K12" i="10"/>
  <c r="J12" i="10"/>
  <c r="I12" i="10"/>
  <c r="H12" i="10"/>
  <c r="E12" i="10"/>
  <c r="D12" i="10"/>
  <c r="C12" i="10"/>
  <c r="B12" i="10"/>
  <c r="A12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Q11" i="10"/>
  <c r="P11" i="10"/>
  <c r="O11" i="10"/>
  <c r="N11" i="10"/>
  <c r="M11" i="10"/>
  <c r="L11" i="10"/>
  <c r="K11" i="10"/>
  <c r="J11" i="10"/>
  <c r="I11" i="10"/>
  <c r="H11" i="10"/>
  <c r="E11" i="10"/>
  <c r="D11" i="10"/>
  <c r="C11" i="10"/>
  <c r="B11" i="10"/>
  <c r="A11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Q10" i="10"/>
  <c r="P10" i="10"/>
  <c r="O10" i="10"/>
  <c r="N10" i="10"/>
  <c r="M10" i="10"/>
  <c r="L10" i="10"/>
  <c r="K10" i="10"/>
  <c r="J10" i="10"/>
  <c r="I10" i="10"/>
  <c r="H10" i="10"/>
  <c r="E10" i="10"/>
  <c r="D10" i="10"/>
  <c r="C10" i="10"/>
  <c r="B10" i="10"/>
  <c r="A10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Q9" i="10"/>
  <c r="P9" i="10"/>
  <c r="O9" i="10"/>
  <c r="N9" i="10"/>
  <c r="M9" i="10"/>
  <c r="L9" i="10"/>
  <c r="K9" i="10"/>
  <c r="J9" i="10"/>
  <c r="I9" i="10"/>
  <c r="H9" i="10"/>
  <c r="E9" i="10"/>
  <c r="D9" i="10"/>
  <c r="C9" i="10"/>
  <c r="B9" i="10"/>
  <c r="A9" i="10"/>
  <c r="AH8" i="10"/>
  <c r="AG8" i="10"/>
  <c r="A10" i="1" s="1"/>
  <c r="AF8" i="10"/>
  <c r="AE8" i="10"/>
  <c r="AD8" i="10"/>
  <c r="AC8" i="10"/>
  <c r="AB8" i="10"/>
  <c r="AA8" i="10"/>
  <c r="A14" i="1" s="1"/>
  <c r="Z8" i="10"/>
  <c r="Y8" i="10"/>
  <c r="X8" i="10"/>
  <c r="W8" i="10"/>
  <c r="V8" i="10"/>
  <c r="U8" i="10"/>
  <c r="Q8" i="10"/>
  <c r="P8" i="10"/>
  <c r="O8" i="10"/>
  <c r="N8" i="10"/>
  <c r="M8" i="10"/>
  <c r="L8" i="10"/>
  <c r="K8" i="10"/>
  <c r="J8" i="10"/>
  <c r="I8" i="10"/>
  <c r="H8" i="10"/>
  <c r="E8" i="10"/>
  <c r="D8" i="10"/>
  <c r="C8" i="10"/>
  <c r="B8" i="10"/>
  <c r="A8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Q7" i="10"/>
  <c r="P7" i="10"/>
  <c r="O7" i="10"/>
  <c r="N7" i="10"/>
  <c r="M7" i="10"/>
  <c r="L7" i="10"/>
  <c r="K7" i="10"/>
  <c r="J7" i="10"/>
  <c r="I7" i="10"/>
  <c r="H7" i="10"/>
  <c r="G7" i="10"/>
  <c r="E7" i="10"/>
  <c r="D7" i="10"/>
  <c r="C7" i="10"/>
  <c r="B7" i="10"/>
  <c r="A7" i="10"/>
  <c r="AH6" i="10"/>
  <c r="AB6" i="10"/>
  <c r="U6" i="10"/>
  <c r="P6" i="10"/>
  <c r="L6" i="10"/>
  <c r="H6" i="10"/>
  <c r="E6" i="10"/>
  <c r="D6" i="10"/>
  <c r="C6" i="10"/>
  <c r="B6" i="10"/>
  <c r="A6" i="10"/>
  <c r="E5" i="10"/>
  <c r="D5" i="10"/>
  <c r="C5" i="10"/>
  <c r="B5" i="10"/>
  <c r="A5" i="10"/>
  <c r="E4" i="10"/>
  <c r="D4" i="10"/>
  <c r="C4" i="10"/>
  <c r="B4" i="10"/>
  <c r="A4" i="10"/>
  <c r="T3" i="10"/>
  <c r="G3" i="10"/>
  <c r="E3" i="10"/>
  <c r="D3" i="10"/>
  <c r="C3" i="10"/>
  <c r="B3" i="10"/>
  <c r="A3" i="10"/>
  <c r="E2" i="10"/>
  <c r="D2" i="10"/>
  <c r="C2" i="10"/>
  <c r="B2" i="10"/>
  <c r="A2" i="10"/>
  <c r="T1" i="10"/>
  <c r="G1" i="10"/>
  <c r="E1" i="10"/>
  <c r="D1" i="10"/>
  <c r="C1" i="10"/>
  <c r="B1" i="10"/>
  <c r="A1" i="10"/>
  <c r="H96" i="9"/>
  <c r="G96" i="9"/>
  <c r="F96" i="9"/>
  <c r="E96" i="9"/>
  <c r="D96" i="9"/>
  <c r="C96" i="9"/>
  <c r="B96" i="9"/>
  <c r="A96" i="9"/>
  <c r="H95" i="9"/>
  <c r="O140" i="9" s="1"/>
  <c r="G95" i="9"/>
  <c r="N140" i="9" s="1"/>
  <c r="F95" i="9"/>
  <c r="O125" i="9" s="1"/>
  <c r="E95" i="9"/>
  <c r="N125" i="9" s="1"/>
  <c r="D95" i="9"/>
  <c r="O110" i="9" s="1"/>
  <c r="C95" i="9"/>
  <c r="N110" i="9" s="1"/>
  <c r="B95" i="9"/>
  <c r="O95" i="9" s="1"/>
  <c r="A95" i="9"/>
  <c r="N95" i="9" s="1"/>
  <c r="H94" i="9"/>
  <c r="O139" i="9" s="1"/>
  <c r="G94" i="9"/>
  <c r="N139" i="9" s="1"/>
  <c r="F94" i="9"/>
  <c r="O124" i="9" s="1"/>
  <c r="E94" i="9"/>
  <c r="N124" i="9" s="1"/>
  <c r="D94" i="9"/>
  <c r="O109" i="9" s="1"/>
  <c r="C94" i="9"/>
  <c r="N109" i="9" s="1"/>
  <c r="B94" i="9"/>
  <c r="O94" i="9" s="1"/>
  <c r="A94" i="9"/>
  <c r="N94" i="9" s="1"/>
  <c r="H93" i="9"/>
  <c r="O138" i="9" s="1"/>
  <c r="G93" i="9"/>
  <c r="N138" i="9" s="1"/>
  <c r="F93" i="9"/>
  <c r="O123" i="9" s="1"/>
  <c r="E93" i="9"/>
  <c r="N123" i="9" s="1"/>
  <c r="D93" i="9"/>
  <c r="O108" i="9" s="1"/>
  <c r="C93" i="9"/>
  <c r="N108" i="9" s="1"/>
  <c r="B93" i="9"/>
  <c r="O93" i="9" s="1"/>
  <c r="A93" i="9"/>
  <c r="N93" i="9" s="1"/>
  <c r="H92" i="9"/>
  <c r="O137" i="9" s="1"/>
  <c r="G92" i="9"/>
  <c r="N137" i="9" s="1"/>
  <c r="F92" i="9"/>
  <c r="O122" i="9" s="1"/>
  <c r="E92" i="9"/>
  <c r="N122" i="9" s="1"/>
  <c r="D92" i="9"/>
  <c r="O107" i="9" s="1"/>
  <c r="C92" i="9"/>
  <c r="N107" i="9" s="1"/>
  <c r="B92" i="9"/>
  <c r="O92" i="9" s="1"/>
  <c r="A92" i="9"/>
  <c r="N92" i="9" s="1"/>
  <c r="H91" i="9"/>
  <c r="O136" i="9" s="1"/>
  <c r="G91" i="9"/>
  <c r="N136" i="9" s="1"/>
  <c r="F91" i="9"/>
  <c r="O121" i="9" s="1"/>
  <c r="E91" i="9"/>
  <c r="N121" i="9" s="1"/>
  <c r="D91" i="9"/>
  <c r="O106" i="9" s="1"/>
  <c r="C91" i="9"/>
  <c r="N106" i="9" s="1"/>
  <c r="B91" i="9"/>
  <c r="O91" i="9" s="1"/>
  <c r="A91" i="9"/>
  <c r="N91" i="9" s="1"/>
  <c r="H90" i="9"/>
  <c r="O135" i="9" s="1"/>
  <c r="G90" i="9"/>
  <c r="N135" i="9" s="1"/>
  <c r="F90" i="9"/>
  <c r="O120" i="9" s="1"/>
  <c r="E90" i="9"/>
  <c r="N120" i="9" s="1"/>
  <c r="D90" i="9"/>
  <c r="O105" i="9" s="1"/>
  <c r="C90" i="9"/>
  <c r="N105" i="9" s="1"/>
  <c r="B90" i="9"/>
  <c r="O90" i="9" s="1"/>
  <c r="A90" i="9"/>
  <c r="N90" i="9" s="1"/>
  <c r="H89" i="9"/>
  <c r="O134" i="9" s="1"/>
  <c r="G89" i="9"/>
  <c r="N134" i="9" s="1"/>
  <c r="F89" i="9"/>
  <c r="O119" i="9" s="1"/>
  <c r="E89" i="9"/>
  <c r="N119" i="9" s="1"/>
  <c r="D89" i="9"/>
  <c r="O104" i="9" s="1"/>
  <c r="C89" i="9"/>
  <c r="N104" i="9" s="1"/>
  <c r="B89" i="9"/>
  <c r="O89" i="9" s="1"/>
  <c r="A89" i="9"/>
  <c r="N89" i="9" s="1"/>
  <c r="H88" i="9"/>
  <c r="O133" i="9" s="1"/>
  <c r="G88" i="9"/>
  <c r="N133" i="9" s="1"/>
  <c r="F88" i="9"/>
  <c r="O118" i="9" s="1"/>
  <c r="E88" i="9"/>
  <c r="N118" i="9" s="1"/>
  <c r="D88" i="9"/>
  <c r="O103" i="9" s="1"/>
  <c r="C88" i="9"/>
  <c r="N103" i="9" s="1"/>
  <c r="B88" i="9"/>
  <c r="O88" i="9" s="1"/>
  <c r="A88" i="9"/>
  <c r="N88" i="9" s="1"/>
  <c r="H87" i="9"/>
  <c r="O132" i="9" s="1"/>
  <c r="G87" i="9"/>
  <c r="N132" i="9" s="1"/>
  <c r="F87" i="9"/>
  <c r="O117" i="9" s="1"/>
  <c r="E87" i="9"/>
  <c r="N117" i="9" s="1"/>
  <c r="D87" i="9"/>
  <c r="O102" i="9" s="1"/>
  <c r="C87" i="9"/>
  <c r="N102" i="9" s="1"/>
  <c r="B87" i="9"/>
  <c r="O87" i="9" s="1"/>
  <c r="A87" i="9"/>
  <c r="N87" i="9" s="1"/>
  <c r="H86" i="9"/>
  <c r="O131" i="9" s="1"/>
  <c r="G86" i="9"/>
  <c r="N131" i="9" s="1"/>
  <c r="F86" i="9"/>
  <c r="O116" i="9" s="1"/>
  <c r="E86" i="9"/>
  <c r="N116" i="9" s="1"/>
  <c r="D86" i="9"/>
  <c r="O101" i="9" s="1"/>
  <c r="C86" i="9"/>
  <c r="N101" i="9" s="1"/>
  <c r="B86" i="9"/>
  <c r="O86" i="9" s="1"/>
  <c r="A86" i="9"/>
  <c r="N86" i="9" s="1"/>
  <c r="H85" i="9"/>
  <c r="O130" i="9" s="1"/>
  <c r="G85" i="9"/>
  <c r="N130" i="9" s="1"/>
  <c r="F85" i="9"/>
  <c r="O115" i="9" s="1"/>
  <c r="E85" i="9"/>
  <c r="N115" i="9" s="1"/>
  <c r="D85" i="9"/>
  <c r="O100" i="9" s="1"/>
  <c r="C85" i="9"/>
  <c r="N100" i="9" s="1"/>
  <c r="B85" i="9"/>
  <c r="O85" i="9" s="1"/>
  <c r="A85" i="9"/>
  <c r="N85" i="9" s="1"/>
  <c r="H84" i="9"/>
  <c r="O129" i="9" s="1"/>
  <c r="G84" i="9"/>
  <c r="N129" i="9" s="1"/>
  <c r="F84" i="9"/>
  <c r="O114" i="9" s="1"/>
  <c r="E84" i="9"/>
  <c r="N114" i="9" s="1"/>
  <c r="D84" i="9"/>
  <c r="O99" i="9" s="1"/>
  <c r="C84" i="9"/>
  <c r="N99" i="9" s="1"/>
  <c r="B84" i="9"/>
  <c r="O84" i="9" s="1"/>
  <c r="A84" i="9"/>
  <c r="N84" i="9" s="1"/>
  <c r="H83" i="9"/>
  <c r="O128" i="9" s="1"/>
  <c r="G83" i="9"/>
  <c r="N128" i="9" s="1"/>
  <c r="F83" i="9"/>
  <c r="O113" i="9" s="1"/>
  <c r="E83" i="9"/>
  <c r="N113" i="9" s="1"/>
  <c r="D83" i="9"/>
  <c r="O98" i="9" s="1"/>
  <c r="C83" i="9"/>
  <c r="N98" i="9" s="1"/>
  <c r="B83" i="9"/>
  <c r="O83" i="9" s="1"/>
  <c r="A83" i="9"/>
  <c r="N83" i="9" s="1"/>
  <c r="H82" i="9"/>
  <c r="O127" i="9" s="1"/>
  <c r="G82" i="9"/>
  <c r="N127" i="9" s="1"/>
  <c r="F82" i="9"/>
  <c r="O112" i="9" s="1"/>
  <c r="E82" i="9"/>
  <c r="N112" i="9" s="1"/>
  <c r="D82" i="9"/>
  <c r="O97" i="9" s="1"/>
  <c r="C82" i="9"/>
  <c r="N97" i="9" s="1"/>
  <c r="B82" i="9"/>
  <c r="O82" i="9" s="1"/>
  <c r="A82" i="9"/>
  <c r="N82" i="9" s="1"/>
  <c r="H81" i="9"/>
  <c r="O126" i="9" s="1"/>
  <c r="G81" i="9"/>
  <c r="N126" i="9" s="1"/>
  <c r="F81" i="9"/>
  <c r="O111" i="9" s="1"/>
  <c r="E81" i="9"/>
  <c r="N111" i="9" s="1"/>
  <c r="D81" i="9"/>
  <c r="O96" i="9" s="1"/>
  <c r="C81" i="9"/>
  <c r="N96" i="9" s="1"/>
  <c r="B81" i="9"/>
  <c r="O81" i="9" s="1"/>
  <c r="A81" i="9"/>
  <c r="N81" i="9" s="1"/>
  <c r="N80" i="9"/>
  <c r="H80" i="9"/>
  <c r="G80" i="9"/>
  <c r="F80" i="9"/>
  <c r="E80" i="9"/>
  <c r="D80" i="9"/>
  <c r="C80" i="9"/>
  <c r="B80" i="9"/>
  <c r="O79" i="9" s="1"/>
  <c r="A80" i="9"/>
  <c r="N79" i="9" s="1"/>
  <c r="F66" i="9"/>
  <c r="E66" i="9"/>
  <c r="D66" i="9"/>
  <c r="C66" i="9"/>
  <c r="B66" i="9"/>
  <c r="A66" i="9"/>
  <c r="F65" i="9"/>
  <c r="E65" i="9"/>
  <c r="D65" i="9"/>
  <c r="C65" i="9"/>
  <c r="B65" i="9"/>
  <c r="A65" i="9"/>
  <c r="F64" i="9"/>
  <c r="E64" i="9"/>
  <c r="D64" i="9"/>
  <c r="C64" i="9"/>
  <c r="B64" i="9"/>
  <c r="A64" i="9"/>
  <c r="F63" i="9"/>
  <c r="E63" i="9"/>
  <c r="D63" i="9"/>
  <c r="C63" i="9"/>
  <c r="B63" i="9"/>
  <c r="A63" i="9"/>
  <c r="F62" i="9"/>
  <c r="E62" i="9"/>
  <c r="D62" i="9"/>
  <c r="C62" i="9"/>
  <c r="B62" i="9"/>
  <c r="A62" i="9"/>
  <c r="F61" i="9"/>
  <c r="E61" i="9"/>
  <c r="D61" i="9"/>
  <c r="C61" i="9"/>
  <c r="B61" i="9"/>
  <c r="A61" i="9"/>
  <c r="F60" i="9"/>
  <c r="E60" i="9"/>
  <c r="D60" i="9"/>
  <c r="C60" i="9"/>
  <c r="B60" i="9"/>
  <c r="A60" i="9"/>
  <c r="F59" i="9"/>
  <c r="E59" i="9"/>
  <c r="D59" i="9"/>
  <c r="C59" i="9"/>
  <c r="B59" i="9"/>
  <c r="A59" i="9"/>
  <c r="F58" i="9"/>
  <c r="E58" i="9"/>
  <c r="D58" i="9"/>
  <c r="C58" i="9"/>
  <c r="B58" i="9"/>
  <c r="A58" i="9"/>
  <c r="F57" i="9"/>
  <c r="E57" i="9"/>
  <c r="D57" i="9"/>
  <c r="C57" i="9"/>
  <c r="B57" i="9"/>
  <c r="A57" i="9"/>
  <c r="F56" i="9"/>
  <c r="E56" i="9"/>
  <c r="D56" i="9"/>
  <c r="C56" i="9"/>
  <c r="B56" i="9"/>
  <c r="A56" i="9"/>
  <c r="F55" i="9"/>
  <c r="E55" i="9"/>
  <c r="D55" i="9"/>
  <c r="C55" i="9"/>
  <c r="B55" i="9"/>
  <c r="A55" i="9"/>
  <c r="F54" i="9"/>
  <c r="E54" i="9"/>
  <c r="D54" i="9"/>
  <c r="C54" i="9"/>
  <c r="B54" i="9"/>
  <c r="A54" i="9"/>
  <c r="F53" i="9"/>
  <c r="E53" i="9"/>
  <c r="D53" i="9"/>
  <c r="C53" i="9"/>
  <c r="B53" i="9"/>
  <c r="A53" i="9"/>
  <c r="F52" i="9"/>
  <c r="E52" i="9"/>
  <c r="D52" i="9"/>
  <c r="C52" i="9"/>
  <c r="B52" i="9"/>
  <c r="A52" i="9"/>
  <c r="F51" i="9"/>
  <c r="E51" i="9"/>
  <c r="D51" i="9"/>
  <c r="C51" i="9"/>
  <c r="B51" i="9"/>
  <c r="A51" i="9"/>
  <c r="F50" i="9"/>
  <c r="E50" i="9"/>
  <c r="D50" i="9"/>
  <c r="C50" i="9"/>
  <c r="B50" i="9"/>
  <c r="A50" i="9"/>
  <c r="F49" i="9"/>
  <c r="E49" i="9"/>
  <c r="D49" i="9"/>
  <c r="C49" i="9"/>
  <c r="B49" i="9"/>
  <c r="A49" i="9"/>
  <c r="F48" i="9"/>
  <c r="E48" i="9"/>
  <c r="D48" i="9"/>
  <c r="C48" i="9"/>
  <c r="B48" i="9"/>
  <c r="A48" i="9"/>
  <c r="F47" i="9"/>
  <c r="E47" i="9"/>
  <c r="D47" i="9"/>
  <c r="C47" i="9"/>
  <c r="B47" i="9"/>
  <c r="A47" i="9"/>
  <c r="F46" i="9"/>
  <c r="E46" i="9"/>
  <c r="D46" i="9"/>
  <c r="C46" i="9"/>
  <c r="B46" i="9"/>
  <c r="A46" i="9"/>
  <c r="F45" i="9"/>
  <c r="E45" i="9"/>
  <c r="D45" i="9"/>
  <c r="C45" i="9"/>
  <c r="B45" i="9"/>
  <c r="A45" i="9"/>
  <c r="AC40" i="9"/>
  <c r="AC39" i="9"/>
  <c r="AC38" i="9"/>
  <c r="AC37" i="9"/>
  <c r="M34" i="9"/>
  <c r="L34" i="9"/>
  <c r="K34" i="9"/>
  <c r="J34" i="9"/>
  <c r="I34" i="9"/>
  <c r="H34" i="9"/>
  <c r="G34" i="9"/>
  <c r="F34" i="9"/>
  <c r="E34" i="9"/>
  <c r="D34" i="9"/>
  <c r="B34" i="9"/>
  <c r="A34" i="9"/>
  <c r="AC33" i="9"/>
  <c r="M33" i="9"/>
  <c r="L33" i="9"/>
  <c r="K33" i="9"/>
  <c r="J33" i="9"/>
  <c r="I33" i="9"/>
  <c r="H33" i="9"/>
  <c r="G33" i="9"/>
  <c r="F33" i="9"/>
  <c r="E33" i="9"/>
  <c r="D33" i="9"/>
  <c r="B33" i="9"/>
  <c r="A33" i="9"/>
  <c r="AC32" i="9"/>
  <c r="M32" i="9"/>
  <c r="L32" i="9"/>
  <c r="K32" i="9"/>
  <c r="J32" i="9"/>
  <c r="I32" i="9"/>
  <c r="H32" i="9"/>
  <c r="G32" i="9"/>
  <c r="F32" i="9"/>
  <c r="E32" i="9"/>
  <c r="D32" i="9"/>
  <c r="B32" i="9"/>
  <c r="A32" i="9"/>
  <c r="AC31" i="9"/>
  <c r="M31" i="9"/>
  <c r="L31" i="9"/>
  <c r="K31" i="9"/>
  <c r="J31" i="9"/>
  <c r="I31" i="9"/>
  <c r="H31" i="9"/>
  <c r="G31" i="9"/>
  <c r="F31" i="9"/>
  <c r="E31" i="9"/>
  <c r="D31" i="9"/>
  <c r="B31" i="9"/>
  <c r="A31" i="9"/>
  <c r="AC30" i="9"/>
  <c r="M30" i="9"/>
  <c r="L30" i="9"/>
  <c r="K30" i="9"/>
  <c r="J30" i="9"/>
  <c r="I30" i="9"/>
  <c r="H30" i="9"/>
  <c r="G30" i="9"/>
  <c r="F30" i="9"/>
  <c r="E30" i="9"/>
  <c r="D30" i="9"/>
  <c r="B30" i="9"/>
  <c r="A30" i="9"/>
  <c r="AC29" i="9"/>
  <c r="M29" i="9"/>
  <c r="L29" i="9"/>
  <c r="K29" i="9"/>
  <c r="J29" i="9"/>
  <c r="I29" i="9"/>
  <c r="H29" i="9"/>
  <c r="G29" i="9"/>
  <c r="F29" i="9"/>
  <c r="E29" i="9"/>
  <c r="D29" i="9"/>
  <c r="B29" i="9"/>
  <c r="A29" i="9"/>
  <c r="AC28" i="9"/>
  <c r="M28" i="9"/>
  <c r="L28" i="9"/>
  <c r="K28" i="9"/>
  <c r="J28" i="9"/>
  <c r="I28" i="9"/>
  <c r="H28" i="9"/>
  <c r="G28" i="9"/>
  <c r="F28" i="9"/>
  <c r="E28" i="9"/>
  <c r="D28" i="9"/>
  <c r="B28" i="9"/>
  <c r="A28" i="9"/>
  <c r="AC27" i="9"/>
  <c r="M27" i="9"/>
  <c r="L27" i="9"/>
  <c r="K27" i="9"/>
  <c r="J27" i="9"/>
  <c r="I27" i="9"/>
  <c r="H27" i="9"/>
  <c r="G27" i="9"/>
  <c r="F27" i="9"/>
  <c r="E27" i="9"/>
  <c r="D27" i="9"/>
  <c r="B27" i="9"/>
  <c r="A27" i="9"/>
  <c r="AC26" i="9"/>
  <c r="M26" i="9"/>
  <c r="L26" i="9"/>
  <c r="K26" i="9"/>
  <c r="J26" i="9"/>
  <c r="I26" i="9"/>
  <c r="H26" i="9"/>
  <c r="G26" i="9"/>
  <c r="F26" i="9"/>
  <c r="E26" i="9"/>
  <c r="D26" i="9"/>
  <c r="B26" i="9"/>
  <c r="A26" i="9"/>
  <c r="AC25" i="9"/>
  <c r="M25" i="9"/>
  <c r="L25" i="9"/>
  <c r="K25" i="9"/>
  <c r="J25" i="9"/>
  <c r="I25" i="9"/>
  <c r="H25" i="9"/>
  <c r="G25" i="9"/>
  <c r="F25" i="9"/>
  <c r="E25" i="9"/>
  <c r="D25" i="9"/>
  <c r="B25" i="9"/>
  <c r="A25" i="9"/>
  <c r="AC24" i="9"/>
  <c r="M24" i="9"/>
  <c r="L24" i="9"/>
  <c r="K24" i="9"/>
  <c r="J24" i="9"/>
  <c r="I24" i="9"/>
  <c r="H24" i="9"/>
  <c r="G24" i="9"/>
  <c r="F24" i="9"/>
  <c r="E24" i="9"/>
  <c r="D24" i="9"/>
  <c r="B24" i="9"/>
  <c r="A24" i="9"/>
  <c r="AC23" i="9"/>
  <c r="M23" i="9"/>
  <c r="L23" i="9"/>
  <c r="K23" i="9"/>
  <c r="J23" i="9"/>
  <c r="I23" i="9"/>
  <c r="H23" i="9"/>
  <c r="G23" i="9"/>
  <c r="F23" i="9"/>
  <c r="E23" i="9"/>
  <c r="D23" i="9"/>
  <c r="B23" i="9"/>
  <c r="A23" i="9"/>
  <c r="X22" i="9"/>
  <c r="W22" i="9"/>
  <c r="V22" i="9"/>
  <c r="U22" i="9"/>
  <c r="T22" i="9"/>
  <c r="S22" i="9"/>
  <c r="R22" i="9"/>
  <c r="AC22" i="9" s="1"/>
  <c r="Q22" i="9"/>
  <c r="P22" i="9"/>
  <c r="O22" i="9"/>
  <c r="M22" i="9"/>
  <c r="L22" i="9"/>
  <c r="K22" i="9"/>
  <c r="J22" i="9"/>
  <c r="I22" i="9"/>
  <c r="H22" i="9"/>
  <c r="G22" i="9"/>
  <c r="F22" i="9"/>
  <c r="E22" i="9"/>
  <c r="D22" i="9"/>
  <c r="B22" i="9"/>
  <c r="A22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B21" i="9"/>
  <c r="A21" i="9"/>
  <c r="X20" i="9"/>
  <c r="W20" i="9"/>
  <c r="V20" i="9"/>
  <c r="U20" i="9"/>
  <c r="T20" i="9"/>
  <c r="S20" i="9"/>
  <c r="R20" i="9"/>
  <c r="AC20" i="9" s="1"/>
  <c r="Q20" i="9"/>
  <c r="P20" i="9"/>
  <c r="O20" i="9"/>
  <c r="M20" i="9"/>
  <c r="L20" i="9"/>
  <c r="K20" i="9"/>
  <c r="J20" i="9"/>
  <c r="I20" i="9"/>
  <c r="H20" i="9"/>
  <c r="G20" i="9"/>
  <c r="F20" i="9"/>
  <c r="E20" i="9"/>
  <c r="D20" i="9"/>
  <c r="B20" i="9"/>
  <c r="A20" i="9"/>
  <c r="X19" i="9"/>
  <c r="W19" i="9"/>
  <c r="V19" i="9"/>
  <c r="U19" i="9"/>
  <c r="T19" i="9"/>
  <c r="S19" i="9"/>
  <c r="R19" i="9"/>
  <c r="AC19" i="9" s="1"/>
  <c r="Q19" i="9"/>
  <c r="P19" i="9"/>
  <c r="O19" i="9"/>
  <c r="M19" i="9"/>
  <c r="L19" i="9"/>
  <c r="K19" i="9"/>
  <c r="J19" i="9"/>
  <c r="I19" i="9"/>
  <c r="H19" i="9"/>
  <c r="G19" i="9"/>
  <c r="F19" i="9"/>
  <c r="E19" i="9"/>
  <c r="D19" i="9"/>
  <c r="B19" i="9"/>
  <c r="A19" i="9"/>
  <c r="X18" i="9"/>
  <c r="W18" i="9"/>
  <c r="V18" i="9"/>
  <c r="U18" i="9"/>
  <c r="T18" i="9"/>
  <c r="S18" i="9"/>
  <c r="R18" i="9"/>
  <c r="AC18" i="9" s="1"/>
  <c r="Q18" i="9"/>
  <c r="P18" i="9"/>
  <c r="O18" i="9"/>
  <c r="M18" i="9"/>
  <c r="L18" i="9"/>
  <c r="K18" i="9"/>
  <c r="J18" i="9"/>
  <c r="I18" i="9"/>
  <c r="H18" i="9"/>
  <c r="G18" i="9"/>
  <c r="F18" i="9"/>
  <c r="E18" i="9"/>
  <c r="D18" i="9"/>
  <c r="B18" i="9"/>
  <c r="A18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B17" i="9"/>
  <c r="A17" i="9"/>
  <c r="X16" i="9"/>
  <c r="W16" i="9"/>
  <c r="V16" i="9"/>
  <c r="U16" i="9"/>
  <c r="T16" i="9"/>
  <c r="S16" i="9"/>
  <c r="R16" i="9"/>
  <c r="AC16" i="9" s="1"/>
  <c r="Q16" i="9"/>
  <c r="P16" i="9"/>
  <c r="O16" i="9"/>
  <c r="M16" i="9"/>
  <c r="L16" i="9"/>
  <c r="K16" i="9"/>
  <c r="J16" i="9"/>
  <c r="I16" i="9"/>
  <c r="H16" i="9"/>
  <c r="G16" i="9"/>
  <c r="F16" i="9"/>
  <c r="E16" i="9"/>
  <c r="D16" i="9"/>
  <c r="B16" i="9"/>
  <c r="A16" i="9"/>
  <c r="X15" i="9"/>
  <c r="W15" i="9"/>
  <c r="V15" i="9"/>
  <c r="U15" i="9"/>
  <c r="T15" i="9"/>
  <c r="S15" i="9"/>
  <c r="R15" i="9"/>
  <c r="AC15" i="9" s="1"/>
  <c r="Q15" i="9"/>
  <c r="P15" i="9"/>
  <c r="O15" i="9"/>
  <c r="M15" i="9"/>
  <c r="L15" i="9"/>
  <c r="K15" i="9"/>
  <c r="J15" i="9"/>
  <c r="I15" i="9"/>
  <c r="H15" i="9"/>
  <c r="G15" i="9"/>
  <c r="F15" i="9"/>
  <c r="E15" i="9"/>
  <c r="D15" i="9"/>
  <c r="B15" i="9"/>
  <c r="A15" i="9"/>
  <c r="X14" i="9"/>
  <c r="W14" i="9"/>
  <c r="V14" i="9"/>
  <c r="U14" i="9"/>
  <c r="T14" i="9"/>
  <c r="S14" i="9"/>
  <c r="R14" i="9"/>
  <c r="AC14" i="9" s="1"/>
  <c r="Q14" i="9"/>
  <c r="P14" i="9"/>
  <c r="O14" i="9"/>
  <c r="M14" i="9"/>
  <c r="L14" i="9"/>
  <c r="K14" i="9"/>
  <c r="J14" i="9"/>
  <c r="I14" i="9"/>
  <c r="H14" i="9"/>
  <c r="G14" i="9"/>
  <c r="F14" i="9"/>
  <c r="E14" i="9"/>
  <c r="D14" i="9"/>
  <c r="B14" i="9"/>
  <c r="A14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B13" i="9"/>
  <c r="A13" i="9"/>
  <c r="X12" i="9"/>
  <c r="W12" i="9"/>
  <c r="V12" i="9"/>
  <c r="U12" i="9"/>
  <c r="T12" i="9"/>
  <c r="S12" i="9"/>
  <c r="R12" i="9"/>
  <c r="AC12" i="9" s="1"/>
  <c r="Q12" i="9"/>
  <c r="P12" i="9"/>
  <c r="O12" i="9"/>
  <c r="M12" i="9"/>
  <c r="L12" i="9"/>
  <c r="K12" i="9"/>
  <c r="J12" i="9"/>
  <c r="I12" i="9"/>
  <c r="H12" i="9"/>
  <c r="G12" i="9"/>
  <c r="F12" i="9"/>
  <c r="E12" i="9"/>
  <c r="D12" i="9"/>
  <c r="B12" i="9"/>
  <c r="A12" i="9"/>
  <c r="X11" i="9"/>
  <c r="W11" i="9"/>
  <c r="V11" i="9"/>
  <c r="U11" i="9"/>
  <c r="T11" i="9"/>
  <c r="S11" i="9"/>
  <c r="R11" i="9"/>
  <c r="AC11" i="9" s="1"/>
  <c r="Q11" i="9"/>
  <c r="P11" i="9"/>
  <c r="O11" i="9"/>
  <c r="M11" i="9"/>
  <c r="L11" i="9"/>
  <c r="K11" i="9"/>
  <c r="J11" i="9"/>
  <c r="I11" i="9"/>
  <c r="H11" i="9"/>
  <c r="G11" i="9"/>
  <c r="F11" i="9"/>
  <c r="E11" i="9"/>
  <c r="D11" i="9"/>
  <c r="B11" i="9"/>
  <c r="A11" i="9"/>
  <c r="X10" i="9"/>
  <c r="W10" i="9"/>
  <c r="V10" i="9"/>
  <c r="U10" i="9"/>
  <c r="T10" i="9"/>
  <c r="S10" i="9"/>
  <c r="R10" i="9"/>
  <c r="AC10" i="9" s="1"/>
  <c r="Q10" i="9"/>
  <c r="P10" i="9"/>
  <c r="O10" i="9"/>
  <c r="M10" i="9"/>
  <c r="L10" i="9"/>
  <c r="K10" i="9"/>
  <c r="J10" i="9"/>
  <c r="I10" i="9"/>
  <c r="H10" i="9"/>
  <c r="G10" i="9"/>
  <c r="F10" i="9"/>
  <c r="E10" i="9"/>
  <c r="D10" i="9"/>
  <c r="B10" i="9"/>
  <c r="A10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B9" i="9"/>
  <c r="A9" i="9"/>
  <c r="X8" i="9"/>
  <c r="W8" i="9"/>
  <c r="V8" i="9"/>
  <c r="U8" i="9"/>
  <c r="T8" i="9"/>
  <c r="S8" i="9"/>
  <c r="R8" i="9"/>
  <c r="AC8" i="9" s="1"/>
  <c r="Q8" i="9"/>
  <c r="P8" i="9"/>
  <c r="O8" i="9"/>
  <c r="M8" i="9"/>
  <c r="L8" i="9"/>
  <c r="K8" i="9"/>
  <c r="J8" i="9"/>
  <c r="I8" i="9"/>
  <c r="H8" i="9"/>
  <c r="G8" i="9"/>
  <c r="F8" i="9"/>
  <c r="E8" i="9"/>
  <c r="D8" i="9"/>
  <c r="B8" i="9"/>
  <c r="A8" i="9"/>
  <c r="X7" i="9"/>
  <c r="W7" i="9"/>
  <c r="V7" i="9"/>
  <c r="U7" i="9"/>
  <c r="T7" i="9"/>
  <c r="S7" i="9"/>
  <c r="R7" i="9"/>
  <c r="AC7" i="9" s="1"/>
  <c r="Q7" i="9"/>
  <c r="P7" i="9"/>
  <c r="O7" i="9"/>
  <c r="X6" i="9"/>
  <c r="W6" i="9"/>
  <c r="V6" i="9"/>
  <c r="U6" i="9"/>
  <c r="T6" i="9"/>
  <c r="S6" i="9"/>
  <c r="R6" i="9"/>
  <c r="AC6" i="9" s="1"/>
  <c r="Q6" i="9"/>
  <c r="P6" i="9"/>
  <c r="O6" i="9"/>
  <c r="M6" i="9"/>
  <c r="L6" i="9"/>
  <c r="K6" i="9"/>
  <c r="J6" i="9"/>
  <c r="I6" i="9"/>
  <c r="H6" i="9"/>
  <c r="G6" i="9"/>
  <c r="F6" i="9"/>
  <c r="E6" i="9"/>
  <c r="D6" i="9"/>
  <c r="C6" i="9"/>
  <c r="B6" i="9"/>
  <c r="A6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X4" i="9"/>
  <c r="W4" i="9"/>
  <c r="V4" i="9"/>
  <c r="U4" i="9"/>
  <c r="T4" i="9"/>
  <c r="S4" i="9"/>
  <c r="R4" i="9"/>
  <c r="AC4" i="9" s="1"/>
  <c r="Q4" i="9"/>
  <c r="P4" i="9"/>
  <c r="O4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F1" i="9" s="1"/>
  <c r="AB2" i="9"/>
  <c r="AA2" i="9"/>
  <c r="Z2" i="9"/>
  <c r="W2" i="9"/>
  <c r="V2" i="9"/>
  <c r="U2" i="9"/>
  <c r="T2" i="9"/>
  <c r="S2" i="9"/>
  <c r="R2" i="9"/>
  <c r="Q2" i="9"/>
  <c r="P2" i="9"/>
  <c r="O2" i="9"/>
  <c r="Z1" i="9"/>
  <c r="Y1" i="9"/>
  <c r="X1" i="9"/>
  <c r="T1" i="9"/>
  <c r="O1" i="9"/>
  <c r="N1" i="9"/>
  <c r="F101" i="8"/>
  <c r="E101" i="8"/>
  <c r="D101" i="8"/>
  <c r="C101" i="8"/>
  <c r="B101" i="8"/>
  <c r="A101" i="8"/>
  <c r="F100" i="8"/>
  <c r="E100" i="8"/>
  <c r="D100" i="8"/>
  <c r="C100" i="8"/>
  <c r="B100" i="8"/>
  <c r="A100" i="8"/>
  <c r="F99" i="8"/>
  <c r="E99" i="8"/>
  <c r="D99" i="8"/>
  <c r="C99" i="8"/>
  <c r="B99" i="8"/>
  <c r="A99" i="8"/>
  <c r="F98" i="8"/>
  <c r="E98" i="8"/>
  <c r="D98" i="8"/>
  <c r="C98" i="8"/>
  <c r="B98" i="8"/>
  <c r="A98" i="8"/>
  <c r="F97" i="8"/>
  <c r="E97" i="8"/>
  <c r="D97" i="8"/>
  <c r="C97" i="8"/>
  <c r="B97" i="8"/>
  <c r="A97" i="8"/>
  <c r="F96" i="8"/>
  <c r="E96" i="8"/>
  <c r="D96" i="8"/>
  <c r="C96" i="8"/>
  <c r="B96" i="8"/>
  <c r="A96" i="8"/>
  <c r="F95" i="8"/>
  <c r="E95" i="8"/>
  <c r="D95" i="8"/>
  <c r="C95" i="8"/>
  <c r="B95" i="8"/>
  <c r="A95" i="8"/>
  <c r="F94" i="8"/>
  <c r="E94" i="8"/>
  <c r="D94" i="8"/>
  <c r="C94" i="8"/>
  <c r="B94" i="8"/>
  <c r="A94" i="8"/>
  <c r="F93" i="8"/>
  <c r="E93" i="8"/>
  <c r="D93" i="8"/>
  <c r="C93" i="8"/>
  <c r="B93" i="8"/>
  <c r="A93" i="8"/>
  <c r="F92" i="8"/>
  <c r="E92" i="8"/>
  <c r="D92" i="8"/>
  <c r="C92" i="8"/>
  <c r="B92" i="8"/>
  <c r="A92" i="8"/>
  <c r="F91" i="8"/>
  <c r="E91" i="8"/>
  <c r="D91" i="8"/>
  <c r="C91" i="8"/>
  <c r="B91" i="8"/>
  <c r="A91" i="8"/>
  <c r="F90" i="8"/>
  <c r="E90" i="8"/>
  <c r="D90" i="8"/>
  <c r="C90" i="8"/>
  <c r="B90" i="8"/>
  <c r="A90" i="8"/>
  <c r="F89" i="8"/>
  <c r="E89" i="8"/>
  <c r="D89" i="8"/>
  <c r="C89" i="8"/>
  <c r="B89" i="8"/>
  <c r="A89" i="8"/>
  <c r="F88" i="8"/>
  <c r="E88" i="8"/>
  <c r="D88" i="8"/>
  <c r="C88" i="8"/>
  <c r="B88" i="8"/>
  <c r="A88" i="8"/>
  <c r="F87" i="8"/>
  <c r="E87" i="8"/>
  <c r="D87" i="8"/>
  <c r="C87" i="8"/>
  <c r="B87" i="8"/>
  <c r="A87" i="8"/>
  <c r="F86" i="8"/>
  <c r="E86" i="8"/>
  <c r="D86" i="8"/>
  <c r="C86" i="8"/>
  <c r="B86" i="8"/>
  <c r="A86" i="8"/>
  <c r="F85" i="8"/>
  <c r="E85" i="8"/>
  <c r="D85" i="8"/>
  <c r="C85" i="8"/>
  <c r="B85" i="8"/>
  <c r="A85" i="8"/>
  <c r="F84" i="8"/>
  <c r="E84" i="8"/>
  <c r="D84" i="8"/>
  <c r="C84" i="8"/>
  <c r="B84" i="8"/>
  <c r="A84" i="8"/>
  <c r="F83" i="8"/>
  <c r="E83" i="8"/>
  <c r="D83" i="8"/>
  <c r="C83" i="8"/>
  <c r="B83" i="8"/>
  <c r="A83" i="8"/>
  <c r="F82" i="8"/>
  <c r="E82" i="8"/>
  <c r="D82" i="8"/>
  <c r="C82" i="8"/>
  <c r="B82" i="8"/>
  <c r="A82" i="8"/>
  <c r="F81" i="8"/>
  <c r="E81" i="8"/>
  <c r="D81" i="8"/>
  <c r="C81" i="8"/>
  <c r="B81" i="8"/>
  <c r="A81" i="8"/>
  <c r="F80" i="8"/>
  <c r="E80" i="8"/>
  <c r="D80" i="8"/>
  <c r="C80" i="8"/>
  <c r="B80" i="8"/>
  <c r="A80" i="8"/>
  <c r="F79" i="8"/>
  <c r="E79" i="8"/>
  <c r="D79" i="8"/>
  <c r="C79" i="8"/>
  <c r="B79" i="8"/>
  <c r="A79" i="8"/>
  <c r="F78" i="8"/>
  <c r="E78" i="8"/>
  <c r="D78" i="8"/>
  <c r="C78" i="8"/>
  <c r="B78" i="8"/>
  <c r="A78" i="8"/>
  <c r="F77" i="8"/>
  <c r="E77" i="8"/>
  <c r="D77" i="8"/>
  <c r="C77" i="8"/>
  <c r="B77" i="8"/>
  <c r="A77" i="8"/>
  <c r="F76" i="8"/>
  <c r="E76" i="8"/>
  <c r="D76" i="8"/>
  <c r="C76" i="8"/>
  <c r="B76" i="8"/>
  <c r="A76" i="8"/>
  <c r="F75" i="8"/>
  <c r="E75" i="8"/>
  <c r="D75" i="8"/>
  <c r="C75" i="8"/>
  <c r="B75" i="8"/>
  <c r="A75" i="8"/>
  <c r="F74" i="8"/>
  <c r="E74" i="8"/>
  <c r="D74" i="8"/>
  <c r="C74" i="8"/>
  <c r="B74" i="8"/>
  <c r="A74" i="8"/>
  <c r="F73" i="8"/>
  <c r="E73" i="8"/>
  <c r="D73" i="8"/>
  <c r="C73" i="8"/>
  <c r="B73" i="8"/>
  <c r="A73" i="8"/>
  <c r="F72" i="8"/>
  <c r="E72" i="8"/>
  <c r="D72" i="8"/>
  <c r="C72" i="8"/>
  <c r="B72" i="8"/>
  <c r="A72" i="8"/>
  <c r="F71" i="8"/>
  <c r="E71" i="8"/>
  <c r="D71" i="8"/>
  <c r="C71" i="8"/>
  <c r="B71" i="8"/>
  <c r="A71" i="8"/>
  <c r="F70" i="8"/>
  <c r="E70" i="8"/>
  <c r="D70" i="8"/>
  <c r="C70" i="8"/>
  <c r="B70" i="8"/>
  <c r="A70" i="8"/>
  <c r="F69" i="8"/>
  <c r="E69" i="8"/>
  <c r="D69" i="8"/>
  <c r="C69" i="8"/>
  <c r="B69" i="8"/>
  <c r="A69" i="8"/>
  <c r="F68" i="8"/>
  <c r="E68" i="8"/>
  <c r="D68" i="8"/>
  <c r="C68" i="8"/>
  <c r="B68" i="8"/>
  <c r="A68" i="8"/>
  <c r="F67" i="8"/>
  <c r="E67" i="8"/>
  <c r="D67" i="8"/>
  <c r="C67" i="8"/>
  <c r="B67" i="8"/>
  <c r="A67" i="8"/>
  <c r="F66" i="8"/>
  <c r="E66" i="8"/>
  <c r="D66" i="8"/>
  <c r="C66" i="8"/>
  <c r="B66" i="8"/>
  <c r="A66" i="8"/>
  <c r="F65" i="8"/>
  <c r="E65" i="8"/>
  <c r="D65" i="8"/>
  <c r="C65" i="8"/>
  <c r="B65" i="8"/>
  <c r="A65" i="8"/>
  <c r="F64" i="8"/>
  <c r="E64" i="8"/>
  <c r="D64" i="8"/>
  <c r="C64" i="8"/>
  <c r="B64" i="8"/>
  <c r="A64" i="8"/>
  <c r="F63" i="8"/>
  <c r="E63" i="8"/>
  <c r="D63" i="8"/>
  <c r="C63" i="8"/>
  <c r="B63" i="8"/>
  <c r="A63" i="8"/>
  <c r="F62" i="8"/>
  <c r="E62" i="8"/>
  <c r="D62" i="8"/>
  <c r="C62" i="8"/>
  <c r="B62" i="8"/>
  <c r="A62" i="8"/>
  <c r="F61" i="8"/>
  <c r="E61" i="8"/>
  <c r="D61" i="8"/>
  <c r="C61" i="8"/>
  <c r="B61" i="8"/>
  <c r="A61" i="8"/>
  <c r="F60" i="8"/>
  <c r="E60" i="8"/>
  <c r="D60" i="8"/>
  <c r="C60" i="8"/>
  <c r="B60" i="8"/>
  <c r="A60" i="8"/>
  <c r="F59" i="8"/>
  <c r="E59" i="8"/>
  <c r="D59" i="8"/>
  <c r="C59" i="8"/>
  <c r="B59" i="8"/>
  <c r="A59" i="8"/>
  <c r="F58" i="8"/>
  <c r="E58" i="8"/>
  <c r="D58" i="8"/>
  <c r="C58" i="8"/>
  <c r="B58" i="8"/>
  <c r="A58" i="8"/>
  <c r="F57" i="8"/>
  <c r="E57" i="8"/>
  <c r="D57" i="8"/>
  <c r="C57" i="8"/>
  <c r="B57" i="8"/>
  <c r="A57" i="8"/>
  <c r="F56" i="8"/>
  <c r="E56" i="8"/>
  <c r="D56" i="8"/>
  <c r="C56" i="8"/>
  <c r="B56" i="8"/>
  <c r="A56" i="8"/>
  <c r="F55" i="8"/>
  <c r="E55" i="8"/>
  <c r="D55" i="8"/>
  <c r="C55" i="8"/>
  <c r="B55" i="8"/>
  <c r="A55" i="8"/>
  <c r="F54" i="8"/>
  <c r="E54" i="8"/>
  <c r="D54" i="8"/>
  <c r="C54" i="8"/>
  <c r="B54" i="8"/>
  <c r="A54" i="8"/>
  <c r="F53" i="8"/>
  <c r="E53" i="8"/>
  <c r="D53" i="8"/>
  <c r="C53" i="8"/>
  <c r="B53" i="8"/>
  <c r="A53" i="8"/>
  <c r="F52" i="8"/>
  <c r="E52" i="8"/>
  <c r="D52" i="8"/>
  <c r="C52" i="8"/>
  <c r="B52" i="8"/>
  <c r="A52" i="8"/>
  <c r="F51" i="8"/>
  <c r="E51" i="8"/>
  <c r="D51" i="8"/>
  <c r="C51" i="8"/>
  <c r="B51" i="8"/>
  <c r="A51" i="8"/>
  <c r="F50" i="8"/>
  <c r="E50" i="8"/>
  <c r="D50" i="8"/>
  <c r="C50" i="8"/>
  <c r="B50" i="8"/>
  <c r="A50" i="8"/>
  <c r="F49" i="8"/>
  <c r="E49" i="8"/>
  <c r="D49" i="8"/>
  <c r="C49" i="8"/>
  <c r="B49" i="8"/>
  <c r="A49" i="8"/>
  <c r="F48" i="8"/>
  <c r="E48" i="8"/>
  <c r="D48" i="8"/>
  <c r="C48" i="8"/>
  <c r="B48" i="8"/>
  <c r="A48" i="8"/>
  <c r="F47" i="8"/>
  <c r="E47" i="8"/>
  <c r="D47" i="8"/>
  <c r="C47" i="8"/>
  <c r="B47" i="8"/>
  <c r="A47" i="8"/>
  <c r="A45" i="8"/>
  <c r="A44" i="8"/>
  <c r="C43" i="8"/>
  <c r="A43" i="8"/>
  <c r="A42" i="8"/>
  <c r="C41" i="8"/>
  <c r="I26" i="1" s="1"/>
  <c r="B41" i="8"/>
  <c r="A41" i="8"/>
  <c r="A40" i="8"/>
  <c r="C39" i="8"/>
  <c r="B39" i="8"/>
  <c r="A39" i="8"/>
  <c r="A38" i="8"/>
  <c r="J40" i="1"/>
  <c r="A37" i="8"/>
  <c r="F36" i="8"/>
  <c r="E36" i="8"/>
  <c r="D36" i="8"/>
  <c r="C36" i="8"/>
  <c r="B36" i="8"/>
  <c r="A35" i="8"/>
  <c r="I2" i="8"/>
  <c r="H2" i="8"/>
  <c r="G2" i="8"/>
  <c r="F2" i="8"/>
  <c r="E2" i="8"/>
  <c r="A1" i="1" s="1"/>
  <c r="D2" i="8"/>
  <c r="C1" i="1" s="1"/>
  <c r="C2" i="8"/>
  <c r="B2" i="8"/>
  <c r="A2" i="8"/>
  <c r="J1" i="8"/>
  <c r="I1" i="8"/>
  <c r="H1" i="8"/>
  <c r="G1" i="8"/>
  <c r="F1" i="8"/>
  <c r="E1" i="8"/>
  <c r="D1" i="8"/>
  <c r="C1" i="8"/>
  <c r="B1" i="8"/>
  <c r="A1" i="8"/>
  <c r="E38" i="6"/>
  <c r="D38" i="6"/>
  <c r="C38" i="6"/>
  <c r="B38" i="6"/>
  <c r="A38" i="6"/>
  <c r="E37" i="6"/>
  <c r="D37" i="6"/>
  <c r="C37" i="6"/>
  <c r="B37" i="6"/>
  <c r="A37" i="6"/>
  <c r="E36" i="6"/>
  <c r="D36" i="6"/>
  <c r="C36" i="6"/>
  <c r="B36" i="6"/>
  <c r="A36" i="6"/>
  <c r="E35" i="6"/>
  <c r="D35" i="6"/>
  <c r="C35" i="6"/>
  <c r="B35" i="6"/>
  <c r="A35" i="6"/>
  <c r="E34" i="6"/>
  <c r="D34" i="6"/>
  <c r="C34" i="6"/>
  <c r="B34" i="6"/>
  <c r="A34" i="6"/>
  <c r="E33" i="6"/>
  <c r="D33" i="6"/>
  <c r="C33" i="6"/>
  <c r="B33" i="6"/>
  <c r="A33" i="6"/>
  <c r="E32" i="6"/>
  <c r="D32" i="6"/>
  <c r="C32" i="6"/>
  <c r="B32" i="6"/>
  <c r="A32" i="6"/>
  <c r="E31" i="6"/>
  <c r="D31" i="6"/>
  <c r="C31" i="6"/>
  <c r="B31" i="6"/>
  <c r="A31" i="6"/>
  <c r="E30" i="6"/>
  <c r="D30" i="6"/>
  <c r="C30" i="6"/>
  <c r="B30" i="6"/>
  <c r="A30" i="6"/>
  <c r="E29" i="6"/>
  <c r="D29" i="6"/>
  <c r="C29" i="6"/>
  <c r="B29" i="6"/>
  <c r="A29" i="6"/>
  <c r="E28" i="6"/>
  <c r="D28" i="6"/>
  <c r="C28" i="6"/>
  <c r="B28" i="6"/>
  <c r="A28" i="6"/>
  <c r="B26" i="6"/>
  <c r="A26" i="6"/>
  <c r="A25" i="6"/>
  <c r="B24" i="6"/>
  <c r="A24" i="6"/>
  <c r="B23" i="6"/>
  <c r="A23" i="6"/>
  <c r="B22" i="6"/>
  <c r="A22" i="6"/>
  <c r="B21" i="6"/>
  <c r="A31" i="1" s="1"/>
  <c r="A21" i="6"/>
  <c r="B20" i="6"/>
  <c r="A20" i="6"/>
  <c r="B19" i="6"/>
  <c r="A19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D2" i="1" s="1"/>
  <c r="A14" i="6"/>
  <c r="C13" i="6"/>
  <c r="A13" i="6"/>
  <c r="F12" i="6"/>
  <c r="E12" i="6"/>
  <c r="C12" i="6"/>
  <c r="B12" i="6"/>
  <c r="A12" i="6"/>
  <c r="F11" i="6"/>
  <c r="E11" i="6"/>
  <c r="D11" i="6"/>
  <c r="C11" i="6"/>
  <c r="B11" i="6"/>
  <c r="A11" i="6"/>
  <c r="F10" i="6"/>
  <c r="E10" i="6"/>
  <c r="D10" i="6"/>
  <c r="C10" i="6"/>
  <c r="B10" i="6"/>
  <c r="A10" i="6"/>
  <c r="H9" i="6"/>
  <c r="A25" i="1" s="1"/>
  <c r="G9" i="6"/>
  <c r="F9" i="6"/>
  <c r="E9" i="6"/>
  <c r="D9" i="6"/>
  <c r="C9" i="6"/>
  <c r="B9" i="6"/>
  <c r="A9" i="6"/>
  <c r="L8" i="6"/>
  <c r="G40" i="1" s="1"/>
  <c r="K8" i="6"/>
  <c r="H8" i="6"/>
  <c r="A22" i="1" s="1"/>
  <c r="G8" i="6"/>
  <c r="F8" i="6"/>
  <c r="E8" i="6"/>
  <c r="S87" i="1"/>
  <c r="C8" i="6"/>
  <c r="S86" i="1" s="1"/>
  <c r="B8" i="6"/>
  <c r="A8" i="6"/>
  <c r="G7" i="6"/>
  <c r="E7" i="6"/>
  <c r="C7" i="6"/>
  <c r="A7" i="6"/>
  <c r="K6" i="6"/>
  <c r="L6" i="6" s="1"/>
  <c r="H6" i="6"/>
  <c r="G6" i="6"/>
  <c r="F6" i="6"/>
  <c r="E6" i="6"/>
  <c r="D6" i="6"/>
  <c r="A3" i="1" s="1"/>
  <c r="C6" i="6"/>
  <c r="B6" i="6"/>
  <c r="A6" i="6"/>
  <c r="K5" i="6"/>
  <c r="L5" i="6" s="1"/>
  <c r="H5" i="6"/>
  <c r="G5" i="6"/>
  <c r="F5" i="6"/>
  <c r="E5" i="6"/>
  <c r="D5" i="6"/>
  <c r="C5" i="6"/>
  <c r="B5" i="6"/>
  <c r="A5" i="6"/>
  <c r="K4" i="6"/>
  <c r="L4" i="6" s="1"/>
  <c r="H4" i="6"/>
  <c r="G4" i="6"/>
  <c r="F4" i="6"/>
  <c r="E4" i="6"/>
  <c r="D4" i="6"/>
  <c r="C4" i="6"/>
  <c r="B4" i="6"/>
  <c r="A4" i="6"/>
  <c r="K3" i="6"/>
  <c r="L3" i="6" s="1"/>
  <c r="F3" i="6"/>
  <c r="E3" i="6"/>
  <c r="D3" i="6"/>
  <c r="C3" i="6"/>
  <c r="B3" i="6"/>
  <c r="A3" i="6"/>
  <c r="H2" i="6"/>
  <c r="C3" i="1" s="1"/>
  <c r="H35" i="1" s="1"/>
  <c r="I35" i="1" s="1"/>
  <c r="G2" i="6"/>
  <c r="F2" i="6"/>
  <c r="E2" i="6"/>
  <c r="D2" i="6"/>
  <c r="C2" i="6"/>
  <c r="B2" i="6"/>
  <c r="A2" i="6"/>
  <c r="A1" i="6"/>
  <c r="F138" i="5"/>
  <c r="C138" i="5"/>
  <c r="B138" i="5"/>
  <c r="A138" i="5"/>
  <c r="F137" i="5"/>
  <c r="C137" i="5"/>
  <c r="B137" i="5"/>
  <c r="A137" i="5"/>
  <c r="F136" i="5"/>
  <c r="C136" i="5"/>
  <c r="B136" i="5"/>
  <c r="A136" i="5"/>
  <c r="F135" i="5"/>
  <c r="C135" i="5"/>
  <c r="B135" i="5"/>
  <c r="A135" i="5"/>
  <c r="F134" i="5"/>
  <c r="C134" i="5"/>
  <c r="B134" i="5"/>
  <c r="A134" i="5"/>
  <c r="F133" i="5"/>
  <c r="C133" i="5"/>
  <c r="B133" i="5"/>
  <c r="A133" i="5"/>
  <c r="F132" i="5"/>
  <c r="C132" i="5"/>
  <c r="B132" i="5"/>
  <c r="A132" i="5"/>
  <c r="F131" i="5"/>
  <c r="C131" i="5"/>
  <c r="B131" i="5"/>
  <c r="A131" i="5"/>
  <c r="F130" i="5"/>
  <c r="C130" i="5"/>
  <c r="B130" i="5"/>
  <c r="A130" i="5"/>
  <c r="F129" i="5"/>
  <c r="C129" i="5"/>
  <c r="B129" i="5"/>
  <c r="A129" i="5"/>
  <c r="F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A89" i="5"/>
  <c r="A87" i="5"/>
  <c r="A85" i="5"/>
  <c r="F54" i="5"/>
  <c r="E54" i="5"/>
  <c r="D54" i="5"/>
  <c r="C54" i="5"/>
  <c r="B54" i="5"/>
  <c r="A54" i="5"/>
  <c r="F53" i="5"/>
  <c r="E53" i="5"/>
  <c r="D53" i="5"/>
  <c r="C53" i="5"/>
  <c r="B53" i="5"/>
  <c r="A53" i="5"/>
  <c r="F52" i="5"/>
  <c r="E52" i="5"/>
  <c r="D52" i="5"/>
  <c r="C52" i="5"/>
  <c r="B52" i="5"/>
  <c r="A52" i="5"/>
  <c r="F51" i="5"/>
  <c r="E51" i="5"/>
  <c r="D51" i="5"/>
  <c r="C51" i="5"/>
  <c r="B51" i="5"/>
  <c r="A51" i="5"/>
  <c r="F50" i="5"/>
  <c r="E50" i="5"/>
  <c r="D50" i="5"/>
  <c r="C50" i="5"/>
  <c r="B50" i="5"/>
  <c r="A50" i="5"/>
  <c r="F49" i="5"/>
  <c r="E49" i="5"/>
  <c r="D49" i="5"/>
  <c r="C49" i="5"/>
  <c r="B49" i="5"/>
  <c r="A49" i="5"/>
  <c r="F48" i="5"/>
  <c r="E48" i="5"/>
  <c r="D48" i="5"/>
  <c r="C48" i="5"/>
  <c r="B48" i="5"/>
  <c r="A48" i="5"/>
  <c r="F47" i="5"/>
  <c r="E47" i="5"/>
  <c r="D47" i="5"/>
  <c r="C47" i="5"/>
  <c r="B47" i="5"/>
  <c r="A47" i="5"/>
  <c r="F46" i="5"/>
  <c r="C58" i="5" s="1"/>
  <c r="E46" i="5"/>
  <c r="B58" i="5" s="1"/>
  <c r="D46" i="5"/>
  <c r="A58" i="5" s="1"/>
  <c r="C46" i="5"/>
  <c r="B46" i="5"/>
  <c r="A46" i="5"/>
  <c r="F45" i="5"/>
  <c r="C57" i="5" s="1"/>
  <c r="E45" i="5"/>
  <c r="B57" i="5" s="1"/>
  <c r="D45" i="5"/>
  <c r="A57" i="5" s="1"/>
  <c r="C45" i="5"/>
  <c r="B45" i="5"/>
  <c r="A45" i="5"/>
  <c r="F44" i="5"/>
  <c r="C56" i="5" s="1"/>
  <c r="E44" i="5"/>
  <c r="B56" i="5" s="1"/>
  <c r="D44" i="5"/>
  <c r="A56" i="5" s="1"/>
  <c r="C44" i="5"/>
  <c r="B44" i="5"/>
  <c r="A44" i="5"/>
  <c r="F43" i="5"/>
  <c r="E43" i="5"/>
  <c r="D43" i="5"/>
  <c r="C43" i="5"/>
  <c r="B43" i="5"/>
  <c r="A43" i="5"/>
  <c r="H38" i="5"/>
  <c r="G38" i="5"/>
  <c r="F38" i="5"/>
  <c r="E38" i="5"/>
  <c r="D38" i="5"/>
  <c r="C38" i="5"/>
  <c r="B38" i="5"/>
  <c r="AC14" i="5" s="1"/>
  <c r="A38" i="5"/>
  <c r="H37" i="5"/>
  <c r="G37" i="5"/>
  <c r="F37" i="5"/>
  <c r="E37" i="5"/>
  <c r="D37" i="5"/>
  <c r="C37" i="5"/>
  <c r="B37" i="5"/>
  <c r="R53" i="5" s="1"/>
  <c r="A37" i="5"/>
  <c r="H36" i="5"/>
  <c r="G36" i="5"/>
  <c r="F36" i="5"/>
  <c r="E36" i="5"/>
  <c r="D36" i="5"/>
  <c r="C36" i="5"/>
  <c r="B36" i="5"/>
  <c r="AC12" i="5" s="1"/>
  <c r="A36" i="5"/>
  <c r="H35" i="5"/>
  <c r="G35" i="5"/>
  <c r="F35" i="5"/>
  <c r="E35" i="5"/>
  <c r="D35" i="5"/>
  <c r="C35" i="5"/>
  <c r="B35" i="5"/>
  <c r="AC11" i="5" s="1"/>
  <c r="A35" i="5"/>
  <c r="H34" i="5"/>
  <c r="G34" i="5"/>
  <c r="F34" i="5"/>
  <c r="E34" i="5"/>
  <c r="D34" i="5"/>
  <c r="C34" i="5"/>
  <c r="B34" i="5"/>
  <c r="R50" i="5" s="1"/>
  <c r="A34" i="5"/>
  <c r="H33" i="5"/>
  <c r="G33" i="5"/>
  <c r="F33" i="5"/>
  <c r="E33" i="5"/>
  <c r="D33" i="5"/>
  <c r="C33" i="5"/>
  <c r="B33" i="5"/>
  <c r="AC9" i="5" s="1"/>
  <c r="A33" i="5"/>
  <c r="H32" i="5"/>
  <c r="G32" i="5"/>
  <c r="F32" i="5"/>
  <c r="E32" i="5"/>
  <c r="D32" i="5"/>
  <c r="C32" i="5"/>
  <c r="B32" i="5"/>
  <c r="AC8" i="5" s="1"/>
  <c r="A32" i="5"/>
  <c r="H31" i="5"/>
  <c r="G31" i="5"/>
  <c r="F31" i="5"/>
  <c r="E31" i="5"/>
  <c r="D31" i="5"/>
  <c r="C31" i="5"/>
  <c r="B31" i="5"/>
  <c r="R47" i="5" s="1"/>
  <c r="A31" i="5"/>
  <c r="H30" i="5"/>
  <c r="G30" i="5"/>
  <c r="F30" i="5"/>
  <c r="E30" i="5"/>
  <c r="D30" i="5"/>
  <c r="C30" i="5"/>
  <c r="B30" i="5"/>
  <c r="AC6" i="5" s="1"/>
  <c r="A30" i="5"/>
  <c r="H29" i="5"/>
  <c r="G29" i="5"/>
  <c r="F29" i="5"/>
  <c r="E29" i="5"/>
  <c r="D29" i="5"/>
  <c r="C29" i="5"/>
  <c r="B29" i="5"/>
  <c r="AC5" i="5" s="1"/>
  <c r="A29" i="5"/>
  <c r="H28" i="5"/>
  <c r="G28" i="5"/>
  <c r="F28" i="5"/>
  <c r="E28" i="5"/>
  <c r="D28" i="5"/>
  <c r="C28" i="5"/>
  <c r="B28" i="5"/>
  <c r="R44" i="5" s="1"/>
  <c r="A28" i="5"/>
  <c r="H27" i="5"/>
  <c r="G27" i="5"/>
  <c r="F27" i="5"/>
  <c r="E27" i="5"/>
  <c r="D27" i="5"/>
  <c r="C27" i="5"/>
  <c r="B27" i="5"/>
  <c r="R43" i="5" s="1"/>
  <c r="A27" i="5"/>
  <c r="H26" i="5"/>
  <c r="G26" i="5"/>
  <c r="F26" i="5"/>
  <c r="E26" i="5"/>
  <c r="D26" i="5"/>
  <c r="C26" i="5"/>
  <c r="B26" i="5"/>
  <c r="AB14" i="5" s="1"/>
  <c r="A26" i="5"/>
  <c r="H25" i="5"/>
  <c r="G25" i="5"/>
  <c r="F25" i="5"/>
  <c r="E25" i="5"/>
  <c r="D25" i="5"/>
  <c r="C25" i="5"/>
  <c r="B25" i="5"/>
  <c r="Q53" i="5" s="1"/>
  <c r="A25" i="5"/>
  <c r="H24" i="5"/>
  <c r="G24" i="5"/>
  <c r="F24" i="5"/>
  <c r="E24" i="5"/>
  <c r="D24" i="5"/>
  <c r="C24" i="5"/>
  <c r="B24" i="5"/>
  <c r="Q52" i="5" s="1"/>
  <c r="A24" i="5"/>
  <c r="H23" i="5"/>
  <c r="G23" i="5"/>
  <c r="F23" i="5"/>
  <c r="E23" i="5"/>
  <c r="D23" i="5"/>
  <c r="C23" i="5"/>
  <c r="B23" i="5"/>
  <c r="AB11" i="5" s="1"/>
  <c r="A23" i="5"/>
  <c r="H22" i="5"/>
  <c r="G22" i="5"/>
  <c r="F22" i="5"/>
  <c r="E22" i="5"/>
  <c r="D22" i="5"/>
  <c r="C22" i="5"/>
  <c r="B22" i="5"/>
  <c r="Q50" i="5" s="1"/>
  <c r="A22" i="5"/>
  <c r="H21" i="5"/>
  <c r="G21" i="5"/>
  <c r="F21" i="5"/>
  <c r="E21" i="5"/>
  <c r="D21" i="5"/>
  <c r="C21" i="5"/>
  <c r="B21" i="5"/>
  <c r="A21" i="5"/>
  <c r="H20" i="5"/>
  <c r="G20" i="5"/>
  <c r="F20" i="5"/>
  <c r="E20" i="5"/>
  <c r="D20" i="5"/>
  <c r="C20" i="5"/>
  <c r="B20" i="5"/>
  <c r="Q48" i="5" s="1"/>
  <c r="A20" i="5"/>
  <c r="H19" i="5"/>
  <c r="G19" i="5"/>
  <c r="F19" i="5"/>
  <c r="E19" i="5"/>
  <c r="D19" i="5"/>
  <c r="C19" i="5"/>
  <c r="B19" i="5"/>
  <c r="Q47" i="5" s="1"/>
  <c r="A19" i="5"/>
  <c r="H18" i="5"/>
  <c r="G18" i="5"/>
  <c r="F18" i="5"/>
  <c r="E18" i="5"/>
  <c r="D18" i="5"/>
  <c r="C18" i="5"/>
  <c r="B18" i="5"/>
  <c r="AB6" i="5" s="1"/>
  <c r="A18" i="5"/>
  <c r="H17" i="5"/>
  <c r="G17" i="5"/>
  <c r="F17" i="5"/>
  <c r="E17" i="5"/>
  <c r="D17" i="5"/>
  <c r="C17" i="5"/>
  <c r="B17" i="5"/>
  <c r="AB5" i="5" s="1"/>
  <c r="A17" i="5"/>
  <c r="H16" i="5"/>
  <c r="G16" i="5"/>
  <c r="F16" i="5"/>
  <c r="E16" i="5"/>
  <c r="D16" i="5"/>
  <c r="C16" i="5"/>
  <c r="B16" i="5"/>
  <c r="Q44" i="5" s="1"/>
  <c r="A16" i="5"/>
  <c r="H15" i="5"/>
  <c r="G15" i="5"/>
  <c r="F15" i="5"/>
  <c r="E15" i="5"/>
  <c r="D15" i="5"/>
  <c r="C15" i="5"/>
  <c r="B15" i="5"/>
  <c r="AB3" i="5" s="1"/>
  <c r="A15" i="5"/>
  <c r="I15" i="5" s="1"/>
  <c r="H14" i="5"/>
  <c r="G14" i="5"/>
  <c r="F14" i="5"/>
  <c r="E14" i="5"/>
  <c r="D14" i="5"/>
  <c r="C14" i="5"/>
  <c r="B14" i="5"/>
  <c r="AA14" i="5" s="1"/>
  <c r="A14" i="5"/>
  <c r="I14" i="5" s="1"/>
  <c r="H13" i="5"/>
  <c r="G13" i="5"/>
  <c r="F13" i="5"/>
  <c r="E13" i="5"/>
  <c r="D13" i="5"/>
  <c r="C13" i="5"/>
  <c r="B13" i="5"/>
  <c r="AA13" i="5" s="1"/>
  <c r="A13" i="5"/>
  <c r="I13" i="5" s="1"/>
  <c r="H12" i="5"/>
  <c r="G12" i="5"/>
  <c r="F12" i="5"/>
  <c r="E12" i="5"/>
  <c r="D12" i="5"/>
  <c r="C12" i="5"/>
  <c r="B12" i="5"/>
  <c r="A12" i="5"/>
  <c r="H11" i="5"/>
  <c r="G11" i="5"/>
  <c r="F11" i="5"/>
  <c r="E11" i="5"/>
  <c r="D11" i="5"/>
  <c r="C11" i="5"/>
  <c r="B11" i="5"/>
  <c r="AA11" i="5" s="1"/>
  <c r="A11" i="5"/>
  <c r="O51" i="5" s="1"/>
  <c r="H10" i="5"/>
  <c r="G10" i="5"/>
  <c r="F10" i="5"/>
  <c r="E10" i="5"/>
  <c r="D10" i="5"/>
  <c r="C10" i="5"/>
  <c r="B10" i="5"/>
  <c r="P50" i="5" s="1"/>
  <c r="A10" i="5"/>
  <c r="H9" i="5"/>
  <c r="G9" i="5"/>
  <c r="F9" i="5"/>
  <c r="E9" i="5"/>
  <c r="D9" i="5"/>
  <c r="C9" i="5"/>
  <c r="B9" i="5"/>
  <c r="P49" i="5" s="1"/>
  <c r="A9" i="5"/>
  <c r="I9" i="5" s="1"/>
  <c r="H8" i="5"/>
  <c r="G8" i="5"/>
  <c r="F8" i="5"/>
  <c r="E8" i="5"/>
  <c r="D8" i="5"/>
  <c r="C8" i="5"/>
  <c r="B8" i="5"/>
  <c r="A8" i="5"/>
  <c r="I8" i="5" s="1"/>
  <c r="H7" i="5"/>
  <c r="G7" i="5"/>
  <c r="F7" i="5"/>
  <c r="E7" i="5"/>
  <c r="D7" i="5"/>
  <c r="C7" i="5"/>
  <c r="B7" i="5"/>
  <c r="P47" i="5" s="1"/>
  <c r="A7" i="5"/>
  <c r="O47" i="5" s="1"/>
  <c r="H6" i="5"/>
  <c r="G6" i="5"/>
  <c r="F6" i="5"/>
  <c r="E6" i="5"/>
  <c r="D6" i="5"/>
  <c r="C6" i="5"/>
  <c r="B6" i="5"/>
  <c r="AA6" i="5" s="1"/>
  <c r="A6" i="5"/>
  <c r="H5" i="5"/>
  <c r="G5" i="5"/>
  <c r="F5" i="5"/>
  <c r="E5" i="5"/>
  <c r="D5" i="5"/>
  <c r="Y54" i="1" s="1"/>
  <c r="C5" i="5"/>
  <c r="B5" i="5"/>
  <c r="P45" i="5" s="1"/>
  <c r="A5" i="5"/>
  <c r="O45" i="5" s="1"/>
  <c r="H4" i="5"/>
  <c r="G4" i="5"/>
  <c r="F4" i="5"/>
  <c r="E4" i="5"/>
  <c r="D4" i="5"/>
  <c r="Y53" i="1" s="1"/>
  <c r="C4" i="5"/>
  <c r="B4" i="5"/>
  <c r="A4" i="5"/>
  <c r="H3" i="5"/>
  <c r="G3" i="5"/>
  <c r="F3" i="5"/>
  <c r="E3" i="5"/>
  <c r="D3" i="5"/>
  <c r="Y52" i="1" s="1"/>
  <c r="C3" i="5"/>
  <c r="B3" i="5"/>
  <c r="AA3" i="5" s="1"/>
  <c r="A3" i="5"/>
  <c r="O43" i="5" s="1"/>
  <c r="H2" i="5"/>
  <c r="G2" i="5"/>
  <c r="F2" i="5"/>
  <c r="E2" i="5"/>
  <c r="D2" i="5"/>
  <c r="C2" i="5"/>
  <c r="B2" i="5"/>
  <c r="F1" i="5"/>
  <c r="B1" i="5"/>
  <c r="A1" i="5"/>
  <c r="O146" i="4"/>
  <c r="W145" i="4"/>
  <c r="V145" i="4"/>
  <c r="U145" i="4"/>
  <c r="T145" i="4"/>
  <c r="S145" i="4"/>
  <c r="R145" i="4"/>
  <c r="Q145" i="4"/>
  <c r="K119" i="4"/>
  <c r="J119" i="4"/>
  <c r="I119" i="4"/>
  <c r="H119" i="4"/>
  <c r="G119" i="4"/>
  <c r="F119" i="4"/>
  <c r="E119" i="4"/>
  <c r="D119" i="4"/>
  <c r="C119" i="4"/>
  <c r="B119" i="4"/>
  <c r="K118" i="4"/>
  <c r="P206" i="4" s="1"/>
  <c r="J118" i="4"/>
  <c r="O206" i="4" s="1"/>
  <c r="I118" i="4"/>
  <c r="P194" i="4" s="1"/>
  <c r="H118" i="4"/>
  <c r="O194" i="4" s="1"/>
  <c r="G118" i="4"/>
  <c r="P182" i="4" s="1"/>
  <c r="F118" i="4"/>
  <c r="O182" i="4" s="1"/>
  <c r="E118" i="4"/>
  <c r="P170" i="4" s="1"/>
  <c r="D118" i="4"/>
  <c r="O170" i="4" s="1"/>
  <c r="C118" i="4"/>
  <c r="P158" i="4" s="1"/>
  <c r="B118" i="4"/>
  <c r="O158" i="4" s="1"/>
  <c r="K117" i="4"/>
  <c r="P205" i="4" s="1"/>
  <c r="J117" i="4"/>
  <c r="O205" i="4" s="1"/>
  <c r="I117" i="4"/>
  <c r="P193" i="4" s="1"/>
  <c r="H117" i="4"/>
  <c r="O193" i="4" s="1"/>
  <c r="G117" i="4"/>
  <c r="P181" i="4" s="1"/>
  <c r="F117" i="4"/>
  <c r="O181" i="4" s="1"/>
  <c r="E117" i="4"/>
  <c r="P169" i="4" s="1"/>
  <c r="D117" i="4"/>
  <c r="O169" i="4" s="1"/>
  <c r="C117" i="4"/>
  <c r="P157" i="4" s="1"/>
  <c r="B117" i="4"/>
  <c r="O157" i="4" s="1"/>
  <c r="K116" i="4"/>
  <c r="P204" i="4" s="1"/>
  <c r="J116" i="4"/>
  <c r="O204" i="4" s="1"/>
  <c r="I116" i="4"/>
  <c r="P192" i="4" s="1"/>
  <c r="H116" i="4"/>
  <c r="O192" i="4" s="1"/>
  <c r="G116" i="4"/>
  <c r="P180" i="4" s="1"/>
  <c r="F116" i="4"/>
  <c r="O180" i="4" s="1"/>
  <c r="E116" i="4"/>
  <c r="P168" i="4" s="1"/>
  <c r="D116" i="4"/>
  <c r="O168" i="4" s="1"/>
  <c r="C116" i="4"/>
  <c r="P156" i="4" s="1"/>
  <c r="B116" i="4"/>
  <c r="O156" i="4" s="1"/>
  <c r="K115" i="4"/>
  <c r="P203" i="4" s="1"/>
  <c r="J115" i="4"/>
  <c r="O203" i="4" s="1"/>
  <c r="I115" i="4"/>
  <c r="P191" i="4" s="1"/>
  <c r="H115" i="4"/>
  <c r="O191" i="4" s="1"/>
  <c r="G115" i="4"/>
  <c r="P179" i="4" s="1"/>
  <c r="F115" i="4"/>
  <c r="O179" i="4" s="1"/>
  <c r="E115" i="4"/>
  <c r="P167" i="4" s="1"/>
  <c r="D115" i="4"/>
  <c r="O167" i="4" s="1"/>
  <c r="C115" i="4"/>
  <c r="P155" i="4" s="1"/>
  <c r="B115" i="4"/>
  <c r="O155" i="4" s="1"/>
  <c r="K114" i="4"/>
  <c r="P202" i="4" s="1"/>
  <c r="J114" i="4"/>
  <c r="O202" i="4" s="1"/>
  <c r="I114" i="4"/>
  <c r="P190" i="4" s="1"/>
  <c r="H114" i="4"/>
  <c r="O190" i="4" s="1"/>
  <c r="G114" i="4"/>
  <c r="P178" i="4" s="1"/>
  <c r="F114" i="4"/>
  <c r="O178" i="4" s="1"/>
  <c r="E114" i="4"/>
  <c r="P166" i="4" s="1"/>
  <c r="D114" i="4"/>
  <c r="O166" i="4" s="1"/>
  <c r="C114" i="4"/>
  <c r="P154" i="4" s="1"/>
  <c r="B114" i="4"/>
  <c r="O154" i="4" s="1"/>
  <c r="K113" i="4"/>
  <c r="P201" i="4" s="1"/>
  <c r="J113" i="4"/>
  <c r="O201" i="4" s="1"/>
  <c r="I113" i="4"/>
  <c r="P189" i="4" s="1"/>
  <c r="H113" i="4"/>
  <c r="O189" i="4" s="1"/>
  <c r="G113" i="4"/>
  <c r="P177" i="4" s="1"/>
  <c r="F113" i="4"/>
  <c r="O177" i="4" s="1"/>
  <c r="E113" i="4"/>
  <c r="P165" i="4" s="1"/>
  <c r="D113" i="4"/>
  <c r="O165" i="4" s="1"/>
  <c r="C113" i="4"/>
  <c r="P153" i="4" s="1"/>
  <c r="B113" i="4"/>
  <c r="O153" i="4" s="1"/>
  <c r="K112" i="4"/>
  <c r="P200" i="4" s="1"/>
  <c r="J112" i="4"/>
  <c r="O200" i="4" s="1"/>
  <c r="I112" i="4"/>
  <c r="P188" i="4" s="1"/>
  <c r="H112" i="4"/>
  <c r="O188" i="4" s="1"/>
  <c r="G112" i="4"/>
  <c r="P176" i="4" s="1"/>
  <c r="F112" i="4"/>
  <c r="O176" i="4" s="1"/>
  <c r="E112" i="4"/>
  <c r="P164" i="4" s="1"/>
  <c r="D112" i="4"/>
  <c r="O164" i="4" s="1"/>
  <c r="C112" i="4"/>
  <c r="P152" i="4" s="1"/>
  <c r="B112" i="4"/>
  <c r="O152" i="4" s="1"/>
  <c r="K111" i="4"/>
  <c r="P199" i="4" s="1"/>
  <c r="J111" i="4"/>
  <c r="O199" i="4" s="1"/>
  <c r="I111" i="4"/>
  <c r="P187" i="4" s="1"/>
  <c r="H111" i="4"/>
  <c r="O187" i="4" s="1"/>
  <c r="G111" i="4"/>
  <c r="P175" i="4" s="1"/>
  <c r="F111" i="4"/>
  <c r="O175" i="4" s="1"/>
  <c r="E111" i="4"/>
  <c r="P163" i="4" s="1"/>
  <c r="D111" i="4"/>
  <c r="O163" i="4" s="1"/>
  <c r="C111" i="4"/>
  <c r="P151" i="4" s="1"/>
  <c r="B111" i="4"/>
  <c r="O151" i="4" s="1"/>
  <c r="K110" i="4"/>
  <c r="P198" i="4" s="1"/>
  <c r="J110" i="4"/>
  <c r="O198" i="4" s="1"/>
  <c r="I110" i="4"/>
  <c r="P186" i="4" s="1"/>
  <c r="H110" i="4"/>
  <c r="O186" i="4" s="1"/>
  <c r="G110" i="4"/>
  <c r="P174" i="4" s="1"/>
  <c r="F110" i="4"/>
  <c r="O174" i="4" s="1"/>
  <c r="E110" i="4"/>
  <c r="P162" i="4" s="1"/>
  <c r="D110" i="4"/>
  <c r="O162" i="4" s="1"/>
  <c r="C110" i="4"/>
  <c r="P150" i="4" s="1"/>
  <c r="B110" i="4"/>
  <c r="O150" i="4" s="1"/>
  <c r="K109" i="4"/>
  <c r="P197" i="4" s="1"/>
  <c r="J109" i="4"/>
  <c r="O197" i="4" s="1"/>
  <c r="I109" i="4"/>
  <c r="P185" i="4" s="1"/>
  <c r="H109" i="4"/>
  <c r="O185" i="4" s="1"/>
  <c r="G109" i="4"/>
  <c r="P173" i="4" s="1"/>
  <c r="F109" i="4"/>
  <c r="O173" i="4" s="1"/>
  <c r="E109" i="4"/>
  <c r="P161" i="4" s="1"/>
  <c r="D109" i="4"/>
  <c r="O161" i="4" s="1"/>
  <c r="C109" i="4"/>
  <c r="B109" i="4"/>
  <c r="O149" i="4" s="1"/>
  <c r="K108" i="4"/>
  <c r="P196" i="4" s="1"/>
  <c r="J108" i="4"/>
  <c r="O196" i="4" s="1"/>
  <c r="I108" i="4"/>
  <c r="P184" i="4" s="1"/>
  <c r="H108" i="4"/>
  <c r="O184" i="4" s="1"/>
  <c r="G108" i="4"/>
  <c r="P172" i="4" s="1"/>
  <c r="F108" i="4"/>
  <c r="O172" i="4" s="1"/>
  <c r="E108" i="4"/>
  <c r="P160" i="4" s="1"/>
  <c r="D108" i="4"/>
  <c r="O160" i="4" s="1"/>
  <c r="C108" i="4"/>
  <c r="P148" i="4" s="1"/>
  <c r="B108" i="4"/>
  <c r="O148" i="4" s="1"/>
  <c r="K107" i="4"/>
  <c r="P195" i="4" s="1"/>
  <c r="J107" i="4"/>
  <c r="O195" i="4" s="1"/>
  <c r="I107" i="4"/>
  <c r="P183" i="4" s="1"/>
  <c r="H107" i="4"/>
  <c r="O183" i="4" s="1"/>
  <c r="G107" i="4"/>
  <c r="P171" i="4" s="1"/>
  <c r="F107" i="4"/>
  <c r="O171" i="4" s="1"/>
  <c r="E107" i="4"/>
  <c r="P159" i="4" s="1"/>
  <c r="D107" i="4"/>
  <c r="O159" i="4" s="1"/>
  <c r="C107" i="4"/>
  <c r="P147" i="4" s="1"/>
  <c r="B107" i="4"/>
  <c r="O147" i="4" s="1"/>
  <c r="K106" i="4"/>
  <c r="J106" i="4"/>
  <c r="I106" i="4"/>
  <c r="H106" i="4"/>
  <c r="G106" i="4"/>
  <c r="F106" i="4"/>
  <c r="E106" i="4"/>
  <c r="D106" i="4"/>
  <c r="C106" i="4"/>
  <c r="P145" i="4" s="1"/>
  <c r="B106" i="4"/>
  <c r="O145" i="4" s="1"/>
  <c r="K88" i="4"/>
  <c r="J88" i="4"/>
  <c r="I88" i="4"/>
  <c r="H88" i="4"/>
  <c r="G88" i="4"/>
  <c r="F88" i="4"/>
  <c r="E88" i="4"/>
  <c r="D88" i="4"/>
  <c r="C88" i="4"/>
  <c r="B88" i="4"/>
  <c r="K87" i="4"/>
  <c r="P137" i="4" s="1"/>
  <c r="J87" i="4"/>
  <c r="O137" i="4" s="1"/>
  <c r="I87" i="4"/>
  <c r="P125" i="4" s="1"/>
  <c r="H87" i="4"/>
  <c r="O125" i="4" s="1"/>
  <c r="G87" i="4"/>
  <c r="P113" i="4" s="1"/>
  <c r="F87" i="4"/>
  <c r="O113" i="4" s="1"/>
  <c r="E87" i="4"/>
  <c r="P101" i="4" s="1"/>
  <c r="D87" i="4"/>
  <c r="O101" i="4" s="1"/>
  <c r="C87" i="4"/>
  <c r="P89" i="4" s="1"/>
  <c r="B87" i="4"/>
  <c r="O89" i="4" s="1"/>
  <c r="K86" i="4"/>
  <c r="P136" i="4" s="1"/>
  <c r="J86" i="4"/>
  <c r="O136" i="4" s="1"/>
  <c r="I86" i="4"/>
  <c r="P124" i="4" s="1"/>
  <c r="H86" i="4"/>
  <c r="O124" i="4" s="1"/>
  <c r="G86" i="4"/>
  <c r="P112" i="4" s="1"/>
  <c r="F86" i="4"/>
  <c r="O112" i="4" s="1"/>
  <c r="E86" i="4"/>
  <c r="P100" i="4" s="1"/>
  <c r="D86" i="4"/>
  <c r="O100" i="4" s="1"/>
  <c r="C86" i="4"/>
  <c r="P88" i="4" s="1"/>
  <c r="B86" i="4"/>
  <c r="O88" i="4" s="1"/>
  <c r="K85" i="4"/>
  <c r="P135" i="4" s="1"/>
  <c r="J85" i="4"/>
  <c r="O135" i="4" s="1"/>
  <c r="I85" i="4"/>
  <c r="P123" i="4" s="1"/>
  <c r="H85" i="4"/>
  <c r="O123" i="4" s="1"/>
  <c r="G85" i="4"/>
  <c r="P111" i="4" s="1"/>
  <c r="F85" i="4"/>
  <c r="O111" i="4" s="1"/>
  <c r="E85" i="4"/>
  <c r="P99" i="4" s="1"/>
  <c r="D85" i="4"/>
  <c r="O99" i="4" s="1"/>
  <c r="C85" i="4"/>
  <c r="P87" i="4" s="1"/>
  <c r="B85" i="4"/>
  <c r="O87" i="4" s="1"/>
  <c r="K84" i="4"/>
  <c r="P134" i="4" s="1"/>
  <c r="J84" i="4"/>
  <c r="O134" i="4" s="1"/>
  <c r="I84" i="4"/>
  <c r="P122" i="4" s="1"/>
  <c r="H84" i="4"/>
  <c r="O122" i="4" s="1"/>
  <c r="G84" i="4"/>
  <c r="P110" i="4" s="1"/>
  <c r="F84" i="4"/>
  <c r="O110" i="4" s="1"/>
  <c r="E84" i="4"/>
  <c r="P98" i="4" s="1"/>
  <c r="D84" i="4"/>
  <c r="O98" i="4" s="1"/>
  <c r="C84" i="4"/>
  <c r="P86" i="4" s="1"/>
  <c r="B84" i="4"/>
  <c r="O86" i="4" s="1"/>
  <c r="K83" i="4"/>
  <c r="P133" i="4" s="1"/>
  <c r="J83" i="4"/>
  <c r="O133" i="4" s="1"/>
  <c r="I83" i="4"/>
  <c r="P121" i="4" s="1"/>
  <c r="H83" i="4"/>
  <c r="O121" i="4" s="1"/>
  <c r="G83" i="4"/>
  <c r="P109" i="4" s="1"/>
  <c r="F83" i="4"/>
  <c r="O109" i="4" s="1"/>
  <c r="E83" i="4"/>
  <c r="P97" i="4" s="1"/>
  <c r="D83" i="4"/>
  <c r="O97" i="4" s="1"/>
  <c r="C83" i="4"/>
  <c r="P85" i="4" s="1"/>
  <c r="B83" i="4"/>
  <c r="O85" i="4" s="1"/>
  <c r="K82" i="4"/>
  <c r="P132" i="4" s="1"/>
  <c r="J82" i="4"/>
  <c r="O132" i="4" s="1"/>
  <c r="I82" i="4"/>
  <c r="P120" i="4" s="1"/>
  <c r="H82" i="4"/>
  <c r="O120" i="4" s="1"/>
  <c r="G82" i="4"/>
  <c r="P108" i="4" s="1"/>
  <c r="F82" i="4"/>
  <c r="O108" i="4" s="1"/>
  <c r="E82" i="4"/>
  <c r="P96" i="4" s="1"/>
  <c r="D82" i="4"/>
  <c r="O96" i="4" s="1"/>
  <c r="C82" i="4"/>
  <c r="P84" i="4" s="1"/>
  <c r="B82" i="4"/>
  <c r="O84" i="4" s="1"/>
  <c r="K81" i="4"/>
  <c r="P131" i="4" s="1"/>
  <c r="J81" i="4"/>
  <c r="O131" i="4" s="1"/>
  <c r="I81" i="4"/>
  <c r="P119" i="4" s="1"/>
  <c r="H81" i="4"/>
  <c r="O119" i="4" s="1"/>
  <c r="G81" i="4"/>
  <c r="P107" i="4" s="1"/>
  <c r="F81" i="4"/>
  <c r="O107" i="4" s="1"/>
  <c r="E81" i="4"/>
  <c r="P95" i="4" s="1"/>
  <c r="D81" i="4"/>
  <c r="O95" i="4" s="1"/>
  <c r="C81" i="4"/>
  <c r="P83" i="4" s="1"/>
  <c r="B81" i="4"/>
  <c r="O83" i="4" s="1"/>
  <c r="K80" i="4"/>
  <c r="P130" i="4" s="1"/>
  <c r="J80" i="4"/>
  <c r="O130" i="4" s="1"/>
  <c r="I80" i="4"/>
  <c r="P118" i="4" s="1"/>
  <c r="H80" i="4"/>
  <c r="O118" i="4" s="1"/>
  <c r="G80" i="4"/>
  <c r="P106" i="4" s="1"/>
  <c r="F80" i="4"/>
  <c r="O106" i="4" s="1"/>
  <c r="E80" i="4"/>
  <c r="P94" i="4" s="1"/>
  <c r="D80" i="4"/>
  <c r="O94" i="4" s="1"/>
  <c r="C80" i="4"/>
  <c r="P82" i="4" s="1"/>
  <c r="B80" i="4"/>
  <c r="O82" i="4" s="1"/>
  <c r="K79" i="4"/>
  <c r="P129" i="4" s="1"/>
  <c r="J79" i="4"/>
  <c r="O129" i="4" s="1"/>
  <c r="I79" i="4"/>
  <c r="P117" i="4" s="1"/>
  <c r="H79" i="4"/>
  <c r="O117" i="4" s="1"/>
  <c r="G79" i="4"/>
  <c r="P105" i="4" s="1"/>
  <c r="F79" i="4"/>
  <c r="O105" i="4" s="1"/>
  <c r="E79" i="4"/>
  <c r="P93" i="4" s="1"/>
  <c r="D79" i="4"/>
  <c r="O93" i="4" s="1"/>
  <c r="C79" i="4"/>
  <c r="P81" i="4" s="1"/>
  <c r="B79" i="4"/>
  <c r="O81" i="4" s="1"/>
  <c r="K78" i="4"/>
  <c r="P128" i="4" s="1"/>
  <c r="J78" i="4"/>
  <c r="O128" i="4" s="1"/>
  <c r="I78" i="4"/>
  <c r="P116" i="4" s="1"/>
  <c r="H78" i="4"/>
  <c r="O116" i="4" s="1"/>
  <c r="G78" i="4"/>
  <c r="P104" i="4" s="1"/>
  <c r="F78" i="4"/>
  <c r="O104" i="4" s="1"/>
  <c r="E78" i="4"/>
  <c r="P92" i="4" s="1"/>
  <c r="D78" i="4"/>
  <c r="O92" i="4" s="1"/>
  <c r="C78" i="4"/>
  <c r="P80" i="4" s="1"/>
  <c r="B78" i="4"/>
  <c r="O80" i="4" s="1"/>
  <c r="O77" i="4"/>
  <c r="K77" i="4"/>
  <c r="P127" i="4" s="1"/>
  <c r="J77" i="4"/>
  <c r="O127" i="4" s="1"/>
  <c r="I77" i="4"/>
  <c r="P115" i="4" s="1"/>
  <c r="H77" i="4"/>
  <c r="O115" i="4" s="1"/>
  <c r="G77" i="4"/>
  <c r="P103" i="4" s="1"/>
  <c r="F77" i="4"/>
  <c r="O103" i="4" s="1"/>
  <c r="E77" i="4"/>
  <c r="P91" i="4" s="1"/>
  <c r="D77" i="4"/>
  <c r="O91" i="4" s="1"/>
  <c r="C77" i="4"/>
  <c r="P79" i="4" s="1"/>
  <c r="B77" i="4"/>
  <c r="O79" i="4" s="1"/>
  <c r="O76" i="4"/>
  <c r="K76" i="4"/>
  <c r="P126" i="4" s="1"/>
  <c r="J76" i="4"/>
  <c r="O126" i="4" s="1"/>
  <c r="I76" i="4"/>
  <c r="P114" i="4" s="1"/>
  <c r="H76" i="4"/>
  <c r="O114" i="4" s="1"/>
  <c r="G76" i="4"/>
  <c r="P102" i="4" s="1"/>
  <c r="F76" i="4"/>
  <c r="O102" i="4" s="1"/>
  <c r="E76" i="4"/>
  <c r="P90" i="4" s="1"/>
  <c r="D76" i="4"/>
  <c r="O90" i="4" s="1"/>
  <c r="C76" i="4"/>
  <c r="B76" i="4"/>
  <c r="O78" i="4" s="1"/>
  <c r="W75" i="4"/>
  <c r="V75" i="4"/>
  <c r="U75" i="4"/>
  <c r="T75" i="4"/>
  <c r="S75" i="4"/>
  <c r="R75" i="4"/>
  <c r="Q75" i="4"/>
  <c r="K75" i="4"/>
  <c r="J75" i="4"/>
  <c r="I75" i="4"/>
  <c r="H75" i="4"/>
  <c r="G75" i="4"/>
  <c r="F75" i="4"/>
  <c r="E75" i="4"/>
  <c r="D75" i="4"/>
  <c r="C75" i="4"/>
  <c r="P75" i="4" s="1"/>
  <c r="B75" i="4"/>
  <c r="O75" i="4" s="1"/>
  <c r="G26" i="4"/>
  <c r="F26" i="4"/>
  <c r="E26" i="4"/>
  <c r="N23" i="4"/>
  <c r="N22" i="4"/>
  <c r="H22" i="4"/>
  <c r="J22" i="4" s="1"/>
  <c r="G22" i="4"/>
  <c r="F22" i="4"/>
  <c r="E22" i="4"/>
  <c r="D22" i="4"/>
  <c r="C22" i="4"/>
  <c r="B22" i="4"/>
  <c r="A22" i="4"/>
  <c r="L23" i="4" s="1"/>
  <c r="N21" i="4"/>
  <c r="H21" i="4"/>
  <c r="J21" i="4" s="1"/>
  <c r="G21" i="4"/>
  <c r="F21" i="4"/>
  <c r="E21" i="4"/>
  <c r="D21" i="4"/>
  <c r="C21" i="4"/>
  <c r="B21" i="4"/>
  <c r="A21" i="4"/>
  <c r="L22" i="4" s="1"/>
  <c r="N20" i="4"/>
  <c r="H20" i="4"/>
  <c r="J20" i="4" s="1"/>
  <c r="G20" i="4"/>
  <c r="F20" i="4"/>
  <c r="E20" i="4"/>
  <c r="D20" i="4"/>
  <c r="C20" i="4"/>
  <c r="B20" i="4"/>
  <c r="A20" i="4"/>
  <c r="H19" i="4"/>
  <c r="C39" i="4" s="1"/>
  <c r="G19" i="4"/>
  <c r="F19" i="4"/>
  <c r="E19" i="4"/>
  <c r="D19" i="4"/>
  <c r="C19" i="4"/>
  <c r="B19" i="4"/>
  <c r="A19" i="4"/>
  <c r="A63" i="4" s="1"/>
  <c r="H18" i="4"/>
  <c r="G18" i="4"/>
  <c r="F18" i="4"/>
  <c r="E18" i="4"/>
  <c r="D18" i="4"/>
  <c r="C18" i="4"/>
  <c r="B18" i="4"/>
  <c r="A18" i="4"/>
  <c r="L19" i="4" s="1"/>
  <c r="H17" i="4"/>
  <c r="G17" i="4"/>
  <c r="F17" i="4"/>
  <c r="E17" i="4"/>
  <c r="D17" i="4"/>
  <c r="C17" i="4"/>
  <c r="B17" i="4"/>
  <c r="A17" i="4"/>
  <c r="L18" i="4" s="1"/>
  <c r="H16" i="4"/>
  <c r="G16" i="4"/>
  <c r="F16" i="4"/>
  <c r="E16" i="4"/>
  <c r="D16" i="4"/>
  <c r="C16" i="4"/>
  <c r="B16" i="4"/>
  <c r="A16" i="4"/>
  <c r="A60" i="4" s="1"/>
  <c r="H15" i="4"/>
  <c r="G15" i="4"/>
  <c r="F15" i="4"/>
  <c r="E15" i="4"/>
  <c r="D15" i="4"/>
  <c r="C15" i="4"/>
  <c r="B15" i="4"/>
  <c r="A15" i="4"/>
  <c r="L16" i="4" s="1"/>
  <c r="H14" i="4"/>
  <c r="G14" i="4"/>
  <c r="F14" i="4"/>
  <c r="E14" i="4"/>
  <c r="D14" i="4"/>
  <c r="C14" i="4"/>
  <c r="B14" i="4"/>
  <c r="A14" i="4"/>
  <c r="I14" i="4" s="1"/>
  <c r="H13" i="4"/>
  <c r="G13" i="4"/>
  <c r="F13" i="4"/>
  <c r="E13" i="4"/>
  <c r="D13" i="4"/>
  <c r="C13" i="4"/>
  <c r="B13" i="4"/>
  <c r="A13" i="4"/>
  <c r="L14" i="4" s="1"/>
  <c r="H12" i="4"/>
  <c r="G12" i="4"/>
  <c r="F12" i="4"/>
  <c r="E12" i="4"/>
  <c r="D12" i="4"/>
  <c r="C12" i="4"/>
  <c r="B12" i="4"/>
  <c r="A12" i="4"/>
  <c r="A56" i="4" s="1"/>
  <c r="H11" i="4"/>
  <c r="G11" i="4"/>
  <c r="F11" i="4"/>
  <c r="E11" i="4"/>
  <c r="D11" i="4"/>
  <c r="C11" i="4"/>
  <c r="B11" i="4"/>
  <c r="A11" i="4"/>
  <c r="H10" i="4"/>
  <c r="B34" i="4" s="1"/>
  <c r="G10" i="4"/>
  <c r="F10" i="4"/>
  <c r="E10" i="4"/>
  <c r="D10" i="4"/>
  <c r="C10" i="4"/>
  <c r="B10" i="4"/>
  <c r="A10" i="4"/>
  <c r="I10" i="4" s="1"/>
  <c r="H9" i="4"/>
  <c r="C29" i="4" s="1"/>
  <c r="G9" i="4"/>
  <c r="F9" i="4"/>
  <c r="E9" i="4"/>
  <c r="D9" i="4"/>
  <c r="C9" i="4"/>
  <c r="B9" i="4"/>
  <c r="A9" i="4"/>
  <c r="A33" i="4" s="1"/>
  <c r="H8" i="4"/>
  <c r="C28" i="4" s="1"/>
  <c r="G8" i="4"/>
  <c r="F8" i="4"/>
  <c r="E8" i="4"/>
  <c r="D8" i="4"/>
  <c r="C8" i="4"/>
  <c r="B8" i="4"/>
  <c r="A8" i="4"/>
  <c r="A32" i="4" s="1"/>
  <c r="H7" i="4"/>
  <c r="C27" i="4" s="1"/>
  <c r="G7" i="4"/>
  <c r="F7" i="4"/>
  <c r="E7" i="4"/>
  <c r="D7" i="4"/>
  <c r="C7" i="4"/>
  <c r="B7" i="4"/>
  <c r="A7" i="4"/>
  <c r="H6" i="4"/>
  <c r="B35" i="1" s="1"/>
  <c r="G6" i="4"/>
  <c r="F6" i="4"/>
  <c r="E6" i="4"/>
  <c r="D6" i="4"/>
  <c r="C6" i="4"/>
  <c r="B6" i="4"/>
  <c r="A6" i="4"/>
  <c r="I6" i="4" s="1"/>
  <c r="H5" i="4"/>
  <c r="B45" i="1" s="1"/>
  <c r="G5" i="4"/>
  <c r="F5" i="4"/>
  <c r="E5" i="4"/>
  <c r="D5" i="4"/>
  <c r="C5" i="4"/>
  <c r="B5" i="4"/>
  <c r="A5" i="4"/>
  <c r="A49" i="4" s="1"/>
  <c r="H4" i="4"/>
  <c r="G4" i="4"/>
  <c r="F4" i="4"/>
  <c r="E4" i="4"/>
  <c r="D4" i="4"/>
  <c r="C4" i="4"/>
  <c r="B4" i="4"/>
  <c r="A4" i="4"/>
  <c r="I4" i="4" s="1"/>
  <c r="H3" i="4"/>
  <c r="B27" i="4" s="1"/>
  <c r="G3" i="4"/>
  <c r="F3" i="4"/>
  <c r="E3" i="4"/>
  <c r="D3" i="4"/>
  <c r="C3" i="4"/>
  <c r="B3" i="4"/>
  <c r="A3" i="4"/>
  <c r="A27" i="4" s="1"/>
  <c r="H2" i="4"/>
  <c r="G2" i="4"/>
  <c r="F2" i="4"/>
  <c r="E2" i="4"/>
  <c r="D2" i="4"/>
  <c r="C2" i="4"/>
  <c r="B2" i="4"/>
  <c r="A2" i="4"/>
  <c r="A1" i="4"/>
  <c r="E122" i="3"/>
  <c r="D122" i="3"/>
  <c r="C122" i="3"/>
  <c r="B122" i="3"/>
  <c r="A122" i="3"/>
  <c r="E121" i="3"/>
  <c r="D121" i="3"/>
  <c r="C121" i="3"/>
  <c r="B121" i="3"/>
  <c r="A121" i="3"/>
  <c r="E120" i="3"/>
  <c r="D120" i="3"/>
  <c r="C120" i="3"/>
  <c r="B120" i="3"/>
  <c r="A120" i="3"/>
  <c r="E119" i="3"/>
  <c r="D119" i="3"/>
  <c r="C119" i="3"/>
  <c r="B119" i="3"/>
  <c r="A119" i="3"/>
  <c r="E118" i="3"/>
  <c r="D118" i="3"/>
  <c r="C118" i="3"/>
  <c r="B118" i="3"/>
  <c r="A118" i="3"/>
  <c r="E117" i="3"/>
  <c r="D117" i="3"/>
  <c r="C117" i="3"/>
  <c r="B117" i="3"/>
  <c r="A117" i="3"/>
  <c r="E116" i="3"/>
  <c r="D116" i="3"/>
  <c r="C116" i="3"/>
  <c r="B116" i="3"/>
  <c r="A116" i="3"/>
  <c r="E115" i="3"/>
  <c r="D115" i="3"/>
  <c r="C115" i="3"/>
  <c r="B115" i="3"/>
  <c r="A115" i="3"/>
  <c r="E114" i="3"/>
  <c r="D114" i="3"/>
  <c r="C114" i="3"/>
  <c r="B114" i="3"/>
  <c r="A114" i="3"/>
  <c r="E113" i="3"/>
  <c r="D113" i="3"/>
  <c r="C113" i="3"/>
  <c r="B113" i="3"/>
  <c r="A113" i="3"/>
  <c r="E112" i="3"/>
  <c r="D112" i="3"/>
  <c r="C112" i="3"/>
  <c r="B112" i="3"/>
  <c r="A112" i="3"/>
  <c r="E111" i="3"/>
  <c r="D111" i="3"/>
  <c r="C111" i="3"/>
  <c r="B111" i="3"/>
  <c r="A111" i="3"/>
  <c r="E110" i="3"/>
  <c r="D110" i="3"/>
  <c r="C110" i="3"/>
  <c r="B110" i="3"/>
  <c r="A110" i="3"/>
  <c r="E109" i="3"/>
  <c r="D109" i="3"/>
  <c r="C109" i="3"/>
  <c r="B109" i="3"/>
  <c r="A109" i="3"/>
  <c r="E108" i="3"/>
  <c r="D108" i="3"/>
  <c r="C108" i="3"/>
  <c r="B108" i="3"/>
  <c r="A108" i="3"/>
  <c r="E107" i="3"/>
  <c r="D107" i="3"/>
  <c r="C107" i="3"/>
  <c r="B107" i="3"/>
  <c r="A107" i="3"/>
  <c r="E106" i="3"/>
  <c r="D106" i="3"/>
  <c r="C106" i="3"/>
  <c r="B106" i="3"/>
  <c r="A106" i="3"/>
  <c r="E105" i="3"/>
  <c r="D105" i="3"/>
  <c r="C105" i="3"/>
  <c r="B105" i="3"/>
  <c r="A105" i="3"/>
  <c r="E104" i="3"/>
  <c r="D104" i="3"/>
  <c r="C104" i="3"/>
  <c r="B104" i="3"/>
  <c r="A104" i="3"/>
  <c r="E103" i="3"/>
  <c r="D103" i="3"/>
  <c r="C103" i="3"/>
  <c r="B103" i="3"/>
  <c r="A103" i="3"/>
  <c r="E102" i="3"/>
  <c r="D102" i="3"/>
  <c r="C102" i="3"/>
  <c r="B102" i="3"/>
  <c r="A102" i="3"/>
  <c r="E101" i="3"/>
  <c r="D101" i="3"/>
  <c r="C101" i="3"/>
  <c r="B101" i="3"/>
  <c r="A101" i="3"/>
  <c r="K87" i="3"/>
  <c r="J87" i="3"/>
  <c r="I87" i="3"/>
  <c r="G87" i="3"/>
  <c r="F87" i="3"/>
  <c r="E87" i="3"/>
  <c r="D87" i="3"/>
  <c r="C87" i="3"/>
  <c r="B87" i="3"/>
  <c r="A87" i="3"/>
  <c r="K86" i="3"/>
  <c r="J86" i="3"/>
  <c r="I86" i="3"/>
  <c r="G86" i="3"/>
  <c r="F86" i="3"/>
  <c r="E86" i="3"/>
  <c r="D86" i="3"/>
  <c r="C86" i="3"/>
  <c r="B86" i="3"/>
  <c r="A86" i="3"/>
  <c r="K85" i="3"/>
  <c r="J85" i="3"/>
  <c r="I85" i="3"/>
  <c r="G85" i="3"/>
  <c r="F85" i="3"/>
  <c r="E85" i="3"/>
  <c r="D85" i="3"/>
  <c r="C85" i="3"/>
  <c r="B85" i="3"/>
  <c r="A85" i="3"/>
  <c r="K84" i="3"/>
  <c r="J84" i="3"/>
  <c r="I84" i="3"/>
  <c r="G84" i="3"/>
  <c r="F84" i="3"/>
  <c r="E84" i="3"/>
  <c r="D84" i="3"/>
  <c r="C84" i="3"/>
  <c r="B84" i="3"/>
  <c r="A84" i="3"/>
  <c r="K83" i="3"/>
  <c r="J83" i="3"/>
  <c r="I83" i="3"/>
  <c r="G83" i="3"/>
  <c r="F83" i="3"/>
  <c r="E83" i="3"/>
  <c r="D83" i="3"/>
  <c r="C83" i="3"/>
  <c r="B83" i="3"/>
  <c r="A83" i="3"/>
  <c r="K82" i="3"/>
  <c r="J82" i="3"/>
  <c r="I82" i="3"/>
  <c r="G82" i="3"/>
  <c r="F82" i="3"/>
  <c r="E82" i="3"/>
  <c r="D82" i="3"/>
  <c r="C82" i="3"/>
  <c r="B82" i="3"/>
  <c r="A82" i="3"/>
  <c r="K81" i="3"/>
  <c r="J81" i="3"/>
  <c r="I81" i="3"/>
  <c r="G81" i="3"/>
  <c r="F81" i="3"/>
  <c r="E81" i="3"/>
  <c r="D81" i="3"/>
  <c r="C81" i="3"/>
  <c r="B81" i="3"/>
  <c r="A81" i="3"/>
  <c r="K80" i="3"/>
  <c r="J80" i="3"/>
  <c r="I80" i="3"/>
  <c r="G80" i="3"/>
  <c r="F80" i="3"/>
  <c r="E80" i="3"/>
  <c r="D80" i="3"/>
  <c r="C80" i="3"/>
  <c r="B80" i="3"/>
  <c r="A80" i="3"/>
  <c r="K79" i="3"/>
  <c r="J79" i="3"/>
  <c r="I79" i="3"/>
  <c r="G79" i="3"/>
  <c r="F79" i="3"/>
  <c r="E79" i="3"/>
  <c r="D79" i="3"/>
  <c r="C79" i="3"/>
  <c r="B79" i="3"/>
  <c r="A79" i="3"/>
  <c r="K78" i="3"/>
  <c r="J78" i="3"/>
  <c r="I78" i="3"/>
  <c r="G78" i="3"/>
  <c r="F78" i="3"/>
  <c r="E78" i="3"/>
  <c r="D78" i="3"/>
  <c r="C78" i="3"/>
  <c r="B78" i="3"/>
  <c r="A78" i="3"/>
  <c r="K77" i="3"/>
  <c r="J77" i="3"/>
  <c r="I77" i="3"/>
  <c r="H77" i="3"/>
  <c r="G77" i="3"/>
  <c r="F77" i="3"/>
  <c r="E77" i="3"/>
  <c r="D77" i="3"/>
  <c r="C77" i="3"/>
  <c r="B77" i="3"/>
  <c r="A77" i="3"/>
  <c r="K76" i="3"/>
  <c r="J76" i="3"/>
  <c r="I76" i="3"/>
  <c r="H76" i="3"/>
  <c r="G76" i="3"/>
  <c r="F76" i="3"/>
  <c r="E76" i="3"/>
  <c r="D76" i="3"/>
  <c r="C76" i="3"/>
  <c r="B76" i="3"/>
  <c r="A76" i="3"/>
  <c r="K75" i="3"/>
  <c r="J75" i="3"/>
  <c r="I75" i="3"/>
  <c r="H75" i="3"/>
  <c r="G75" i="3"/>
  <c r="F75" i="3"/>
  <c r="E75" i="3"/>
  <c r="D75" i="3"/>
  <c r="C75" i="3"/>
  <c r="B75" i="3"/>
  <c r="A75" i="3"/>
  <c r="K74" i="3"/>
  <c r="J74" i="3"/>
  <c r="I74" i="3"/>
  <c r="H74" i="3"/>
  <c r="G74" i="3"/>
  <c r="F74" i="3"/>
  <c r="E74" i="3"/>
  <c r="D74" i="3"/>
  <c r="C74" i="3"/>
  <c r="B74" i="3"/>
  <c r="A74" i="3"/>
  <c r="K73" i="3"/>
  <c r="J73" i="3"/>
  <c r="I73" i="3"/>
  <c r="H73" i="3"/>
  <c r="G73" i="3"/>
  <c r="F73" i="3"/>
  <c r="E73" i="3"/>
  <c r="D73" i="3"/>
  <c r="C73" i="3"/>
  <c r="B73" i="3"/>
  <c r="A73" i="3"/>
  <c r="K72" i="3"/>
  <c r="J72" i="3"/>
  <c r="I72" i="3"/>
  <c r="H72" i="3"/>
  <c r="G72" i="3"/>
  <c r="F72" i="3"/>
  <c r="E72" i="3"/>
  <c r="D72" i="3"/>
  <c r="C72" i="3"/>
  <c r="B72" i="3"/>
  <c r="A72" i="3"/>
  <c r="K71" i="3"/>
  <c r="J71" i="3"/>
  <c r="I71" i="3"/>
  <c r="H71" i="3"/>
  <c r="G71" i="3"/>
  <c r="F71" i="3"/>
  <c r="E71" i="3"/>
  <c r="D71" i="3"/>
  <c r="C71" i="3"/>
  <c r="B71" i="3"/>
  <c r="A71" i="3"/>
  <c r="K70" i="3"/>
  <c r="J70" i="3"/>
  <c r="I70" i="3"/>
  <c r="H70" i="3"/>
  <c r="G70" i="3"/>
  <c r="F70" i="3"/>
  <c r="E70" i="3"/>
  <c r="D70" i="3"/>
  <c r="C70" i="3"/>
  <c r="B70" i="3"/>
  <c r="A70" i="3"/>
  <c r="K69" i="3"/>
  <c r="J69" i="3"/>
  <c r="I69" i="3"/>
  <c r="H69" i="3"/>
  <c r="G69" i="3"/>
  <c r="F69" i="3"/>
  <c r="E69" i="3"/>
  <c r="D69" i="3"/>
  <c r="C69" i="3"/>
  <c r="B69" i="3"/>
  <c r="A69" i="3"/>
  <c r="K68" i="3"/>
  <c r="J68" i="3"/>
  <c r="I68" i="3"/>
  <c r="H68" i="3"/>
  <c r="G68" i="3"/>
  <c r="F68" i="3"/>
  <c r="E68" i="3"/>
  <c r="D68" i="3"/>
  <c r="C68" i="3"/>
  <c r="B68" i="3"/>
  <c r="A68" i="3"/>
  <c r="K67" i="3"/>
  <c r="J67" i="3"/>
  <c r="I67" i="3"/>
  <c r="H67" i="3"/>
  <c r="G67" i="3"/>
  <c r="F67" i="3"/>
  <c r="E67" i="3"/>
  <c r="D67" i="3"/>
  <c r="C67" i="3"/>
  <c r="B67" i="3"/>
  <c r="A67" i="3"/>
  <c r="K66" i="3"/>
  <c r="J66" i="3"/>
  <c r="I66" i="3"/>
  <c r="H66" i="3"/>
  <c r="G66" i="3"/>
  <c r="F66" i="3"/>
  <c r="E66" i="3"/>
  <c r="D66" i="3"/>
  <c r="C66" i="3"/>
  <c r="B66" i="3"/>
  <c r="A66" i="3"/>
  <c r="K65" i="3"/>
  <c r="J65" i="3"/>
  <c r="I65" i="3"/>
  <c r="H65" i="3"/>
  <c r="G65" i="3"/>
  <c r="F65" i="3"/>
  <c r="E65" i="3"/>
  <c r="D65" i="3"/>
  <c r="C65" i="3"/>
  <c r="B65" i="3"/>
  <c r="A65" i="3"/>
  <c r="K64" i="3"/>
  <c r="J64" i="3"/>
  <c r="I64" i="3"/>
  <c r="H64" i="3"/>
  <c r="G64" i="3"/>
  <c r="F64" i="3"/>
  <c r="E64" i="3"/>
  <c r="D64" i="3"/>
  <c r="C64" i="3"/>
  <c r="B64" i="3"/>
  <c r="A64" i="3"/>
  <c r="K63" i="3"/>
  <c r="J63" i="3"/>
  <c r="I63" i="3"/>
  <c r="H63" i="3"/>
  <c r="G63" i="3"/>
  <c r="F63" i="3"/>
  <c r="E63" i="3"/>
  <c r="D63" i="3"/>
  <c r="C63" i="3"/>
  <c r="B63" i="3"/>
  <c r="A63" i="3"/>
  <c r="K62" i="3"/>
  <c r="J62" i="3"/>
  <c r="I62" i="3"/>
  <c r="H62" i="3"/>
  <c r="G62" i="3"/>
  <c r="F62" i="3"/>
  <c r="E62" i="3"/>
  <c r="D62" i="3"/>
  <c r="C62" i="3"/>
  <c r="B62" i="3"/>
  <c r="A62" i="3"/>
  <c r="K61" i="3"/>
  <c r="J61" i="3"/>
  <c r="I61" i="3"/>
  <c r="H61" i="3"/>
  <c r="G61" i="3"/>
  <c r="F61" i="3"/>
  <c r="E61" i="3"/>
  <c r="D61" i="3"/>
  <c r="C61" i="3"/>
  <c r="B61" i="3"/>
  <c r="A61" i="3"/>
  <c r="K60" i="3"/>
  <c r="J60" i="3"/>
  <c r="I60" i="3"/>
  <c r="H60" i="3"/>
  <c r="G60" i="3"/>
  <c r="F60" i="3"/>
  <c r="E60" i="3"/>
  <c r="D60" i="3"/>
  <c r="C60" i="3"/>
  <c r="B60" i="3"/>
  <c r="A60" i="3"/>
  <c r="K59" i="3"/>
  <c r="J59" i="3"/>
  <c r="I59" i="3"/>
  <c r="H59" i="3"/>
  <c r="G59" i="3"/>
  <c r="F59" i="3"/>
  <c r="E59" i="3"/>
  <c r="D59" i="3"/>
  <c r="C59" i="3"/>
  <c r="B59" i="3"/>
  <c r="A59" i="3"/>
  <c r="K58" i="3"/>
  <c r="J58" i="3"/>
  <c r="I58" i="3"/>
  <c r="H58" i="3"/>
  <c r="G58" i="3"/>
  <c r="F58" i="3"/>
  <c r="E58" i="3"/>
  <c r="D58" i="3"/>
  <c r="C58" i="3"/>
  <c r="B58" i="3"/>
  <c r="A58" i="3"/>
  <c r="K57" i="3"/>
  <c r="J57" i="3"/>
  <c r="I57" i="3"/>
  <c r="H57" i="3"/>
  <c r="G57" i="3"/>
  <c r="F57" i="3"/>
  <c r="E57" i="3"/>
  <c r="D57" i="3"/>
  <c r="C57" i="3"/>
  <c r="B57" i="3"/>
  <c r="A57" i="3"/>
  <c r="K56" i="3"/>
  <c r="J56" i="3"/>
  <c r="I56" i="3"/>
  <c r="H56" i="3"/>
  <c r="G56" i="3"/>
  <c r="F56" i="3"/>
  <c r="E56" i="3"/>
  <c r="D56" i="3"/>
  <c r="C56" i="3"/>
  <c r="B56" i="3"/>
  <c r="A56" i="3"/>
  <c r="K55" i="3"/>
  <c r="J55" i="3"/>
  <c r="I55" i="3"/>
  <c r="H55" i="3"/>
  <c r="G55" i="3"/>
  <c r="F55" i="3"/>
  <c r="E55" i="3"/>
  <c r="D55" i="3"/>
  <c r="C55" i="3"/>
  <c r="B55" i="3"/>
  <c r="A55" i="3"/>
  <c r="K54" i="3"/>
  <c r="J54" i="3"/>
  <c r="I54" i="3"/>
  <c r="H54" i="3"/>
  <c r="G54" i="3"/>
  <c r="F54" i="3"/>
  <c r="E54" i="3"/>
  <c r="D54" i="3"/>
  <c r="C54" i="3"/>
  <c r="B54" i="3"/>
  <c r="A54" i="3"/>
  <c r="K53" i="3"/>
  <c r="J53" i="3"/>
  <c r="I53" i="3"/>
  <c r="H53" i="3"/>
  <c r="G53" i="3"/>
  <c r="F53" i="3"/>
  <c r="E53" i="3"/>
  <c r="D53" i="3"/>
  <c r="C53" i="3"/>
  <c r="B53" i="3"/>
  <c r="A53" i="3"/>
  <c r="K52" i="3"/>
  <c r="J52" i="3"/>
  <c r="I52" i="3"/>
  <c r="H52" i="3"/>
  <c r="G52" i="3"/>
  <c r="F52" i="3"/>
  <c r="E52" i="3"/>
  <c r="D52" i="3"/>
  <c r="C52" i="3"/>
  <c r="B52" i="3"/>
  <c r="A52" i="3"/>
  <c r="K51" i="3"/>
  <c r="J51" i="3"/>
  <c r="I51" i="3"/>
  <c r="H51" i="3"/>
  <c r="G51" i="3"/>
  <c r="F51" i="3"/>
  <c r="E51" i="3"/>
  <c r="D51" i="3"/>
  <c r="C51" i="3"/>
  <c r="B51" i="3"/>
  <c r="A51" i="3"/>
  <c r="K50" i="3"/>
  <c r="J50" i="3"/>
  <c r="I50" i="3"/>
  <c r="H50" i="3"/>
  <c r="G50" i="3"/>
  <c r="F50" i="3"/>
  <c r="E50" i="3"/>
  <c r="D50" i="3"/>
  <c r="C50" i="3"/>
  <c r="B50" i="3"/>
  <c r="A50" i="3"/>
  <c r="K49" i="3"/>
  <c r="J49" i="3"/>
  <c r="I49" i="3"/>
  <c r="H49" i="3"/>
  <c r="G49" i="3"/>
  <c r="F49" i="3"/>
  <c r="E49" i="3"/>
  <c r="D49" i="3"/>
  <c r="C49" i="3"/>
  <c r="B49" i="3"/>
  <c r="A49" i="3"/>
  <c r="K48" i="3"/>
  <c r="J48" i="3"/>
  <c r="I48" i="3"/>
  <c r="H48" i="3"/>
  <c r="G48" i="3"/>
  <c r="F48" i="3"/>
  <c r="E48" i="3"/>
  <c r="D48" i="3"/>
  <c r="C48" i="3"/>
  <c r="B48" i="3"/>
  <c r="A48" i="3"/>
  <c r="K47" i="3"/>
  <c r="J47" i="3"/>
  <c r="I47" i="3"/>
  <c r="H47" i="3"/>
  <c r="G47" i="3"/>
  <c r="F47" i="3"/>
  <c r="E47" i="3"/>
  <c r="D47" i="3"/>
  <c r="C47" i="3"/>
  <c r="B47" i="3"/>
  <c r="A47" i="3"/>
  <c r="K46" i="3"/>
  <c r="J46" i="3"/>
  <c r="I46" i="3"/>
  <c r="H46" i="3"/>
  <c r="G46" i="3"/>
  <c r="F46" i="3"/>
  <c r="E46" i="3"/>
  <c r="D46" i="3"/>
  <c r="C46" i="3"/>
  <c r="B46" i="3"/>
  <c r="A46" i="3"/>
  <c r="K45" i="3"/>
  <c r="J45" i="3"/>
  <c r="I45" i="3"/>
  <c r="H45" i="3"/>
  <c r="G45" i="3"/>
  <c r="F45" i="3"/>
  <c r="E45" i="3"/>
  <c r="D45" i="3"/>
  <c r="C45" i="3"/>
  <c r="B45" i="3"/>
  <c r="A45" i="3"/>
  <c r="K44" i="3"/>
  <c r="J44" i="3"/>
  <c r="I44" i="3"/>
  <c r="H44" i="3"/>
  <c r="G44" i="3"/>
  <c r="F44" i="3"/>
  <c r="E44" i="3"/>
  <c r="D44" i="3"/>
  <c r="C44" i="3"/>
  <c r="B44" i="3"/>
  <c r="A44" i="3"/>
  <c r="K43" i="3"/>
  <c r="J43" i="3"/>
  <c r="I43" i="3"/>
  <c r="H43" i="3"/>
  <c r="G43" i="3"/>
  <c r="F43" i="3"/>
  <c r="E43" i="3"/>
  <c r="D43" i="3"/>
  <c r="C43" i="3"/>
  <c r="B43" i="3"/>
  <c r="A43" i="3"/>
  <c r="K42" i="3"/>
  <c r="J42" i="3"/>
  <c r="I42" i="3"/>
  <c r="H42" i="3"/>
  <c r="G42" i="3"/>
  <c r="F42" i="3"/>
  <c r="E42" i="3"/>
  <c r="D42" i="3"/>
  <c r="C42" i="3"/>
  <c r="B42" i="3"/>
  <c r="A42" i="3"/>
  <c r="K41" i="3"/>
  <c r="J41" i="3"/>
  <c r="I41" i="3"/>
  <c r="H41" i="3"/>
  <c r="G41" i="3"/>
  <c r="F41" i="3"/>
  <c r="E41" i="3"/>
  <c r="D41" i="3"/>
  <c r="C41" i="3"/>
  <c r="B41" i="3"/>
  <c r="A41" i="3"/>
  <c r="K40" i="3"/>
  <c r="J40" i="3"/>
  <c r="I40" i="3"/>
  <c r="H40" i="3"/>
  <c r="G40" i="3"/>
  <c r="F40" i="3"/>
  <c r="E40" i="3"/>
  <c r="D40" i="3"/>
  <c r="C40" i="3"/>
  <c r="B40" i="3"/>
  <c r="A40" i="3"/>
  <c r="K39" i="3"/>
  <c r="J39" i="3"/>
  <c r="I39" i="3"/>
  <c r="H39" i="3"/>
  <c r="G39" i="3"/>
  <c r="F39" i="3"/>
  <c r="E39" i="3"/>
  <c r="D39" i="3"/>
  <c r="C39" i="3"/>
  <c r="B39" i="3"/>
  <c r="A39" i="3"/>
  <c r="K38" i="3"/>
  <c r="J38" i="3"/>
  <c r="I38" i="3"/>
  <c r="H38" i="3"/>
  <c r="G38" i="3"/>
  <c r="F38" i="3"/>
  <c r="E38" i="3"/>
  <c r="D38" i="3"/>
  <c r="C38" i="3"/>
  <c r="B38" i="3"/>
  <c r="A38" i="3"/>
  <c r="K37" i="3"/>
  <c r="J37" i="3"/>
  <c r="I37" i="3"/>
  <c r="H37" i="3"/>
  <c r="G37" i="3"/>
  <c r="F37" i="3"/>
  <c r="E37" i="3"/>
  <c r="D37" i="3"/>
  <c r="C37" i="3"/>
  <c r="B37" i="3"/>
  <c r="A37" i="3"/>
  <c r="K36" i="3"/>
  <c r="J36" i="3"/>
  <c r="I36" i="3"/>
  <c r="H36" i="3"/>
  <c r="G36" i="3"/>
  <c r="F36" i="3"/>
  <c r="E36" i="3"/>
  <c r="D36" i="3"/>
  <c r="C36" i="3"/>
  <c r="B36" i="3"/>
  <c r="A36" i="3"/>
  <c r="K35" i="3"/>
  <c r="J35" i="3"/>
  <c r="I35" i="3"/>
  <c r="H35" i="3"/>
  <c r="G35" i="3"/>
  <c r="F35" i="3"/>
  <c r="E35" i="3"/>
  <c r="D35" i="3"/>
  <c r="C35" i="3"/>
  <c r="B35" i="3"/>
  <c r="A35" i="3"/>
  <c r="K34" i="3"/>
  <c r="J34" i="3"/>
  <c r="I34" i="3"/>
  <c r="H34" i="3"/>
  <c r="G34" i="3"/>
  <c r="F34" i="3"/>
  <c r="E34" i="3"/>
  <c r="D34" i="3"/>
  <c r="C34" i="3"/>
  <c r="B34" i="3"/>
  <c r="A34" i="3"/>
  <c r="K33" i="3"/>
  <c r="J33" i="3"/>
  <c r="I33" i="3"/>
  <c r="H33" i="3"/>
  <c r="G33" i="3"/>
  <c r="F33" i="3"/>
  <c r="E33" i="3"/>
  <c r="D33" i="3"/>
  <c r="C33" i="3"/>
  <c r="B33" i="3"/>
  <c r="A33" i="3"/>
  <c r="K32" i="3"/>
  <c r="J32" i="3"/>
  <c r="I32" i="3"/>
  <c r="H32" i="3"/>
  <c r="G32" i="3"/>
  <c r="F32" i="3"/>
  <c r="E32" i="3"/>
  <c r="D32" i="3"/>
  <c r="C32" i="3"/>
  <c r="B32" i="3"/>
  <c r="A32" i="3"/>
  <c r="K31" i="3"/>
  <c r="J31" i="3"/>
  <c r="I31" i="3"/>
  <c r="H31" i="3"/>
  <c r="G31" i="3"/>
  <c r="F31" i="3"/>
  <c r="E31" i="3"/>
  <c r="D31" i="3"/>
  <c r="C31" i="3"/>
  <c r="B31" i="3"/>
  <c r="A31" i="3"/>
  <c r="K30" i="3"/>
  <c r="J30" i="3"/>
  <c r="I30" i="3"/>
  <c r="H30" i="3"/>
  <c r="G30" i="3"/>
  <c r="F30" i="3"/>
  <c r="E30" i="3"/>
  <c r="D30" i="3"/>
  <c r="C30" i="3"/>
  <c r="B30" i="3"/>
  <c r="A30" i="3"/>
  <c r="K29" i="3"/>
  <c r="J29" i="3"/>
  <c r="I29" i="3"/>
  <c r="H29" i="3"/>
  <c r="G29" i="3"/>
  <c r="F29" i="3"/>
  <c r="E29" i="3"/>
  <c r="D29" i="3"/>
  <c r="C29" i="3"/>
  <c r="B29" i="3"/>
  <c r="A29" i="3"/>
  <c r="K28" i="3"/>
  <c r="J28" i="3"/>
  <c r="I28" i="3"/>
  <c r="H28" i="3"/>
  <c r="G28" i="3"/>
  <c r="F28" i="3"/>
  <c r="E28" i="3"/>
  <c r="D28" i="3"/>
  <c r="C28" i="3"/>
  <c r="B28" i="3"/>
  <c r="A28" i="3"/>
  <c r="K27" i="3"/>
  <c r="J27" i="3"/>
  <c r="I27" i="3"/>
  <c r="H27" i="3"/>
  <c r="G27" i="3"/>
  <c r="F27" i="3"/>
  <c r="E27" i="3"/>
  <c r="D27" i="3"/>
  <c r="C27" i="3"/>
  <c r="B27" i="3"/>
  <c r="A27" i="3"/>
  <c r="K26" i="3"/>
  <c r="J26" i="3"/>
  <c r="I26" i="3"/>
  <c r="H26" i="3"/>
  <c r="G26" i="3"/>
  <c r="F26" i="3"/>
  <c r="E26" i="3"/>
  <c r="D26" i="3"/>
  <c r="C26" i="3"/>
  <c r="B26" i="3"/>
  <c r="A26" i="3"/>
  <c r="K25" i="3"/>
  <c r="J25" i="3"/>
  <c r="I25" i="3"/>
  <c r="H25" i="3"/>
  <c r="G25" i="3"/>
  <c r="F25" i="3"/>
  <c r="E25" i="3"/>
  <c r="D25" i="3"/>
  <c r="C25" i="3"/>
  <c r="B25" i="3"/>
  <c r="A25" i="3"/>
  <c r="K24" i="3"/>
  <c r="J24" i="3"/>
  <c r="I24" i="3"/>
  <c r="H24" i="3"/>
  <c r="G24" i="3"/>
  <c r="F24" i="3"/>
  <c r="E24" i="3"/>
  <c r="Q32" i="3" s="1"/>
  <c r="D24" i="3"/>
  <c r="C24" i="3"/>
  <c r="B24" i="3"/>
  <c r="A24" i="3"/>
  <c r="P32" i="3" s="1"/>
  <c r="K23" i="3"/>
  <c r="J23" i="3"/>
  <c r="I23" i="3"/>
  <c r="H23" i="3"/>
  <c r="G23" i="3"/>
  <c r="F23" i="3"/>
  <c r="E23" i="3"/>
  <c r="Q31" i="3" s="1"/>
  <c r="D23" i="3"/>
  <c r="C23" i="3"/>
  <c r="B23" i="3"/>
  <c r="A23" i="3"/>
  <c r="P31" i="3" s="1"/>
  <c r="K22" i="3"/>
  <c r="J22" i="3"/>
  <c r="I22" i="3"/>
  <c r="H22" i="3"/>
  <c r="G22" i="3"/>
  <c r="F22" i="3"/>
  <c r="E22" i="3"/>
  <c r="Q30" i="3" s="1"/>
  <c r="D22" i="3"/>
  <c r="C22" i="3"/>
  <c r="B22" i="3"/>
  <c r="A22" i="3"/>
  <c r="P30" i="3" s="1"/>
  <c r="K21" i="3"/>
  <c r="J21" i="3"/>
  <c r="I21" i="3"/>
  <c r="H21" i="3"/>
  <c r="G21" i="3"/>
  <c r="F21" i="3"/>
  <c r="E21" i="3"/>
  <c r="Q29" i="3" s="1"/>
  <c r="D21" i="3"/>
  <c r="C21" i="3"/>
  <c r="B21" i="3"/>
  <c r="A21" i="3"/>
  <c r="P29" i="3" s="1"/>
  <c r="K20" i="3"/>
  <c r="J20" i="3"/>
  <c r="I20" i="3"/>
  <c r="H20" i="3"/>
  <c r="G20" i="3"/>
  <c r="F20" i="3"/>
  <c r="E20" i="3"/>
  <c r="Q28" i="3" s="1"/>
  <c r="D20" i="3"/>
  <c r="C20" i="3"/>
  <c r="B20" i="3"/>
  <c r="A20" i="3"/>
  <c r="P28" i="3" s="1"/>
  <c r="K19" i="3"/>
  <c r="J19" i="3"/>
  <c r="I19" i="3"/>
  <c r="H19" i="3"/>
  <c r="G19" i="3"/>
  <c r="F19" i="3"/>
  <c r="E19" i="3"/>
  <c r="Q27" i="3" s="1"/>
  <c r="D19" i="3"/>
  <c r="C19" i="3"/>
  <c r="B19" i="3"/>
  <c r="A19" i="3"/>
  <c r="P27" i="3" s="1"/>
  <c r="K18" i="3"/>
  <c r="J18" i="3"/>
  <c r="I18" i="3"/>
  <c r="H18" i="3"/>
  <c r="G18" i="3"/>
  <c r="F18" i="3"/>
  <c r="E18" i="3"/>
  <c r="Q26" i="3" s="1"/>
  <c r="D18" i="3"/>
  <c r="C18" i="3"/>
  <c r="B18" i="3"/>
  <c r="A18" i="3"/>
  <c r="P26" i="3" s="1"/>
  <c r="K17" i="3"/>
  <c r="J17" i="3"/>
  <c r="I17" i="3"/>
  <c r="H17" i="3"/>
  <c r="G17" i="3"/>
  <c r="F17" i="3"/>
  <c r="E17" i="3"/>
  <c r="Q25" i="3" s="1"/>
  <c r="D17" i="3"/>
  <c r="C17" i="3"/>
  <c r="B17" i="3"/>
  <c r="A17" i="3"/>
  <c r="P25" i="3" s="1"/>
  <c r="K16" i="3"/>
  <c r="J16" i="3"/>
  <c r="I16" i="3"/>
  <c r="H16" i="3"/>
  <c r="G16" i="3"/>
  <c r="F16" i="3"/>
  <c r="E16" i="3"/>
  <c r="Q24" i="3" s="1"/>
  <c r="D16" i="3"/>
  <c r="C16" i="3"/>
  <c r="B16" i="3"/>
  <c r="A16" i="3"/>
  <c r="P24" i="3" s="1"/>
  <c r="K15" i="3"/>
  <c r="J15" i="3"/>
  <c r="I15" i="3"/>
  <c r="H15" i="3"/>
  <c r="G15" i="3"/>
  <c r="F15" i="3"/>
  <c r="E15" i="3"/>
  <c r="Q23" i="3" s="1"/>
  <c r="D15" i="3"/>
  <c r="C15" i="3"/>
  <c r="B15" i="3"/>
  <c r="A15" i="3"/>
  <c r="P23" i="3" s="1"/>
  <c r="K14" i="3"/>
  <c r="J14" i="3"/>
  <c r="I14" i="3"/>
  <c r="H14" i="3"/>
  <c r="G14" i="3"/>
  <c r="F14" i="3"/>
  <c r="E14" i="3"/>
  <c r="Q22" i="3" s="1"/>
  <c r="D14" i="3"/>
  <c r="C14" i="3"/>
  <c r="B14" i="3"/>
  <c r="A14" i="3"/>
  <c r="P22" i="3" s="1"/>
  <c r="K13" i="3"/>
  <c r="J13" i="3"/>
  <c r="I13" i="3"/>
  <c r="H13" i="3"/>
  <c r="G13" i="3"/>
  <c r="F13" i="3"/>
  <c r="E13" i="3"/>
  <c r="Q21" i="3" s="1"/>
  <c r="D13" i="3"/>
  <c r="C13" i="3"/>
  <c r="B13" i="3"/>
  <c r="A13" i="3"/>
  <c r="P21" i="3" s="1"/>
  <c r="K12" i="3"/>
  <c r="J12" i="3"/>
  <c r="I12" i="3"/>
  <c r="H12" i="3"/>
  <c r="G12" i="3"/>
  <c r="F12" i="3"/>
  <c r="E12" i="3"/>
  <c r="Q20" i="3" s="1"/>
  <c r="D12" i="3"/>
  <c r="C12" i="3"/>
  <c r="B12" i="3"/>
  <c r="A12" i="3"/>
  <c r="P20" i="3" s="1"/>
  <c r="K11" i="3"/>
  <c r="J11" i="3"/>
  <c r="I11" i="3"/>
  <c r="H11" i="3"/>
  <c r="G11" i="3"/>
  <c r="F11" i="3"/>
  <c r="E11" i="3"/>
  <c r="Q19" i="3" s="1"/>
  <c r="D11" i="3"/>
  <c r="C11" i="3"/>
  <c r="B11" i="3"/>
  <c r="A11" i="3"/>
  <c r="P19" i="3" s="1"/>
  <c r="K10" i="3"/>
  <c r="J10" i="3"/>
  <c r="I10" i="3"/>
  <c r="H10" i="3"/>
  <c r="G10" i="3"/>
  <c r="F10" i="3"/>
  <c r="E10" i="3"/>
  <c r="Q18" i="3" s="1"/>
  <c r="D10" i="3"/>
  <c r="C10" i="3"/>
  <c r="B10" i="3"/>
  <c r="A10" i="3"/>
  <c r="P18" i="3" s="1"/>
  <c r="K9" i="3"/>
  <c r="J9" i="3"/>
  <c r="I9" i="3"/>
  <c r="H9" i="3"/>
  <c r="G9" i="3"/>
  <c r="F9" i="3"/>
  <c r="E9" i="3"/>
  <c r="Q17" i="3" s="1"/>
  <c r="D9" i="3"/>
  <c r="C9" i="3"/>
  <c r="B9" i="3"/>
  <c r="A9" i="3"/>
  <c r="P17" i="3" s="1"/>
  <c r="K8" i="3"/>
  <c r="J8" i="3"/>
  <c r="I8" i="3"/>
  <c r="H8" i="3"/>
  <c r="G8" i="3"/>
  <c r="F8" i="3"/>
  <c r="E8" i="3"/>
  <c r="Q16" i="3" s="1"/>
  <c r="D8" i="3"/>
  <c r="C8" i="3"/>
  <c r="B8" i="3"/>
  <c r="A8" i="3"/>
  <c r="P16" i="3" s="1"/>
  <c r="K7" i="3"/>
  <c r="J7" i="3"/>
  <c r="I7" i="3"/>
  <c r="H7" i="3"/>
  <c r="G7" i="3"/>
  <c r="F7" i="3"/>
  <c r="E7" i="3"/>
  <c r="Q15" i="3" s="1"/>
  <c r="D7" i="3"/>
  <c r="C7" i="3"/>
  <c r="B7" i="3"/>
  <c r="A7" i="3"/>
  <c r="P15" i="3" s="1"/>
  <c r="K6" i="3"/>
  <c r="J6" i="3"/>
  <c r="I6" i="3"/>
  <c r="H6" i="3"/>
  <c r="G6" i="3"/>
  <c r="F6" i="3"/>
  <c r="E6" i="3"/>
  <c r="Q14" i="3" s="1"/>
  <c r="D6" i="3"/>
  <c r="C6" i="3"/>
  <c r="B6" i="3"/>
  <c r="A6" i="3"/>
  <c r="P14" i="3" s="1"/>
  <c r="K5" i="3"/>
  <c r="J5" i="3"/>
  <c r="I5" i="3"/>
  <c r="H5" i="3"/>
  <c r="G5" i="3"/>
  <c r="F5" i="3"/>
  <c r="E5" i="3"/>
  <c r="C48" i="1" s="1"/>
  <c r="D5" i="3"/>
  <c r="C5" i="3"/>
  <c r="B5" i="3"/>
  <c r="A5" i="3"/>
  <c r="P13" i="3" s="1"/>
  <c r="K4" i="3"/>
  <c r="J4" i="3"/>
  <c r="I4" i="3"/>
  <c r="H4" i="3"/>
  <c r="G4" i="3"/>
  <c r="F4" i="3"/>
  <c r="E4" i="3"/>
  <c r="D4" i="3"/>
  <c r="C4" i="3"/>
  <c r="B4" i="3"/>
  <c r="A4" i="3"/>
  <c r="P12" i="3" s="1"/>
  <c r="K3" i="3"/>
  <c r="J3" i="3"/>
  <c r="I3" i="3"/>
  <c r="H3" i="3"/>
  <c r="G3" i="3"/>
  <c r="F3" i="3"/>
  <c r="E3" i="3"/>
  <c r="Q11" i="3" s="1"/>
  <c r="D3" i="3"/>
  <c r="C3" i="3"/>
  <c r="B3" i="3"/>
  <c r="A3" i="3"/>
  <c r="P11" i="3" s="1"/>
  <c r="A1" i="3"/>
  <c r="B102" i="2"/>
  <c r="L56" i="2"/>
  <c r="K56" i="2"/>
  <c r="J56" i="2"/>
  <c r="I56" i="2"/>
  <c r="H56" i="2"/>
  <c r="G56" i="2"/>
  <c r="L55" i="2"/>
  <c r="K55" i="2"/>
  <c r="J55" i="2"/>
  <c r="I55" i="2"/>
  <c r="H55" i="2"/>
  <c r="G55" i="2"/>
  <c r="L54" i="2"/>
  <c r="K54" i="2"/>
  <c r="J54" i="2"/>
  <c r="I54" i="2"/>
  <c r="H54" i="2"/>
  <c r="G54" i="2"/>
  <c r="L53" i="2"/>
  <c r="K53" i="2"/>
  <c r="J53" i="2"/>
  <c r="I53" i="2"/>
  <c r="H53" i="2"/>
  <c r="G53" i="2"/>
  <c r="L52" i="2"/>
  <c r="K52" i="2"/>
  <c r="J52" i="2"/>
  <c r="I52" i="2"/>
  <c r="H52" i="2"/>
  <c r="G52" i="2"/>
  <c r="L51" i="2"/>
  <c r="K51" i="2"/>
  <c r="J51" i="2"/>
  <c r="I51" i="2"/>
  <c r="H51" i="2"/>
  <c r="G51" i="2"/>
  <c r="L50" i="2"/>
  <c r="K50" i="2"/>
  <c r="J50" i="2"/>
  <c r="I50" i="2"/>
  <c r="H50" i="2"/>
  <c r="G50" i="2"/>
  <c r="L49" i="2"/>
  <c r="K49" i="2"/>
  <c r="J49" i="2"/>
  <c r="I49" i="2"/>
  <c r="H49" i="2"/>
  <c r="G49" i="2"/>
  <c r="L48" i="2"/>
  <c r="K48" i="2"/>
  <c r="J48" i="2"/>
  <c r="I48" i="2"/>
  <c r="H48" i="2"/>
  <c r="G48" i="2"/>
  <c r="L47" i="2"/>
  <c r="K47" i="2"/>
  <c r="J47" i="2"/>
  <c r="I47" i="2"/>
  <c r="H47" i="2"/>
  <c r="G47" i="2"/>
  <c r="L46" i="2"/>
  <c r="K46" i="2"/>
  <c r="J46" i="2"/>
  <c r="I46" i="2"/>
  <c r="H46" i="2"/>
  <c r="G46" i="2"/>
  <c r="D46" i="2"/>
  <c r="C46" i="2"/>
  <c r="B93" i="2" s="1"/>
  <c r="B46" i="2"/>
  <c r="A46" i="2"/>
  <c r="L45" i="2"/>
  <c r="K45" i="2"/>
  <c r="J45" i="2"/>
  <c r="I45" i="2"/>
  <c r="H45" i="2"/>
  <c r="G45" i="2"/>
  <c r="D45" i="2"/>
  <c r="C45" i="2"/>
  <c r="E45" i="2" s="1"/>
  <c r="B122" i="2" s="1"/>
  <c r="B45" i="2"/>
  <c r="A45" i="2"/>
  <c r="A122" i="2" s="1"/>
  <c r="L44" i="2"/>
  <c r="K44" i="2"/>
  <c r="J44" i="2"/>
  <c r="I44" i="2"/>
  <c r="H44" i="2"/>
  <c r="G44" i="2"/>
  <c r="D44" i="2"/>
  <c r="C44" i="2"/>
  <c r="B91" i="2" s="1"/>
  <c r="B44" i="2"/>
  <c r="A44" i="2"/>
  <c r="A121" i="2" s="1"/>
  <c r="L43" i="2"/>
  <c r="K43" i="2"/>
  <c r="J43" i="2"/>
  <c r="I43" i="2"/>
  <c r="H43" i="2"/>
  <c r="G43" i="2"/>
  <c r="D43" i="2"/>
  <c r="C43" i="2"/>
  <c r="B90" i="2" s="1"/>
  <c r="B43" i="2"/>
  <c r="A43" i="2"/>
  <c r="A90" i="2" s="1"/>
  <c r="L42" i="2"/>
  <c r="K42" i="2"/>
  <c r="J42" i="2"/>
  <c r="I42" i="2"/>
  <c r="H42" i="2"/>
  <c r="G42" i="2"/>
  <c r="D42" i="2"/>
  <c r="C42" i="2"/>
  <c r="E42" i="2" s="1"/>
  <c r="B119" i="2" s="1"/>
  <c r="B42" i="2"/>
  <c r="A42" i="2"/>
  <c r="L41" i="2"/>
  <c r="K41" i="2"/>
  <c r="J41" i="2"/>
  <c r="I41" i="2"/>
  <c r="H41" i="2"/>
  <c r="G41" i="2"/>
  <c r="D41" i="2"/>
  <c r="C41" i="2"/>
  <c r="B88" i="2" s="1"/>
  <c r="B41" i="2"/>
  <c r="A41" i="2"/>
  <c r="A118" i="2" s="1"/>
  <c r="L40" i="2"/>
  <c r="K40" i="2"/>
  <c r="J40" i="2"/>
  <c r="I40" i="2"/>
  <c r="H40" i="2"/>
  <c r="G40" i="2"/>
  <c r="D40" i="2"/>
  <c r="C40" i="2"/>
  <c r="B40" i="2"/>
  <c r="A40" i="2"/>
  <c r="A87" i="2" s="1"/>
  <c r="L39" i="2"/>
  <c r="K39" i="2"/>
  <c r="J39" i="2"/>
  <c r="I39" i="2"/>
  <c r="H39" i="2"/>
  <c r="G39" i="2"/>
  <c r="D39" i="2"/>
  <c r="C39" i="2"/>
  <c r="E39" i="2" s="1"/>
  <c r="B116" i="2" s="1"/>
  <c r="B39" i="2"/>
  <c r="A39" i="2"/>
  <c r="A116" i="2" s="1"/>
  <c r="L38" i="2"/>
  <c r="K38" i="2"/>
  <c r="J38" i="2"/>
  <c r="I38" i="2"/>
  <c r="H38" i="2"/>
  <c r="G38" i="2"/>
  <c r="D38" i="2"/>
  <c r="C38" i="2"/>
  <c r="B38" i="2"/>
  <c r="A38" i="2"/>
  <c r="A85" i="2" s="1"/>
  <c r="L37" i="2"/>
  <c r="K37" i="2"/>
  <c r="J37" i="2"/>
  <c r="I37" i="2"/>
  <c r="H37" i="2"/>
  <c r="G37" i="2"/>
  <c r="D37" i="2"/>
  <c r="C37" i="2"/>
  <c r="E37" i="2" s="1"/>
  <c r="B114" i="2" s="1"/>
  <c r="B37" i="2"/>
  <c r="A37" i="2"/>
  <c r="A114" i="2" s="1"/>
  <c r="L36" i="2"/>
  <c r="K36" i="2"/>
  <c r="J36" i="2"/>
  <c r="I36" i="2"/>
  <c r="H36" i="2"/>
  <c r="G36" i="2"/>
  <c r="D36" i="2"/>
  <c r="C36" i="2"/>
  <c r="B36" i="2"/>
  <c r="A36" i="2"/>
  <c r="A113" i="2" s="1"/>
  <c r="L35" i="2"/>
  <c r="K35" i="2"/>
  <c r="J35" i="2"/>
  <c r="I35" i="2"/>
  <c r="H35" i="2"/>
  <c r="G35" i="2"/>
  <c r="D35" i="2"/>
  <c r="C35" i="2"/>
  <c r="B82" i="2" s="1"/>
  <c r="B35" i="2"/>
  <c r="A35" i="2"/>
  <c r="A82" i="2" s="1"/>
  <c r="L34" i="2"/>
  <c r="K34" i="2"/>
  <c r="J34" i="2"/>
  <c r="I34" i="2"/>
  <c r="H34" i="2"/>
  <c r="G34" i="2"/>
  <c r="D34" i="2"/>
  <c r="C34" i="2"/>
  <c r="B81" i="2" s="1"/>
  <c r="B34" i="2"/>
  <c r="A34" i="2"/>
  <c r="A81" i="2" s="1"/>
  <c r="L33" i="2"/>
  <c r="K33" i="2"/>
  <c r="J33" i="2"/>
  <c r="I33" i="2"/>
  <c r="H33" i="2"/>
  <c r="G33" i="2"/>
  <c r="D33" i="2"/>
  <c r="C33" i="2"/>
  <c r="E33" i="2" s="1"/>
  <c r="B110" i="2" s="1"/>
  <c r="B33" i="2"/>
  <c r="A33" i="2"/>
  <c r="A80" i="2" s="1"/>
  <c r="L32" i="2"/>
  <c r="K32" i="2"/>
  <c r="J32" i="2"/>
  <c r="I32" i="2"/>
  <c r="H32" i="2"/>
  <c r="G32" i="2"/>
  <c r="D32" i="2"/>
  <c r="C32" i="2"/>
  <c r="B79" i="2" s="1"/>
  <c r="B32" i="2"/>
  <c r="A32" i="2"/>
  <c r="A79" i="2" s="1"/>
  <c r="L31" i="2"/>
  <c r="K31" i="2"/>
  <c r="J31" i="2"/>
  <c r="I31" i="2"/>
  <c r="H31" i="2"/>
  <c r="G31" i="2"/>
  <c r="D31" i="2"/>
  <c r="C31" i="2"/>
  <c r="B78" i="2" s="1"/>
  <c r="B31" i="2"/>
  <c r="A31" i="2"/>
  <c r="A78" i="2" s="1"/>
  <c r="L30" i="2"/>
  <c r="K30" i="2"/>
  <c r="J30" i="2"/>
  <c r="I30" i="2"/>
  <c r="H30" i="2"/>
  <c r="G30" i="2"/>
  <c r="D30" i="2"/>
  <c r="C30" i="2"/>
  <c r="B77" i="2" s="1"/>
  <c r="B30" i="2"/>
  <c r="A30" i="2"/>
  <c r="A77" i="2" s="1"/>
  <c r="L29" i="2"/>
  <c r="K29" i="2"/>
  <c r="J29" i="2"/>
  <c r="I29" i="2"/>
  <c r="H29" i="2"/>
  <c r="G29" i="2"/>
  <c r="D29" i="2"/>
  <c r="C29" i="2"/>
  <c r="B76" i="2" s="1"/>
  <c r="B29" i="2"/>
  <c r="A29" i="2"/>
  <c r="A76" i="2" s="1"/>
  <c r="L28" i="2"/>
  <c r="K28" i="2"/>
  <c r="J28" i="2"/>
  <c r="I28" i="2"/>
  <c r="H28" i="2"/>
  <c r="G28" i="2"/>
  <c r="D28" i="2"/>
  <c r="C28" i="2"/>
  <c r="B75" i="2" s="1"/>
  <c r="B28" i="2"/>
  <c r="A28" i="2"/>
  <c r="A75" i="2" s="1"/>
  <c r="L27" i="2"/>
  <c r="K27" i="2"/>
  <c r="B1" i="2" s="1"/>
  <c r="J27" i="2"/>
  <c r="C1" i="2" s="1"/>
  <c r="I27" i="2"/>
  <c r="D1" i="2" s="1"/>
  <c r="H27" i="2"/>
  <c r="E1" i="2" s="1"/>
  <c r="G27" i="2"/>
  <c r="D27" i="2"/>
  <c r="C27" i="2"/>
  <c r="B74" i="2" s="1"/>
  <c r="B27" i="2"/>
  <c r="A27" i="2"/>
  <c r="A74" i="2" s="1"/>
  <c r="G26" i="2"/>
  <c r="D26" i="2"/>
  <c r="C26" i="2"/>
  <c r="E26" i="2" s="1"/>
  <c r="B26" i="2"/>
  <c r="A26" i="2"/>
  <c r="A73" i="2" s="1"/>
  <c r="G25" i="2"/>
  <c r="D25" i="2"/>
  <c r="C25" i="2"/>
  <c r="B72" i="2" s="1"/>
  <c r="B25" i="2"/>
  <c r="A25" i="2"/>
  <c r="A72" i="2" s="1"/>
  <c r="W79" i="1"/>
  <c r="W78" i="1"/>
  <c r="W77" i="1"/>
  <c r="W75" i="1"/>
  <c r="W74" i="1"/>
  <c r="W73" i="1"/>
  <c r="W72" i="1"/>
  <c r="W71" i="1"/>
  <c r="X68" i="1"/>
  <c r="W68" i="1"/>
  <c r="V68" i="1"/>
  <c r="F66" i="1"/>
  <c r="A66" i="1"/>
  <c r="Z63" i="1"/>
  <c r="Y63" i="1"/>
  <c r="Z62" i="1"/>
  <c r="Y62" i="1"/>
  <c r="Z61" i="1"/>
  <c r="Y61" i="1"/>
  <c r="Z60" i="1"/>
  <c r="Y60" i="1"/>
  <c r="Z59" i="1"/>
  <c r="Y59" i="1"/>
  <c r="N49" i="1"/>
  <c r="M49" i="1"/>
  <c r="L49" i="1"/>
  <c r="A39" i="1"/>
  <c r="J37" i="1"/>
  <c r="B29" i="1"/>
  <c r="B28" i="1"/>
  <c r="B27" i="1"/>
  <c r="A26" i="1"/>
  <c r="G24" i="1"/>
  <c r="Q12" i="3" l="1"/>
  <c r="B37" i="15"/>
  <c r="D12" i="6" s="1"/>
  <c r="D2" i="13"/>
  <c r="G24" i="11"/>
  <c r="C88" i="1" s="1"/>
  <c r="G40" i="11"/>
  <c r="C104" i="1" s="1"/>
  <c r="S2" i="13"/>
  <c r="L5" i="3"/>
  <c r="C46" i="1" s="1"/>
  <c r="H93" i="11"/>
  <c r="H104" i="1" s="1"/>
  <c r="A1" i="15"/>
  <c r="L6" i="3"/>
  <c r="B46" i="1" s="1"/>
  <c r="L11" i="3"/>
  <c r="S24" i="10"/>
  <c r="R2" i="13"/>
  <c r="AC3" i="9"/>
  <c r="F2" i="9" s="1"/>
  <c r="G28" i="1" s="1"/>
  <c r="V53" i="1" s="1"/>
  <c r="C2" i="13"/>
  <c r="J19" i="4"/>
  <c r="L23" i="3"/>
  <c r="AC5" i="9"/>
  <c r="E10" i="2"/>
  <c r="H94" i="11"/>
  <c r="H105" i="1" s="1"/>
  <c r="L7" i="3"/>
  <c r="B36" i="1" s="1"/>
  <c r="D10" i="2"/>
  <c r="C10" i="2"/>
  <c r="E3" i="2"/>
  <c r="F3" i="2" s="1"/>
  <c r="E8" i="2"/>
  <c r="F8" i="2" s="1"/>
  <c r="D9" i="2"/>
  <c r="C31" i="15" s="1"/>
  <c r="C32" i="15" s="1"/>
  <c r="C9" i="2"/>
  <c r="B9" i="2"/>
  <c r="B10" i="2"/>
  <c r="B5" i="2"/>
  <c r="E5" i="2"/>
  <c r="B6" i="2"/>
  <c r="C6" i="2"/>
  <c r="B4" i="2"/>
  <c r="D5" i="2"/>
  <c r="D6" i="2"/>
  <c r="B3" i="2"/>
  <c r="E6" i="2"/>
  <c r="C4" i="2"/>
  <c r="B7" i="2"/>
  <c r="D3" i="2"/>
  <c r="C7" i="2"/>
  <c r="W45" i="11"/>
  <c r="D7" i="2"/>
  <c r="D4" i="2"/>
  <c r="E7" i="2"/>
  <c r="F7" i="2" s="1"/>
  <c r="B8" i="2"/>
  <c r="C3" i="2"/>
  <c r="C8" i="2"/>
  <c r="D8" i="2"/>
  <c r="L21" i="3"/>
  <c r="C5" i="2"/>
  <c r="W39" i="11"/>
  <c r="G44" i="11"/>
  <c r="C108" i="1" s="1"/>
  <c r="H62" i="11"/>
  <c r="H73" i="1" s="1"/>
  <c r="E2" i="2"/>
  <c r="F2" i="2" s="1"/>
  <c r="E4" i="2"/>
  <c r="L27" i="3"/>
  <c r="E9" i="2"/>
  <c r="B31" i="15" s="1"/>
  <c r="B32" i="15" s="1"/>
  <c r="D2" i="2"/>
  <c r="C2" i="2"/>
  <c r="W14" i="11"/>
  <c r="L16" i="3"/>
  <c r="W44" i="11"/>
  <c r="G38" i="11"/>
  <c r="C102" i="1" s="1"/>
  <c r="R52" i="5"/>
  <c r="G22" i="11"/>
  <c r="C86" i="1" s="1"/>
  <c r="G43" i="11"/>
  <c r="C107" i="1" s="1"/>
  <c r="G5" i="11"/>
  <c r="C69" i="1" s="1"/>
  <c r="N52" i="11"/>
  <c r="E116" i="1" s="1"/>
  <c r="L19" i="3"/>
  <c r="B2" i="2"/>
  <c r="L22" i="3"/>
  <c r="G42" i="11"/>
  <c r="C106" i="1" s="1"/>
  <c r="W12" i="11"/>
  <c r="G46" i="11"/>
  <c r="C110" i="1" s="1"/>
  <c r="W8" i="11"/>
  <c r="AF10" i="11"/>
  <c r="H89" i="11"/>
  <c r="H100" i="1" s="1"/>
  <c r="G41" i="11"/>
  <c r="C105" i="1" s="1"/>
  <c r="H72" i="11"/>
  <c r="H83" i="1" s="1"/>
  <c r="B89" i="2"/>
  <c r="H84" i="11"/>
  <c r="H95" i="1" s="1"/>
  <c r="A102" i="2"/>
  <c r="G11" i="11"/>
  <c r="C75" i="1" s="1"/>
  <c r="G14" i="11"/>
  <c r="C78" i="1" s="1"/>
  <c r="L11" i="4"/>
  <c r="W28" i="11"/>
  <c r="B34" i="1"/>
  <c r="W30" i="11"/>
  <c r="H85" i="11"/>
  <c r="H96" i="1" s="1"/>
  <c r="N34" i="11"/>
  <c r="E98" i="1" s="1"/>
  <c r="N12" i="11"/>
  <c r="E76" i="1" s="1"/>
  <c r="G25" i="11"/>
  <c r="C89" i="1" s="1"/>
  <c r="H65" i="11"/>
  <c r="H76" i="1" s="1"/>
  <c r="H97" i="11"/>
  <c r="H108" i="1" s="1"/>
  <c r="G10" i="11"/>
  <c r="C74" i="1" s="1"/>
  <c r="W13" i="11"/>
  <c r="N18" i="11"/>
  <c r="E82" i="1" s="1"/>
  <c r="H88" i="11"/>
  <c r="H99" i="1" s="1"/>
  <c r="G47" i="11"/>
  <c r="C111" i="1" s="1"/>
  <c r="A86" i="2"/>
  <c r="G34" i="11"/>
  <c r="C98" i="1" s="1"/>
  <c r="P92" i="11"/>
  <c r="K103" i="1" s="1"/>
  <c r="G6" i="11"/>
  <c r="C70" i="1" s="1"/>
  <c r="B86" i="2"/>
  <c r="L20" i="3"/>
  <c r="H74" i="11"/>
  <c r="H85" i="1" s="1"/>
  <c r="G8" i="11"/>
  <c r="C72" i="1" s="1"/>
  <c r="N16" i="11"/>
  <c r="E80" i="1" s="1"/>
  <c r="P56" i="11"/>
  <c r="K67" i="1" s="1"/>
  <c r="H104" i="11"/>
  <c r="H115" i="1" s="1"/>
  <c r="G7" i="11"/>
  <c r="C71" i="1" s="1"/>
  <c r="G48" i="11"/>
  <c r="C112" i="1" s="1"/>
  <c r="H70" i="11"/>
  <c r="H81" i="1" s="1"/>
  <c r="H86" i="11"/>
  <c r="H97" i="1" s="1"/>
  <c r="H102" i="11"/>
  <c r="H113" i="1" s="1"/>
  <c r="G23" i="11"/>
  <c r="C87" i="1" s="1"/>
  <c r="G31" i="11"/>
  <c r="C95" i="1" s="1"/>
  <c r="H77" i="11"/>
  <c r="H88" i="1" s="1"/>
  <c r="R21" i="10"/>
  <c r="A29" i="4"/>
  <c r="W17" i="11"/>
  <c r="N40" i="11"/>
  <c r="E104" i="1" s="1"/>
  <c r="B29" i="4"/>
  <c r="W33" i="11"/>
  <c r="N48" i="11"/>
  <c r="E112" i="1" s="1"/>
  <c r="H59" i="11"/>
  <c r="H70" i="1" s="1"/>
  <c r="H91" i="11"/>
  <c r="H102" i="1" s="1"/>
  <c r="N13" i="11"/>
  <c r="E77" i="1" s="1"/>
  <c r="AF33" i="11"/>
  <c r="G36" i="11"/>
  <c r="C100" i="1" s="1"/>
  <c r="H71" i="11"/>
  <c r="H82" i="1" s="1"/>
  <c r="H87" i="11"/>
  <c r="H98" i="1" s="1"/>
  <c r="P66" i="11"/>
  <c r="K77" i="1" s="1"/>
  <c r="H103" i="11"/>
  <c r="H114" i="1" s="1"/>
  <c r="W6" i="11"/>
  <c r="P98" i="11"/>
  <c r="K109" i="1" s="1"/>
  <c r="L15" i="3"/>
  <c r="I5" i="4"/>
  <c r="AC13" i="9"/>
  <c r="W5" i="11"/>
  <c r="W46" i="11"/>
  <c r="H60" i="11"/>
  <c r="H71" i="1" s="1"/>
  <c r="H76" i="11"/>
  <c r="H87" i="1" s="1"/>
  <c r="N3" i="11"/>
  <c r="E67" i="1" s="1"/>
  <c r="G26" i="11"/>
  <c r="C90" i="1" s="1"/>
  <c r="W29" i="11"/>
  <c r="N44" i="11"/>
  <c r="E108" i="1" s="1"/>
  <c r="H92" i="11"/>
  <c r="H103" i="1" s="1"/>
  <c r="G32" i="11"/>
  <c r="C96" i="1" s="1"/>
  <c r="H98" i="11"/>
  <c r="H109" i="1" s="1"/>
  <c r="N14" i="11"/>
  <c r="E78" i="1" s="1"/>
  <c r="AF34" i="11"/>
  <c r="H57" i="11"/>
  <c r="H68" i="1" s="1"/>
  <c r="N30" i="11"/>
  <c r="E94" i="1" s="1"/>
  <c r="H67" i="11"/>
  <c r="H78" i="1" s="1"/>
  <c r="P83" i="11"/>
  <c r="K94" i="1" s="1"/>
  <c r="AF18" i="11"/>
  <c r="AF26" i="11"/>
  <c r="W32" i="11"/>
  <c r="E35" i="2"/>
  <c r="B112" i="2" s="1"/>
  <c r="W15" i="11"/>
  <c r="P78" i="11"/>
  <c r="K89" i="1" s="1"/>
  <c r="N9" i="11"/>
  <c r="E73" i="1" s="1"/>
  <c r="W16" i="11"/>
  <c r="G21" i="11"/>
  <c r="C85" i="1" s="1"/>
  <c r="W24" i="11"/>
  <c r="H80" i="11"/>
  <c r="H91" i="1" s="1"/>
  <c r="R8" i="10"/>
  <c r="A16" i="1" s="1"/>
  <c r="G50" i="11"/>
  <c r="C114" i="1" s="1"/>
  <c r="H58" i="11"/>
  <c r="H69" i="1" s="1"/>
  <c r="G16" i="11"/>
  <c r="C80" i="1" s="1"/>
  <c r="G37" i="11"/>
  <c r="C101" i="1" s="1"/>
  <c r="L10" i="3"/>
  <c r="S55" i="10"/>
  <c r="A11" i="1" s="1"/>
  <c r="W23" i="11"/>
  <c r="G28" i="11"/>
  <c r="C92" i="1" s="1"/>
  <c r="AF16" i="11"/>
  <c r="G19" i="11"/>
  <c r="C83" i="1" s="1"/>
  <c r="H68" i="11"/>
  <c r="H79" i="1" s="1"/>
  <c r="P90" i="11"/>
  <c r="K101" i="1" s="1"/>
  <c r="P99" i="11"/>
  <c r="K110" i="1" s="1"/>
  <c r="W4" i="11"/>
  <c r="W40" i="11"/>
  <c r="AF42" i="11"/>
  <c r="W49" i="11"/>
  <c r="P63" i="11"/>
  <c r="K74" i="1" s="1"/>
  <c r="H95" i="11"/>
  <c r="H106" i="1" s="1"/>
  <c r="L25" i="3"/>
  <c r="S28" i="10"/>
  <c r="W22" i="11"/>
  <c r="G27" i="11"/>
  <c r="C91" i="1" s="1"/>
  <c r="N29" i="11"/>
  <c r="E93" i="1" s="1"/>
  <c r="W31" i="11"/>
  <c r="G45" i="11"/>
  <c r="C109" i="1" s="1"/>
  <c r="N47" i="11"/>
  <c r="E111" i="1" s="1"/>
  <c r="G9" i="11"/>
  <c r="C73" i="1" s="1"/>
  <c r="AF32" i="11"/>
  <c r="G35" i="11"/>
  <c r="C99" i="1" s="1"/>
  <c r="H73" i="11"/>
  <c r="H84" i="1" s="1"/>
  <c r="H82" i="11"/>
  <c r="H93" i="1" s="1"/>
  <c r="H100" i="11"/>
  <c r="H111" i="1" s="1"/>
  <c r="W11" i="11"/>
  <c r="G17" i="11"/>
  <c r="C81" i="1" s="1"/>
  <c r="W20" i="11"/>
  <c r="N45" i="11"/>
  <c r="E109" i="1" s="1"/>
  <c r="W47" i="11"/>
  <c r="H64" i="11"/>
  <c r="H75" i="1" s="1"/>
  <c r="P95" i="11"/>
  <c r="K106" i="1" s="1"/>
  <c r="L14" i="3"/>
  <c r="I19" i="4"/>
  <c r="I11" i="5"/>
  <c r="W38" i="11"/>
  <c r="AF49" i="11"/>
  <c r="P86" i="11"/>
  <c r="K97" i="1" s="1"/>
  <c r="B9" i="1"/>
  <c r="P137" i="1" s="1"/>
  <c r="L17" i="3"/>
  <c r="R48" i="5"/>
  <c r="N8" i="11"/>
  <c r="E72" i="1" s="1"/>
  <c r="H69" i="11"/>
  <c r="H80" i="1" s="1"/>
  <c r="H66" i="11"/>
  <c r="H77" i="1" s="1"/>
  <c r="AF50" i="11"/>
  <c r="N35" i="11"/>
  <c r="E99" i="1" s="1"/>
  <c r="G51" i="11"/>
  <c r="C115" i="1" s="1"/>
  <c r="E29" i="2"/>
  <c r="B106" i="2" s="1"/>
  <c r="AB4" i="5"/>
  <c r="S45" i="10"/>
  <c r="M13" i="4"/>
  <c r="AC4" i="5"/>
  <c r="G15" i="11"/>
  <c r="C79" i="1" s="1"/>
  <c r="W27" i="11"/>
  <c r="G33" i="11"/>
  <c r="C97" i="1" s="1"/>
  <c r="W36" i="11"/>
  <c r="H78" i="11"/>
  <c r="H89" i="1" s="1"/>
  <c r="H96" i="11"/>
  <c r="H107" i="1" s="1"/>
  <c r="H75" i="11"/>
  <c r="H86" i="1" s="1"/>
  <c r="W3" i="11"/>
  <c r="N46" i="11"/>
  <c r="E110" i="1" s="1"/>
  <c r="W19" i="11"/>
  <c r="W37" i="11"/>
  <c r="B32" i="4"/>
  <c r="AB8" i="5"/>
  <c r="S54" i="10"/>
  <c r="A8" i="1" s="1"/>
  <c r="W9" i="11"/>
  <c r="W18" i="11"/>
  <c r="N26" i="11"/>
  <c r="E90" i="1" s="1"/>
  <c r="O49" i="5"/>
  <c r="S17" i="10"/>
  <c r="AB12" i="5"/>
  <c r="M21" i="4"/>
  <c r="O21" i="4" s="1"/>
  <c r="E34" i="1"/>
  <c r="L20" i="4"/>
  <c r="W26" i="11"/>
  <c r="W35" i="11"/>
  <c r="N42" i="11"/>
  <c r="E106" i="1" s="1"/>
  <c r="N51" i="11"/>
  <c r="E115" i="1" s="1"/>
  <c r="P62" i="11"/>
  <c r="K73" i="1" s="1"/>
  <c r="E35" i="1"/>
  <c r="D25" i="1" s="1"/>
  <c r="L18" i="3"/>
  <c r="S13" i="10"/>
  <c r="G4" i="11"/>
  <c r="C68" i="1" s="1"/>
  <c r="G13" i="11"/>
  <c r="C77" i="1" s="1"/>
  <c r="N15" i="11"/>
  <c r="E79" i="1" s="1"/>
  <c r="N24" i="11"/>
  <c r="E88" i="1" s="1"/>
  <c r="W43" i="11"/>
  <c r="G49" i="11"/>
  <c r="C113" i="1" s="1"/>
  <c r="W52" i="11"/>
  <c r="H56" i="11"/>
  <c r="H67" i="1" s="1"/>
  <c r="H83" i="11"/>
  <c r="H94" i="1" s="1"/>
  <c r="H101" i="11"/>
  <c r="H112" i="1" s="1"/>
  <c r="P105" i="11"/>
  <c r="K116" i="1" s="1"/>
  <c r="L24" i="3"/>
  <c r="W7" i="11"/>
  <c r="G12" i="11"/>
  <c r="C76" i="1" s="1"/>
  <c r="W25" i="11"/>
  <c r="W34" i="11"/>
  <c r="N50" i="11"/>
  <c r="E114" i="1" s="1"/>
  <c r="P60" i="11"/>
  <c r="K71" i="1" s="1"/>
  <c r="G3" i="11"/>
  <c r="C67" i="1" s="1"/>
  <c r="G30" i="11"/>
  <c r="C94" i="1" s="1"/>
  <c r="N32" i="11"/>
  <c r="E96" i="1" s="1"/>
  <c r="G39" i="11"/>
  <c r="C103" i="1" s="1"/>
  <c r="W42" i="11"/>
  <c r="W51" i="11"/>
  <c r="P58" i="11"/>
  <c r="K69" i="1" s="1"/>
  <c r="P67" i="11"/>
  <c r="K78" i="1" s="1"/>
  <c r="H81" i="11"/>
  <c r="H92" i="1" s="1"/>
  <c r="H90" i="11"/>
  <c r="H101" i="1" s="1"/>
  <c r="H99" i="11"/>
  <c r="H110" i="1" s="1"/>
  <c r="S36" i="10"/>
  <c r="H63" i="11"/>
  <c r="H74" i="1" s="1"/>
  <c r="P94" i="11"/>
  <c r="K105" i="1" s="1"/>
  <c r="G18" i="11"/>
  <c r="C82" i="1" s="1"/>
  <c r="W48" i="11"/>
  <c r="W10" i="11"/>
  <c r="S56" i="10"/>
  <c r="A12" i="1" s="1"/>
  <c r="D34" i="1"/>
  <c r="P97" i="11"/>
  <c r="K108" i="1" s="1"/>
  <c r="W21" i="11"/>
  <c r="N19" i="11"/>
  <c r="E83" i="1" s="1"/>
  <c r="AF48" i="11"/>
  <c r="C44" i="1"/>
  <c r="AF17" i="11"/>
  <c r="G20" i="11"/>
  <c r="C84" i="1" s="1"/>
  <c r="G29" i="11"/>
  <c r="C93" i="1" s="1"/>
  <c r="N31" i="11"/>
  <c r="E95" i="1" s="1"/>
  <c r="N28" i="11"/>
  <c r="E92" i="1" s="1"/>
  <c r="N10" i="11"/>
  <c r="E74" i="1" s="1"/>
  <c r="E32" i="2"/>
  <c r="B109" i="2" s="1"/>
  <c r="L17" i="4"/>
  <c r="D45" i="1"/>
  <c r="B84" i="2"/>
  <c r="L13" i="3"/>
  <c r="W41" i="11"/>
  <c r="W50" i="11"/>
  <c r="AF52" i="11"/>
  <c r="H61" i="11"/>
  <c r="H72" i="1" s="1"/>
  <c r="P65" i="11"/>
  <c r="K76" i="1" s="1"/>
  <c r="H79" i="11"/>
  <c r="H90" i="1" s="1"/>
  <c r="C13" i="1"/>
  <c r="E48" i="1" s="1"/>
  <c r="S10" i="10"/>
  <c r="R38" i="10"/>
  <c r="N23" i="11"/>
  <c r="E87" i="1" s="1"/>
  <c r="AF30" i="11"/>
  <c r="AF46" i="11"/>
  <c r="A84" i="2"/>
  <c r="I9" i="4"/>
  <c r="C32" i="4"/>
  <c r="O53" i="5"/>
  <c r="S32" i="10"/>
  <c r="N4" i="11"/>
  <c r="E68" i="1" s="1"/>
  <c r="N20" i="11"/>
  <c r="E84" i="1" s="1"/>
  <c r="N36" i="11"/>
  <c r="E100" i="1" s="1"/>
  <c r="P70" i="11"/>
  <c r="K81" i="1" s="1"/>
  <c r="P102" i="11"/>
  <c r="K113" i="1" s="1"/>
  <c r="AF45" i="11"/>
  <c r="AF12" i="11"/>
  <c r="C34" i="1"/>
  <c r="A91" i="2"/>
  <c r="A34" i="4"/>
  <c r="P53" i="5"/>
  <c r="AF11" i="11"/>
  <c r="AF27" i="11"/>
  <c r="AF43" i="11"/>
  <c r="P85" i="11"/>
  <c r="K96" i="1" s="1"/>
  <c r="P91" i="11"/>
  <c r="K102" i="1" s="1"/>
  <c r="N22" i="11"/>
  <c r="E86" i="1" s="1"/>
  <c r="N38" i="11"/>
  <c r="E102" i="1" s="1"/>
  <c r="A54" i="4"/>
  <c r="P68" i="11"/>
  <c r="K79" i="1" s="1"/>
  <c r="P100" i="11"/>
  <c r="K111" i="1" s="1"/>
  <c r="AF14" i="11"/>
  <c r="A61" i="4"/>
  <c r="P57" i="11"/>
  <c r="K68" i="1" s="1"/>
  <c r="S33" i="10"/>
  <c r="S47" i="10"/>
  <c r="P93" i="11"/>
  <c r="K104" i="1" s="1"/>
  <c r="I17" i="4"/>
  <c r="J5" i="5"/>
  <c r="AF9" i="11"/>
  <c r="AF25" i="11"/>
  <c r="AF41" i="11"/>
  <c r="P81" i="11"/>
  <c r="K92" i="1" s="1"/>
  <c r="H105" i="11"/>
  <c r="H116" i="1" s="1"/>
  <c r="AF47" i="11"/>
  <c r="AF44" i="11"/>
  <c r="A111" i="2"/>
  <c r="Q13" i="3"/>
  <c r="AA5" i="5"/>
  <c r="R46" i="10"/>
  <c r="N17" i="11"/>
  <c r="E81" i="1" s="1"/>
  <c r="N33" i="11"/>
  <c r="E97" i="1" s="1"/>
  <c r="N49" i="11"/>
  <c r="E113" i="1" s="1"/>
  <c r="P64" i="11"/>
  <c r="K75" i="1" s="1"/>
  <c r="P96" i="11"/>
  <c r="K107" i="1" s="1"/>
  <c r="AF15" i="11"/>
  <c r="AF29" i="11"/>
  <c r="N37" i="11"/>
  <c r="E101" i="1" s="1"/>
  <c r="M16" i="4"/>
  <c r="S46" i="10"/>
  <c r="AF8" i="11"/>
  <c r="AF24" i="11"/>
  <c r="AF40" i="11"/>
  <c r="P79" i="11"/>
  <c r="K90" i="1" s="1"/>
  <c r="N8" i="5"/>
  <c r="S29" i="10"/>
  <c r="R41" i="10"/>
  <c r="L8" i="3"/>
  <c r="S23" i="10"/>
  <c r="AF7" i="11"/>
  <c r="AF23" i="11"/>
  <c r="AF39" i="11"/>
  <c r="P77" i="11"/>
  <c r="K88" i="1" s="1"/>
  <c r="B38" i="1"/>
  <c r="L10" i="4"/>
  <c r="I57" i="4"/>
  <c r="AC17" i="9"/>
  <c r="R26" i="10"/>
  <c r="AF6" i="11"/>
  <c r="AF22" i="11"/>
  <c r="AF38" i="11"/>
  <c r="P75" i="11"/>
  <c r="K86" i="1" s="1"/>
  <c r="C35" i="1"/>
  <c r="S25" i="10"/>
  <c r="AF5" i="11"/>
  <c r="AF21" i="11"/>
  <c r="AF37" i="11"/>
  <c r="P73" i="11"/>
  <c r="K84" i="1" s="1"/>
  <c r="AB13" i="5"/>
  <c r="R17" i="10"/>
  <c r="P88" i="11"/>
  <c r="K99" i="1" s="1"/>
  <c r="N21" i="11"/>
  <c r="E85" i="1" s="1"/>
  <c r="K3" i="4"/>
  <c r="S6" i="5"/>
  <c r="E144" i="2" s="1"/>
  <c r="E145" i="2" s="1"/>
  <c r="S16" i="10"/>
  <c r="AF4" i="11"/>
  <c r="AF20" i="11"/>
  <c r="AF36" i="11"/>
  <c r="P71" i="11"/>
  <c r="K82" i="1" s="1"/>
  <c r="P103" i="11"/>
  <c r="K114" i="1" s="1"/>
  <c r="P87" i="11"/>
  <c r="K98" i="1" s="1"/>
  <c r="D44" i="1"/>
  <c r="AF3" i="11"/>
  <c r="AF19" i="11"/>
  <c r="AF35" i="11"/>
  <c r="AF51" i="11"/>
  <c r="P69" i="11"/>
  <c r="K80" i="1" s="1"/>
  <c r="P101" i="11"/>
  <c r="K112" i="1" s="1"/>
  <c r="N6" i="11"/>
  <c r="E70" i="1" s="1"/>
  <c r="P89" i="11"/>
  <c r="K100" i="1" s="1"/>
  <c r="P72" i="11"/>
  <c r="K83" i="1" s="1"/>
  <c r="R13" i="10"/>
  <c r="S18" i="10"/>
  <c r="N11" i="11"/>
  <c r="E75" i="1" s="1"/>
  <c r="N27" i="11"/>
  <c r="E91" i="1" s="1"/>
  <c r="N43" i="11"/>
  <c r="E107" i="1" s="1"/>
  <c r="P84" i="11"/>
  <c r="K95" i="1" s="1"/>
  <c r="N7" i="11"/>
  <c r="E71" i="1" s="1"/>
  <c r="N39" i="11"/>
  <c r="E103" i="1" s="1"/>
  <c r="P74" i="11"/>
  <c r="K85" i="1" s="1"/>
  <c r="B44" i="1"/>
  <c r="R43" i="10"/>
  <c r="I5" i="5"/>
  <c r="I15" i="4"/>
  <c r="S39" i="10"/>
  <c r="P82" i="11"/>
  <c r="K93" i="1" s="1"/>
  <c r="AF31" i="11"/>
  <c r="P61" i="11"/>
  <c r="K72" i="1" s="1"/>
  <c r="P76" i="11"/>
  <c r="K87" i="1" s="1"/>
  <c r="P59" i="11"/>
  <c r="K70" i="1" s="1"/>
  <c r="L4" i="3"/>
  <c r="D46" i="1" s="1"/>
  <c r="AF13" i="11"/>
  <c r="P104" i="11"/>
  <c r="K115" i="1" s="1"/>
  <c r="AF28" i="11"/>
  <c r="I48" i="4"/>
  <c r="S15" i="10"/>
  <c r="N5" i="11"/>
  <c r="E69" i="1" s="1"/>
  <c r="D48" i="1"/>
  <c r="L12" i="3"/>
  <c r="L4" i="4"/>
  <c r="R10" i="10"/>
  <c r="S14" i="10"/>
  <c r="N25" i="11"/>
  <c r="E89" i="1" s="1"/>
  <c r="N41" i="11"/>
  <c r="E105" i="1" s="1"/>
  <c r="P80" i="11"/>
  <c r="K91" i="1" s="1"/>
  <c r="E1" i="9"/>
  <c r="E4" i="9" s="1"/>
  <c r="F30" i="1" s="1"/>
  <c r="G27" i="1"/>
  <c r="H27" i="1" s="1"/>
  <c r="A83" i="2"/>
  <c r="T9" i="5"/>
  <c r="Q45" i="5"/>
  <c r="R25" i="10"/>
  <c r="S43" i="10"/>
  <c r="K5" i="5"/>
  <c r="S38" i="10"/>
  <c r="I55" i="4"/>
  <c r="K12" i="5"/>
  <c r="R45" i="5"/>
  <c r="S26" i="10"/>
  <c r="R39" i="10"/>
  <c r="A92" i="2"/>
  <c r="R49" i="5"/>
  <c r="E27" i="2"/>
  <c r="B104" i="2" s="1"/>
  <c r="A104" i="2"/>
  <c r="K11" i="4"/>
  <c r="B35" i="4"/>
  <c r="S14" i="5"/>
  <c r="R36" i="10"/>
  <c r="S37" i="10"/>
  <c r="S52" i="10"/>
  <c r="A7" i="1" s="1"/>
  <c r="J14" i="4"/>
  <c r="D38" i="4" s="1"/>
  <c r="A13" i="1"/>
  <c r="E30" i="2"/>
  <c r="B107" i="2" s="1"/>
  <c r="A105" i="2"/>
  <c r="A36" i="4"/>
  <c r="T14" i="5"/>
  <c r="S20" i="10"/>
  <c r="R22" i="10"/>
  <c r="R35" i="10"/>
  <c r="AC13" i="5"/>
  <c r="J4" i="4"/>
  <c r="D28" i="4" s="1"/>
  <c r="M8" i="5"/>
  <c r="M4" i="4"/>
  <c r="E28" i="4" s="1"/>
  <c r="I8" i="4"/>
  <c r="A47" i="4"/>
  <c r="R20" i="10"/>
  <c r="S21" i="10"/>
  <c r="R27" i="10"/>
  <c r="R29" i="10"/>
  <c r="S30" i="10"/>
  <c r="R31" i="10"/>
  <c r="R33" i="10"/>
  <c r="S34" i="10"/>
  <c r="S35" i="10"/>
  <c r="R44" i="10"/>
  <c r="K4" i="4"/>
  <c r="Q49" i="5"/>
  <c r="C45" i="1"/>
  <c r="A107" i="2"/>
  <c r="L9" i="3"/>
  <c r="N8" i="4"/>
  <c r="I51" i="4"/>
  <c r="I3" i="5"/>
  <c r="R12" i="10"/>
  <c r="S27" i="10"/>
  <c r="R30" i="10"/>
  <c r="S31" i="10"/>
  <c r="R42" i="10"/>
  <c r="G52" i="11"/>
  <c r="C116" i="1" s="1"/>
  <c r="A108" i="2"/>
  <c r="M19" i="4"/>
  <c r="O19" i="4" s="1"/>
  <c r="A52" i="4"/>
  <c r="P54" i="5"/>
  <c r="R23" i="10"/>
  <c r="S42" i="10"/>
  <c r="A9" i="1"/>
  <c r="A110" i="2"/>
  <c r="M5" i="4"/>
  <c r="E29" i="4" s="1"/>
  <c r="I18" i="4"/>
  <c r="I21" i="4"/>
  <c r="I52" i="4"/>
  <c r="K4" i="5"/>
  <c r="P42" i="5"/>
  <c r="R54" i="5"/>
  <c r="S22" i="10"/>
  <c r="J9" i="5"/>
  <c r="M12" i="5"/>
  <c r="Q42" i="5"/>
  <c r="N4" i="4"/>
  <c r="F28" i="4" s="1"/>
  <c r="A112" i="2"/>
  <c r="N15" i="4"/>
  <c r="A57" i="4"/>
  <c r="T6" i="5"/>
  <c r="K9" i="5"/>
  <c r="N12" i="5"/>
  <c r="R9" i="10"/>
  <c r="S12" i="10"/>
  <c r="R16" i="10"/>
  <c r="S19" i="10"/>
  <c r="AA9" i="5"/>
  <c r="S9" i="10"/>
  <c r="A58" i="4"/>
  <c r="AB9" i="5"/>
  <c r="S8" i="10"/>
  <c r="S11" i="10"/>
  <c r="R14" i="10"/>
  <c r="S41" i="10"/>
  <c r="A115" i="2"/>
  <c r="I12" i="4"/>
  <c r="A59" i="4"/>
  <c r="P51" i="5"/>
  <c r="E28" i="2"/>
  <c r="B105" i="2" s="1"/>
  <c r="M8" i="4"/>
  <c r="I59" i="4"/>
  <c r="T13" i="5"/>
  <c r="J15" i="5"/>
  <c r="Q51" i="5"/>
  <c r="R47" i="10"/>
  <c r="E31" i="2"/>
  <c r="B108" i="2" s="1"/>
  <c r="A117" i="2"/>
  <c r="M4" i="5"/>
  <c r="S15" i="5"/>
  <c r="B144" i="2" s="1"/>
  <c r="B145" i="2" s="1"/>
  <c r="L9" i="4"/>
  <c r="A62" i="4"/>
  <c r="N4" i="5"/>
  <c r="P43" i="5"/>
  <c r="J6" i="4"/>
  <c r="D30" i="4" s="1"/>
  <c r="I62" i="4"/>
  <c r="Q43" i="5"/>
  <c r="AC21" i="9"/>
  <c r="S53" i="10"/>
  <c r="L6" i="4"/>
  <c r="N16" i="4"/>
  <c r="S40" i="10"/>
  <c r="I3" i="4"/>
  <c r="M6" i="4"/>
  <c r="E30" i="4" s="1"/>
  <c r="I16" i="4"/>
  <c r="I22" i="4"/>
  <c r="I7" i="5"/>
  <c r="J16" i="4"/>
  <c r="T5" i="5"/>
  <c r="J7" i="4"/>
  <c r="D31" i="4" s="1"/>
  <c r="D35" i="1"/>
  <c r="N10" i="4"/>
  <c r="K8" i="5"/>
  <c r="AC9" i="9"/>
  <c r="R40" i="10"/>
  <c r="S44" i="10"/>
  <c r="M17" i="4"/>
  <c r="O17" i="4" s="1"/>
  <c r="Y55" i="1"/>
  <c r="B80" i="2"/>
  <c r="L13" i="4"/>
  <c r="S10" i="5"/>
  <c r="J13" i="5"/>
  <c r="L7" i="6"/>
  <c r="H40" i="1" s="1"/>
  <c r="E44" i="2"/>
  <c r="B121" i="2" s="1"/>
  <c r="T10" i="5"/>
  <c r="K13" i="5"/>
  <c r="O46" i="5"/>
  <c r="I6" i="5"/>
  <c r="E41" i="2"/>
  <c r="B118" i="2" s="1"/>
  <c r="L21" i="4"/>
  <c r="A64" i="4"/>
  <c r="I20" i="4"/>
  <c r="B85" i="2"/>
  <c r="E38" i="2"/>
  <c r="B115" i="2" s="1"/>
  <c r="F71" i="2"/>
  <c r="E96" i="4"/>
  <c r="O44" i="5"/>
  <c r="I4" i="5"/>
  <c r="I12" i="5"/>
  <c r="O52" i="5"/>
  <c r="A89" i="2"/>
  <c r="A119" i="2"/>
  <c r="G22" i="2"/>
  <c r="C34" i="4"/>
  <c r="K10" i="4"/>
  <c r="J10" i="4"/>
  <c r="D34" i="4" s="1"/>
  <c r="K14" i="4"/>
  <c r="B38" i="4"/>
  <c r="N11" i="4"/>
  <c r="M15" i="4"/>
  <c r="I58" i="4"/>
  <c r="A55" i="4"/>
  <c r="L12" i="4"/>
  <c r="I11" i="4"/>
  <c r="N14" i="4"/>
  <c r="M18" i="4"/>
  <c r="O18" i="4" s="1"/>
  <c r="I61" i="4"/>
  <c r="K13" i="4"/>
  <c r="J13" i="4"/>
  <c r="D37" i="4" s="1"/>
  <c r="B83" i="2"/>
  <c r="E36" i="2"/>
  <c r="B113" i="2" s="1"/>
  <c r="H29" i="6"/>
  <c r="A17" i="1" s="1"/>
  <c r="O54" i="5"/>
  <c r="C21" i="1"/>
  <c r="A93" i="2"/>
  <c r="A123" i="2"/>
  <c r="E127" i="4"/>
  <c r="P149" i="4"/>
  <c r="L26" i="3"/>
  <c r="N12" i="4"/>
  <c r="A35" i="4"/>
  <c r="J17" i="4"/>
  <c r="B87" i="2"/>
  <c r="E40" i="2"/>
  <c r="B117" i="2" s="1"/>
  <c r="D5" i="1"/>
  <c r="C37" i="4"/>
  <c r="E34" i="2"/>
  <c r="B111" i="2" s="1"/>
  <c r="K6" i="4"/>
  <c r="I56" i="4"/>
  <c r="K8" i="4"/>
  <c r="J8" i="4"/>
  <c r="D32" i="4" s="1"/>
  <c r="M12" i="4"/>
  <c r="N9" i="4"/>
  <c r="B36" i="4"/>
  <c r="U12" i="3"/>
  <c r="B48" i="1"/>
  <c r="B73" i="2"/>
  <c r="O48" i="5"/>
  <c r="O50" i="5"/>
  <c r="I10" i="5"/>
  <c r="G1" i="9"/>
  <c r="E129" i="4"/>
  <c r="E130" i="4" s="1"/>
  <c r="F73" i="2"/>
  <c r="D6" i="1"/>
  <c r="E6" i="1"/>
  <c r="B103" i="2"/>
  <c r="L8" i="4"/>
  <c r="A51" i="4"/>
  <c r="A31" i="4"/>
  <c r="I7" i="4"/>
  <c r="K12" i="4"/>
  <c r="N6" i="4"/>
  <c r="C35" i="4"/>
  <c r="Q54" i="5"/>
  <c r="R15" i="10"/>
  <c r="I49" i="4"/>
  <c r="E94" i="4"/>
  <c r="S67" i="1" s="1"/>
  <c r="J3" i="5"/>
  <c r="S4" i="5"/>
  <c r="J7" i="5"/>
  <c r="S8" i="5"/>
  <c r="J11" i="5"/>
  <c r="S12" i="5"/>
  <c r="P48" i="5"/>
  <c r="R51" i="5"/>
  <c r="R18" i="10"/>
  <c r="J15" i="4"/>
  <c r="D39" i="4" s="1"/>
  <c r="A88" i="2"/>
  <c r="I13" i="4"/>
  <c r="K15" i="4"/>
  <c r="A30" i="4"/>
  <c r="C36" i="4"/>
  <c r="I60" i="4"/>
  <c r="K3" i="5"/>
  <c r="T4" i="5"/>
  <c r="K7" i="5"/>
  <c r="T8" i="5"/>
  <c r="K11" i="5"/>
  <c r="T12" i="5"/>
  <c r="K15" i="5"/>
  <c r="R19" i="10"/>
  <c r="L15" i="4"/>
  <c r="M22" i="4"/>
  <c r="O22" i="4" s="1"/>
  <c r="B30" i="4"/>
  <c r="C30" i="4"/>
  <c r="A37" i="4"/>
  <c r="A50" i="4"/>
  <c r="M3" i="5"/>
  <c r="M7" i="5"/>
  <c r="M11" i="5"/>
  <c r="M15" i="5"/>
  <c r="J11" i="4"/>
  <c r="D35" i="4" s="1"/>
  <c r="B37" i="4"/>
  <c r="N3" i="5"/>
  <c r="AA4" i="5"/>
  <c r="N7" i="5"/>
  <c r="AA8" i="5"/>
  <c r="N11" i="5"/>
  <c r="AA12" i="5"/>
  <c r="N15" i="5"/>
  <c r="B92" i="2"/>
  <c r="J9" i="4"/>
  <c r="D33" i="4" s="1"/>
  <c r="N13" i="4"/>
  <c r="M20" i="4"/>
  <c r="O20" i="4" s="1"/>
  <c r="M23" i="4"/>
  <c r="O23" i="4" s="1"/>
  <c r="R42" i="5"/>
  <c r="R24" i="10"/>
  <c r="K9" i="4"/>
  <c r="M11" i="4"/>
  <c r="A38" i="4"/>
  <c r="I63" i="4"/>
  <c r="S3" i="5"/>
  <c r="J6" i="5"/>
  <c r="S7" i="5"/>
  <c r="J10" i="5"/>
  <c r="S11" i="5"/>
  <c r="J14" i="5"/>
  <c r="P52" i="5"/>
  <c r="A109" i="2"/>
  <c r="K7" i="4"/>
  <c r="M9" i="4"/>
  <c r="B31" i="4"/>
  <c r="C38" i="4"/>
  <c r="T3" i="5"/>
  <c r="K6" i="5"/>
  <c r="T7" i="5"/>
  <c r="K10" i="5"/>
  <c r="T11" i="5"/>
  <c r="K14" i="5"/>
  <c r="T15" i="5"/>
  <c r="J3" i="4"/>
  <c r="D27" i="4" s="1"/>
  <c r="J5" i="4"/>
  <c r="D29" i="4" s="1"/>
  <c r="L7" i="4"/>
  <c r="J18" i="4"/>
  <c r="C31" i="4"/>
  <c r="I47" i="4"/>
  <c r="R28" i="10"/>
  <c r="K5" i="4"/>
  <c r="M7" i="4"/>
  <c r="E31" i="4" s="1"/>
  <c r="A39" i="4"/>
  <c r="I50" i="4"/>
  <c r="M6" i="5"/>
  <c r="M10" i="5"/>
  <c r="M14" i="5"/>
  <c r="A120" i="2"/>
  <c r="L5" i="4"/>
  <c r="N7" i="4"/>
  <c r="B39" i="4"/>
  <c r="N6" i="5"/>
  <c r="AA7" i="5"/>
  <c r="N10" i="5"/>
  <c r="N14" i="5"/>
  <c r="P46" i="5"/>
  <c r="B1" i="9"/>
  <c r="N3" i="4"/>
  <c r="A48" i="4"/>
  <c r="P78" i="4"/>
  <c r="AB7" i="5"/>
  <c r="Q46" i="5"/>
  <c r="C1" i="9"/>
  <c r="A106" i="2"/>
  <c r="N5" i="4"/>
  <c r="AC3" i="5"/>
  <c r="AC7" i="5"/>
  <c r="R46" i="5"/>
  <c r="D1" i="9"/>
  <c r="F3" i="9"/>
  <c r="G29" i="1" s="1"/>
  <c r="R32" i="10"/>
  <c r="R34" i="10"/>
  <c r="A53" i="4"/>
  <c r="A103" i="2"/>
  <c r="J12" i="4"/>
  <c r="D36" i="4" s="1"/>
  <c r="A28" i="4"/>
  <c r="I53" i="4"/>
  <c r="M5" i="5"/>
  <c r="M9" i="5"/>
  <c r="M13" i="5"/>
  <c r="R37" i="10"/>
  <c r="R45" i="10"/>
  <c r="E43" i="2"/>
  <c r="B120" i="2" s="1"/>
  <c r="U10" i="3"/>
  <c r="M14" i="4"/>
  <c r="B28" i="4"/>
  <c r="B33" i="4"/>
  <c r="N5" i="5"/>
  <c r="N9" i="5"/>
  <c r="AA10" i="5"/>
  <c r="N13" i="5"/>
  <c r="C33" i="4"/>
  <c r="I54" i="4"/>
  <c r="AB10" i="5"/>
  <c r="AC10" i="5"/>
  <c r="M10" i="4"/>
  <c r="J4" i="5"/>
  <c r="S5" i="5"/>
  <c r="J8" i="5"/>
  <c r="S9" i="5"/>
  <c r="J12" i="5"/>
  <c r="S13" i="5"/>
  <c r="P44" i="5"/>
  <c r="R11" i="10"/>
  <c r="N1" i="3" l="1"/>
  <c r="A42" i="1"/>
  <c r="I129" i="4"/>
  <c r="B2" i="13"/>
  <c r="Q2" i="13"/>
  <c r="F4" i="9"/>
  <c r="G30" i="1" s="1"/>
  <c r="B14" i="2"/>
  <c r="B13" i="2"/>
  <c r="B37" i="1" s="1"/>
  <c r="B12" i="2"/>
  <c r="D12" i="2"/>
  <c r="B11" i="2"/>
  <c r="B17" i="2"/>
  <c r="B39" i="1" s="1"/>
  <c r="E3" i="9"/>
  <c r="F29" i="1" s="1"/>
  <c r="D9" i="1"/>
  <c r="B13" i="1" s="1"/>
  <c r="D13" i="1" s="1"/>
  <c r="B17" i="1" s="1"/>
  <c r="E2" i="9"/>
  <c r="F28" i="1" s="1"/>
  <c r="F27" i="1"/>
  <c r="L5" i="5"/>
  <c r="O8" i="4"/>
  <c r="M118" i="1"/>
  <c r="O8" i="5"/>
  <c r="C6" i="1"/>
  <c r="O12" i="5"/>
  <c r="O13" i="4"/>
  <c r="H3" i="2"/>
  <c r="N4" i="3"/>
  <c r="O16" i="4"/>
  <c r="U14" i="5"/>
  <c r="L13" i="5"/>
  <c r="U6" i="5"/>
  <c r="E12" i="2"/>
  <c r="U8" i="5"/>
  <c r="L7" i="5"/>
  <c r="P7" i="5" s="1"/>
  <c r="F35" i="1"/>
  <c r="G35" i="1" s="1"/>
  <c r="L3" i="5"/>
  <c r="O4" i="5"/>
  <c r="D17" i="2"/>
  <c r="D39" i="1" s="1"/>
  <c r="L11" i="5"/>
  <c r="U4" i="5"/>
  <c r="C5" i="1"/>
  <c r="H7" i="2"/>
  <c r="C17" i="1" s="1"/>
  <c r="O4" i="4"/>
  <c r="G28" i="4" s="1"/>
  <c r="L4" i="5"/>
  <c r="U10" i="5"/>
  <c r="O15" i="4"/>
  <c r="O11" i="4"/>
  <c r="L12" i="5"/>
  <c r="L9" i="5"/>
  <c r="L15" i="5"/>
  <c r="L8" i="5"/>
  <c r="O10" i="4"/>
  <c r="O14" i="4"/>
  <c r="U13" i="5"/>
  <c r="O12" i="4"/>
  <c r="H2" i="2"/>
  <c r="U5" i="5"/>
  <c r="U15" i="5"/>
  <c r="V15" i="5" s="1"/>
  <c r="C17" i="2"/>
  <c r="C39" i="1" s="1"/>
  <c r="H6" i="2"/>
  <c r="C144" i="2"/>
  <c r="C145" i="2" s="1"/>
  <c r="U12" i="5"/>
  <c r="F27" i="4"/>
  <c r="O15" i="5"/>
  <c r="T146" i="4"/>
  <c r="T147" i="4" s="1"/>
  <c r="T148" i="4" s="1"/>
  <c r="T149" i="4" s="1"/>
  <c r="T150" i="4" s="1"/>
  <c r="T151" i="4" s="1"/>
  <c r="T152" i="4" s="1"/>
  <c r="H129" i="4"/>
  <c r="H130" i="4" s="1"/>
  <c r="G129" i="4"/>
  <c r="G130" i="4" s="1"/>
  <c r="F129" i="4"/>
  <c r="F130" i="4" s="1"/>
  <c r="D129" i="4"/>
  <c r="D130" i="4" s="1"/>
  <c r="B129" i="4"/>
  <c r="B130" i="4" s="1"/>
  <c r="C129" i="4"/>
  <c r="C130" i="4" s="1"/>
  <c r="H96" i="4"/>
  <c r="G96" i="4"/>
  <c r="F96" i="4"/>
  <c r="D96" i="4"/>
  <c r="C96" i="4"/>
  <c r="B96" i="4"/>
  <c r="E45" i="4"/>
  <c r="T76" i="4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V76" i="1"/>
  <c r="U11" i="5"/>
  <c r="L10" i="5"/>
  <c r="F30" i="4"/>
  <c r="O6" i="4"/>
  <c r="G30" i="4" s="1"/>
  <c r="O11" i="5"/>
  <c r="O7" i="5"/>
  <c r="O9" i="5"/>
  <c r="U7" i="5"/>
  <c r="O5" i="5"/>
  <c r="O14" i="5"/>
  <c r="L6" i="5"/>
  <c r="U3" i="5"/>
  <c r="F10" i="2"/>
  <c r="B25" i="1" s="1"/>
  <c r="E14" i="2"/>
  <c r="E17" i="2"/>
  <c r="E39" i="1" s="1"/>
  <c r="F6" i="2"/>
  <c r="C2" i="9"/>
  <c r="D28" i="1" s="1"/>
  <c r="C3" i="9"/>
  <c r="D29" i="1" s="1"/>
  <c r="C4" i="9"/>
  <c r="D30" i="1" s="1"/>
  <c r="D27" i="1"/>
  <c r="F31" i="4"/>
  <c r="O7" i="4"/>
  <c r="G31" i="4" s="1"/>
  <c r="K8" i="2"/>
  <c r="H8" i="2"/>
  <c r="C12" i="2"/>
  <c r="C11" i="2"/>
  <c r="K9" i="2"/>
  <c r="H9" i="2"/>
  <c r="C13" i="2"/>
  <c r="F74" i="2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I73" i="2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H73" i="2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G73" i="2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D73" i="2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E73" i="2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C73" i="2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O5" i="4"/>
  <c r="G29" i="4" s="1"/>
  <c r="F29" i="4"/>
  <c r="X12" i="3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W12" i="3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V12" i="3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T12" i="3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S12" i="3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U13" i="3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R12" i="3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D11" i="2"/>
  <c r="D13" i="2"/>
  <c r="C47" i="1" s="1"/>
  <c r="O3" i="5"/>
  <c r="L14" i="5"/>
  <c r="H10" i="2"/>
  <c r="C14" i="2"/>
  <c r="K10" i="2"/>
  <c r="O9" i="4"/>
  <c r="E11" i="2"/>
  <c r="E13" i="2"/>
  <c r="D47" i="1" s="1"/>
  <c r="F9" i="2"/>
  <c r="F12" i="2" s="1"/>
  <c r="B2" i="9"/>
  <c r="C28" i="1" s="1"/>
  <c r="B3" i="9"/>
  <c r="C29" i="1" s="1"/>
  <c r="B4" i="9"/>
  <c r="C30" i="1" s="1"/>
  <c r="C27" i="1"/>
  <c r="O13" i="5"/>
  <c r="O10" i="5"/>
  <c r="O6" i="5"/>
  <c r="F101" i="2"/>
  <c r="D14" i="2"/>
  <c r="D2" i="9"/>
  <c r="AC34" i="9"/>
  <c r="D3" i="9"/>
  <c r="D4" i="9"/>
  <c r="E30" i="1" s="1"/>
  <c r="E27" i="1"/>
  <c r="F103" i="2"/>
  <c r="U9" i="5"/>
  <c r="D144" i="2"/>
  <c r="D145" i="2" s="1"/>
  <c r="I130" i="4" l="1"/>
  <c r="P146" i="4"/>
  <c r="P3" i="5"/>
  <c r="P5" i="5"/>
  <c r="P11" i="5"/>
  <c r="V4" i="5"/>
  <c r="D17" i="1"/>
  <c r="B21" i="1" s="1"/>
  <c r="D21" i="1" s="1"/>
  <c r="C22" i="1" s="1"/>
  <c r="E46" i="1" s="1"/>
  <c r="P4" i="5"/>
  <c r="P12" i="5"/>
  <c r="P8" i="5"/>
  <c r="E42" i="1"/>
  <c r="I96" i="4" s="1"/>
  <c r="I99" i="4" s="1"/>
  <c r="X75" i="1" s="1"/>
  <c r="P13" i="5"/>
  <c r="P15" i="5"/>
  <c r="Q15" i="5" s="1"/>
  <c r="V13" i="5"/>
  <c r="V5" i="5"/>
  <c r="V12" i="5"/>
  <c r="V3" i="5"/>
  <c r="F5" i="1" s="1"/>
  <c r="P6" i="5"/>
  <c r="Q6" i="5" s="1"/>
  <c r="H17" i="2"/>
  <c r="V9" i="5"/>
  <c r="P9" i="5"/>
  <c r="I14" i="2"/>
  <c r="K14" i="2"/>
  <c r="P14" i="5"/>
  <c r="V14" i="5"/>
  <c r="H14" i="2"/>
  <c r="K12" i="2"/>
  <c r="H12" i="2"/>
  <c r="U76" i="4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V73" i="1"/>
  <c r="D45" i="4"/>
  <c r="W76" i="4"/>
  <c r="W77" i="4" s="1"/>
  <c r="W78" i="4" s="1"/>
  <c r="W79" i="4" s="1"/>
  <c r="W80" i="4" s="1"/>
  <c r="W81" i="4" s="1"/>
  <c r="W82" i="4" s="1"/>
  <c r="W83" i="4" s="1"/>
  <c r="W84" i="4" s="1"/>
  <c r="W85" i="4" s="1"/>
  <c r="W86" i="4" s="1"/>
  <c r="W87" i="4" s="1"/>
  <c r="W88" i="4" s="1"/>
  <c r="V71" i="1"/>
  <c r="B45" i="4"/>
  <c r="S146" i="4"/>
  <c r="S147" i="4" s="1"/>
  <c r="S148" i="4" s="1"/>
  <c r="S149" i="4" s="1"/>
  <c r="S150" i="4" s="1"/>
  <c r="S151" i="4" s="1"/>
  <c r="S152" i="4" s="1"/>
  <c r="I127" i="4"/>
  <c r="T154" i="4"/>
  <c r="T155" i="4" s="1"/>
  <c r="T156" i="4" s="1"/>
  <c r="T157" i="4" s="1"/>
  <c r="T158" i="4" s="1"/>
  <c r="T159" i="4" s="1"/>
  <c r="T160" i="4" s="1"/>
  <c r="T161" i="4" s="1"/>
  <c r="T162" i="4" s="1"/>
  <c r="T163" i="4" s="1"/>
  <c r="T164" i="4" s="1"/>
  <c r="T153" i="4"/>
  <c r="Q146" i="4"/>
  <c r="Q147" i="4" s="1"/>
  <c r="Q148" i="4" s="1"/>
  <c r="Q149" i="4" s="1"/>
  <c r="Q150" i="4" s="1"/>
  <c r="Q151" i="4" s="1"/>
  <c r="Q152" i="4" s="1"/>
  <c r="E50" i="4"/>
  <c r="E47" i="4"/>
  <c r="C42" i="1"/>
  <c r="R73" i="1"/>
  <c r="E49" i="4"/>
  <c r="E48" i="4"/>
  <c r="U146" i="4"/>
  <c r="U147" i="4" s="1"/>
  <c r="U148" i="4" s="1"/>
  <c r="U149" i="4" s="1"/>
  <c r="U150" i="4" s="1"/>
  <c r="U151" i="4" s="1"/>
  <c r="U152" i="4" s="1"/>
  <c r="AC36" i="9"/>
  <c r="E29" i="1"/>
  <c r="A29" i="1" s="1"/>
  <c r="H45" i="4"/>
  <c r="Q76" i="4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V79" i="1"/>
  <c r="A5" i="1"/>
  <c r="A6" i="1"/>
  <c r="T89" i="4"/>
  <c r="T90" i="4"/>
  <c r="T91" i="4" s="1"/>
  <c r="T92" i="4" s="1"/>
  <c r="T93" i="4" s="1"/>
  <c r="T94" i="4" s="1"/>
  <c r="T95" i="4" s="1"/>
  <c r="T96" i="4" s="1"/>
  <c r="T97" i="4" s="1"/>
  <c r="T98" i="4" s="1"/>
  <c r="T99" i="4" s="1"/>
  <c r="T100" i="4" s="1"/>
  <c r="F45" i="4"/>
  <c r="S76" i="4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V77" i="1"/>
  <c r="AC35" i="9"/>
  <c r="E28" i="1"/>
  <c r="V52" i="1" s="1"/>
  <c r="W146" i="4"/>
  <c r="W147" i="4" s="1"/>
  <c r="W148" i="4" s="1"/>
  <c r="W149" i="4" s="1"/>
  <c r="W150" i="4" s="1"/>
  <c r="W151" i="4" s="1"/>
  <c r="W152" i="4" s="1"/>
  <c r="H13" i="2"/>
  <c r="F22" i="1" s="1"/>
  <c r="E47" i="1" s="1"/>
  <c r="B47" i="1"/>
  <c r="P10" i="5"/>
  <c r="H103" i="2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G103" i="2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E103" i="2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D103" i="2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C103" i="2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F104" i="2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I103" i="2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R146" i="4"/>
  <c r="R147" i="4" s="1"/>
  <c r="R148" i="4" s="1"/>
  <c r="R149" i="4" s="1"/>
  <c r="R150" i="4" s="1"/>
  <c r="R151" i="4" s="1"/>
  <c r="R152" i="4" s="1"/>
  <c r="V146" i="4"/>
  <c r="V147" i="4" s="1"/>
  <c r="V148" i="4" s="1"/>
  <c r="V149" i="4" s="1"/>
  <c r="V150" i="4" s="1"/>
  <c r="V151" i="4" s="1"/>
  <c r="V152" i="4" s="1"/>
  <c r="V7" i="5"/>
  <c r="V6" i="5"/>
  <c r="V8" i="5"/>
  <c r="K13" i="2"/>
  <c r="G45" i="4"/>
  <c r="R76" i="4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V78" i="1"/>
  <c r="C45" i="4"/>
  <c r="V76" i="4"/>
  <c r="V77" i="4" s="1"/>
  <c r="V78" i="4" s="1"/>
  <c r="V79" i="4" s="1"/>
  <c r="V80" i="4" s="1"/>
  <c r="V81" i="4" s="1"/>
  <c r="V82" i="4" s="1"/>
  <c r="V83" i="4" s="1"/>
  <c r="V84" i="4" s="1"/>
  <c r="V85" i="4" s="1"/>
  <c r="V86" i="4" s="1"/>
  <c r="V87" i="4" s="1"/>
  <c r="V88" i="4" s="1"/>
  <c r="V72" i="1"/>
  <c r="I13" i="2"/>
  <c r="V11" i="5"/>
  <c r="V10" i="5"/>
  <c r="F11" i="2"/>
  <c r="K11" i="2"/>
  <c r="C26" i="1" s="1"/>
  <c r="H11" i="2"/>
  <c r="Q13" i="5" l="1"/>
  <c r="J45" i="4"/>
  <c r="J48" i="4" s="1"/>
  <c r="Q4" i="5"/>
  <c r="Q14" i="5"/>
  <c r="Q10" i="5"/>
  <c r="Q12" i="5"/>
  <c r="Q5" i="5"/>
  <c r="Q3" i="5"/>
  <c r="Q11" i="5"/>
  <c r="Q8" i="5"/>
  <c r="Q7" i="5"/>
  <c r="Q9" i="5"/>
  <c r="U154" i="4"/>
  <c r="U155" i="4" s="1"/>
  <c r="U156" i="4" s="1"/>
  <c r="U157" i="4" s="1"/>
  <c r="U158" i="4" s="1"/>
  <c r="U159" i="4" s="1"/>
  <c r="U160" i="4" s="1"/>
  <c r="U161" i="4" s="1"/>
  <c r="U162" i="4" s="1"/>
  <c r="U163" i="4" s="1"/>
  <c r="U164" i="4" s="1"/>
  <c r="U153" i="4"/>
  <c r="T165" i="4"/>
  <c r="T166" i="4"/>
  <c r="T167" i="4" s="1"/>
  <c r="T168" i="4" s="1"/>
  <c r="T169" i="4" s="1"/>
  <c r="T170" i="4" s="1"/>
  <c r="T171" i="4" s="1"/>
  <c r="T172" i="4" s="1"/>
  <c r="T173" i="4" s="1"/>
  <c r="T174" i="4" s="1"/>
  <c r="T175" i="4" s="1"/>
  <c r="T176" i="4" s="1"/>
  <c r="V89" i="4"/>
  <c r="V90" i="4"/>
  <c r="V91" i="4" s="1"/>
  <c r="V92" i="4" s="1"/>
  <c r="V93" i="4" s="1"/>
  <c r="V94" i="4" s="1"/>
  <c r="V95" i="4" s="1"/>
  <c r="V96" i="4" s="1"/>
  <c r="V97" i="4" s="1"/>
  <c r="V98" i="4" s="1"/>
  <c r="V99" i="4" s="1"/>
  <c r="V100" i="4" s="1"/>
  <c r="W154" i="4"/>
  <c r="W155" i="4" s="1"/>
  <c r="W156" i="4" s="1"/>
  <c r="W157" i="4" s="1"/>
  <c r="W158" i="4" s="1"/>
  <c r="W159" i="4" s="1"/>
  <c r="W160" i="4" s="1"/>
  <c r="W161" i="4" s="1"/>
  <c r="W162" i="4" s="1"/>
  <c r="W163" i="4" s="1"/>
  <c r="W164" i="4" s="1"/>
  <c r="W153" i="4"/>
  <c r="Q154" i="4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53" i="4"/>
  <c r="S154" i="4"/>
  <c r="S155" i="4" s="1"/>
  <c r="S156" i="4" s="1"/>
  <c r="S157" i="4" s="1"/>
  <c r="S158" i="4" s="1"/>
  <c r="S159" i="4" s="1"/>
  <c r="S160" i="4" s="1"/>
  <c r="S161" i="4" s="1"/>
  <c r="S162" i="4" s="1"/>
  <c r="S163" i="4" s="1"/>
  <c r="S164" i="4" s="1"/>
  <c r="S153" i="4"/>
  <c r="G48" i="4"/>
  <c r="G50" i="4"/>
  <c r="G47" i="4"/>
  <c r="G49" i="4"/>
  <c r="R77" i="1"/>
  <c r="P77" i="4"/>
  <c r="V75" i="1"/>
  <c r="T101" i="4"/>
  <c r="T102" i="4"/>
  <c r="T103" i="4" s="1"/>
  <c r="T104" i="4" s="1"/>
  <c r="T105" i="4" s="1"/>
  <c r="T106" i="4" s="1"/>
  <c r="T107" i="4" s="1"/>
  <c r="T108" i="4" s="1"/>
  <c r="T109" i="4" s="1"/>
  <c r="T110" i="4" s="1"/>
  <c r="T111" i="4" s="1"/>
  <c r="T112" i="4" s="1"/>
  <c r="R154" i="4"/>
  <c r="R155" i="4" s="1"/>
  <c r="R156" i="4" s="1"/>
  <c r="R157" i="4" s="1"/>
  <c r="R158" i="4" s="1"/>
  <c r="R159" i="4" s="1"/>
  <c r="R160" i="4" s="1"/>
  <c r="R161" i="4" s="1"/>
  <c r="R162" i="4" s="1"/>
  <c r="R163" i="4" s="1"/>
  <c r="R164" i="4" s="1"/>
  <c r="R153" i="4"/>
  <c r="F21" i="1"/>
  <c r="C25" i="1" s="1"/>
  <c r="E25" i="1" s="1"/>
  <c r="D48" i="4"/>
  <c r="D50" i="4"/>
  <c r="D47" i="4"/>
  <c r="R72" i="1"/>
  <c r="D49" i="4"/>
  <c r="U89" i="4"/>
  <c r="U90" i="4"/>
  <c r="U91" i="4" s="1"/>
  <c r="U92" i="4" s="1"/>
  <c r="U93" i="4" s="1"/>
  <c r="U94" i="4" s="1"/>
  <c r="U95" i="4" s="1"/>
  <c r="U96" i="4" s="1"/>
  <c r="U97" i="4" s="1"/>
  <c r="U98" i="4" s="1"/>
  <c r="U99" i="4" s="1"/>
  <c r="U100" i="4" s="1"/>
  <c r="Q89" i="4"/>
  <c r="Q90" i="4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H48" i="4"/>
  <c r="H50" i="4"/>
  <c r="H47" i="4"/>
  <c r="D42" i="1"/>
  <c r="R78" i="1"/>
  <c r="H49" i="4"/>
  <c r="C49" i="4"/>
  <c r="C47" i="4"/>
  <c r="C48" i="4"/>
  <c r="R71" i="1"/>
  <c r="C50" i="4"/>
  <c r="R89" i="4"/>
  <c r="R90" i="4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W90" i="4"/>
  <c r="W91" i="4" s="1"/>
  <c r="W92" i="4" s="1"/>
  <c r="W93" i="4" s="1"/>
  <c r="W94" i="4" s="1"/>
  <c r="W95" i="4" s="1"/>
  <c r="W96" i="4" s="1"/>
  <c r="W97" i="4" s="1"/>
  <c r="W98" i="4" s="1"/>
  <c r="W99" i="4" s="1"/>
  <c r="W100" i="4" s="1"/>
  <c r="W89" i="4"/>
  <c r="V154" i="4"/>
  <c r="V155" i="4" s="1"/>
  <c r="V156" i="4" s="1"/>
  <c r="V157" i="4" s="1"/>
  <c r="V158" i="4" s="1"/>
  <c r="V159" i="4" s="1"/>
  <c r="V160" i="4" s="1"/>
  <c r="V161" i="4" s="1"/>
  <c r="V162" i="4" s="1"/>
  <c r="V163" i="4" s="1"/>
  <c r="V164" i="4" s="1"/>
  <c r="V153" i="4"/>
  <c r="B49" i="4"/>
  <c r="B48" i="4"/>
  <c r="B50" i="4"/>
  <c r="B47" i="4"/>
  <c r="B42" i="1"/>
  <c r="R70" i="1"/>
  <c r="S89" i="4"/>
  <c r="S90" i="4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F48" i="4"/>
  <c r="F50" i="4"/>
  <c r="F47" i="4"/>
  <c r="F49" i="4"/>
  <c r="R76" i="1"/>
  <c r="H29" i="1"/>
  <c r="G3" i="9"/>
  <c r="J33" i="1"/>
  <c r="J35" i="1" s="1"/>
  <c r="F6" i="1" l="1"/>
  <c r="I1" i="5"/>
  <c r="J49" i="4"/>
  <c r="R74" i="1"/>
  <c r="J47" i="4"/>
  <c r="J50" i="4"/>
  <c r="W102" i="4"/>
  <c r="W103" i="4" s="1"/>
  <c r="W104" i="4" s="1"/>
  <c r="W105" i="4" s="1"/>
  <c r="W106" i="4" s="1"/>
  <c r="W107" i="4" s="1"/>
  <c r="W108" i="4" s="1"/>
  <c r="W109" i="4" s="1"/>
  <c r="W110" i="4" s="1"/>
  <c r="W111" i="4" s="1"/>
  <c r="W112" i="4" s="1"/>
  <c r="W101" i="4"/>
  <c r="E45" i="1"/>
  <c r="F25" i="1"/>
  <c r="F45" i="1"/>
  <c r="Q165" i="4"/>
  <c r="Q166" i="4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R101" i="4"/>
  <c r="R102" i="4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W166" i="4"/>
  <c r="W167" i="4" s="1"/>
  <c r="W168" i="4" s="1"/>
  <c r="W169" i="4" s="1"/>
  <c r="W170" i="4" s="1"/>
  <c r="W171" i="4" s="1"/>
  <c r="W172" i="4" s="1"/>
  <c r="W173" i="4" s="1"/>
  <c r="W174" i="4" s="1"/>
  <c r="W175" i="4" s="1"/>
  <c r="W176" i="4" s="1"/>
  <c r="W165" i="4"/>
  <c r="Q101" i="4"/>
  <c r="Q102" i="4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S101" i="4"/>
  <c r="S102" i="4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V165" i="4"/>
  <c r="V166" i="4"/>
  <c r="V167" i="4" s="1"/>
  <c r="V168" i="4" s="1"/>
  <c r="V169" i="4" s="1"/>
  <c r="V170" i="4" s="1"/>
  <c r="V171" i="4" s="1"/>
  <c r="V172" i="4" s="1"/>
  <c r="V173" i="4" s="1"/>
  <c r="V174" i="4" s="1"/>
  <c r="V175" i="4" s="1"/>
  <c r="V176" i="4" s="1"/>
  <c r="T113" i="4"/>
  <c r="T114" i="4"/>
  <c r="T115" i="4" s="1"/>
  <c r="T116" i="4" s="1"/>
  <c r="T117" i="4" s="1"/>
  <c r="T118" i="4" s="1"/>
  <c r="T119" i="4" s="1"/>
  <c r="T120" i="4" s="1"/>
  <c r="T121" i="4" s="1"/>
  <c r="T122" i="4" s="1"/>
  <c r="T123" i="4" s="1"/>
  <c r="T124" i="4" s="1"/>
  <c r="U101" i="4"/>
  <c r="U102" i="4"/>
  <c r="U103" i="4" s="1"/>
  <c r="U104" i="4" s="1"/>
  <c r="U105" i="4" s="1"/>
  <c r="U106" i="4" s="1"/>
  <c r="U107" i="4" s="1"/>
  <c r="U108" i="4" s="1"/>
  <c r="U109" i="4" s="1"/>
  <c r="U110" i="4" s="1"/>
  <c r="U111" i="4" s="1"/>
  <c r="U112" i="4" s="1"/>
  <c r="R165" i="4"/>
  <c r="R166" i="4"/>
  <c r="R167" i="4" s="1"/>
  <c r="R168" i="4" s="1"/>
  <c r="R169" i="4" s="1"/>
  <c r="R170" i="4" s="1"/>
  <c r="R171" i="4" s="1"/>
  <c r="R172" i="4" s="1"/>
  <c r="R173" i="4" s="1"/>
  <c r="R174" i="4" s="1"/>
  <c r="R175" i="4" s="1"/>
  <c r="R176" i="4" s="1"/>
  <c r="S165" i="4"/>
  <c r="S166" i="4"/>
  <c r="S167" i="4" s="1"/>
  <c r="S168" i="4" s="1"/>
  <c r="S169" i="4" s="1"/>
  <c r="S170" i="4" s="1"/>
  <c r="S171" i="4" s="1"/>
  <c r="S172" i="4" s="1"/>
  <c r="S173" i="4" s="1"/>
  <c r="S174" i="4" s="1"/>
  <c r="S175" i="4" s="1"/>
  <c r="S176" i="4" s="1"/>
  <c r="V102" i="4"/>
  <c r="V103" i="4" s="1"/>
  <c r="V104" i="4" s="1"/>
  <c r="V105" i="4" s="1"/>
  <c r="V106" i="4" s="1"/>
  <c r="V107" i="4" s="1"/>
  <c r="V108" i="4" s="1"/>
  <c r="V109" i="4" s="1"/>
  <c r="V110" i="4" s="1"/>
  <c r="V111" i="4" s="1"/>
  <c r="V112" i="4" s="1"/>
  <c r="V101" i="4"/>
  <c r="T178" i="4"/>
  <c r="T179" i="4" s="1"/>
  <c r="T180" i="4" s="1"/>
  <c r="T181" i="4" s="1"/>
  <c r="T182" i="4" s="1"/>
  <c r="T183" i="4" s="1"/>
  <c r="T184" i="4" s="1"/>
  <c r="T185" i="4" s="1"/>
  <c r="T186" i="4" s="1"/>
  <c r="T187" i="4" s="1"/>
  <c r="T188" i="4" s="1"/>
  <c r="T177" i="4"/>
  <c r="U165" i="4"/>
  <c r="U166" i="4"/>
  <c r="U167" i="4" s="1"/>
  <c r="U168" i="4" s="1"/>
  <c r="U169" i="4" s="1"/>
  <c r="U170" i="4" s="1"/>
  <c r="U171" i="4" s="1"/>
  <c r="U172" i="4" s="1"/>
  <c r="U173" i="4" s="1"/>
  <c r="U174" i="4" s="1"/>
  <c r="U175" i="4" s="1"/>
  <c r="U176" i="4" s="1"/>
  <c r="U113" i="4" l="1"/>
  <c r="U114" i="4"/>
  <c r="U115" i="4" s="1"/>
  <c r="U116" i="4" s="1"/>
  <c r="U117" i="4" s="1"/>
  <c r="U118" i="4" s="1"/>
  <c r="U119" i="4" s="1"/>
  <c r="U120" i="4" s="1"/>
  <c r="U121" i="4" s="1"/>
  <c r="U122" i="4" s="1"/>
  <c r="U123" i="4" s="1"/>
  <c r="U124" i="4" s="1"/>
  <c r="U178" i="4"/>
  <c r="U179" i="4" s="1"/>
  <c r="U180" i="4" s="1"/>
  <c r="U181" i="4" s="1"/>
  <c r="U182" i="4" s="1"/>
  <c r="U183" i="4" s="1"/>
  <c r="U184" i="4" s="1"/>
  <c r="U185" i="4" s="1"/>
  <c r="U186" i="4" s="1"/>
  <c r="U187" i="4" s="1"/>
  <c r="U188" i="4" s="1"/>
  <c r="U177" i="4"/>
  <c r="S178" i="4"/>
  <c r="S179" i="4" s="1"/>
  <c r="S180" i="4" s="1"/>
  <c r="S181" i="4" s="1"/>
  <c r="S182" i="4" s="1"/>
  <c r="S183" i="4" s="1"/>
  <c r="S184" i="4" s="1"/>
  <c r="S185" i="4" s="1"/>
  <c r="S186" i="4" s="1"/>
  <c r="S187" i="4" s="1"/>
  <c r="S188" i="4" s="1"/>
  <c r="S177" i="4"/>
  <c r="W178" i="4"/>
  <c r="W179" i="4" s="1"/>
  <c r="W180" i="4" s="1"/>
  <c r="W181" i="4" s="1"/>
  <c r="W182" i="4" s="1"/>
  <c r="W183" i="4" s="1"/>
  <c r="W184" i="4" s="1"/>
  <c r="W185" i="4" s="1"/>
  <c r="W186" i="4" s="1"/>
  <c r="W187" i="4" s="1"/>
  <c r="W188" i="4" s="1"/>
  <c r="W177" i="4"/>
  <c r="V113" i="4"/>
  <c r="V114" i="4"/>
  <c r="V115" i="4" s="1"/>
  <c r="V116" i="4" s="1"/>
  <c r="V117" i="4" s="1"/>
  <c r="V118" i="4" s="1"/>
  <c r="V119" i="4" s="1"/>
  <c r="V120" i="4" s="1"/>
  <c r="V121" i="4" s="1"/>
  <c r="V122" i="4" s="1"/>
  <c r="V123" i="4" s="1"/>
  <c r="V124" i="4" s="1"/>
  <c r="V177" i="4"/>
  <c r="V178" i="4"/>
  <c r="V179" i="4" s="1"/>
  <c r="V180" i="4" s="1"/>
  <c r="V181" i="4" s="1"/>
  <c r="V182" i="4" s="1"/>
  <c r="V183" i="4" s="1"/>
  <c r="V184" i="4" s="1"/>
  <c r="V185" i="4" s="1"/>
  <c r="V186" i="4" s="1"/>
  <c r="V187" i="4" s="1"/>
  <c r="V188" i="4" s="1"/>
  <c r="Q178" i="4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77" i="4"/>
  <c r="T190" i="4"/>
  <c r="T191" i="4" s="1"/>
  <c r="T192" i="4" s="1"/>
  <c r="T193" i="4" s="1"/>
  <c r="T194" i="4" s="1"/>
  <c r="T195" i="4" s="1"/>
  <c r="T196" i="4" s="1"/>
  <c r="T197" i="4" s="1"/>
  <c r="T198" i="4" s="1"/>
  <c r="T199" i="4" s="1"/>
  <c r="T200" i="4" s="1"/>
  <c r="T189" i="4"/>
  <c r="T126" i="4"/>
  <c r="T127" i="4" s="1"/>
  <c r="T128" i="4" s="1"/>
  <c r="T129" i="4" s="1"/>
  <c r="T130" i="4" s="1"/>
  <c r="T131" i="4" s="1"/>
  <c r="T132" i="4" s="1"/>
  <c r="T133" i="4" s="1"/>
  <c r="T134" i="4" s="1"/>
  <c r="T135" i="4" s="1"/>
  <c r="T136" i="4" s="1"/>
  <c r="T137" i="4" s="1"/>
  <c r="T125" i="4"/>
  <c r="Q113" i="4"/>
  <c r="Q114" i="4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M3" i="4"/>
  <c r="I46" i="4"/>
  <c r="G45" i="1"/>
  <c r="H45" i="1"/>
  <c r="I45" i="1" s="1"/>
  <c r="J43" i="1"/>
  <c r="B6" i="1"/>
  <c r="E5" i="1"/>
  <c r="F41" i="1"/>
  <c r="R178" i="4"/>
  <c r="R179" i="4" s="1"/>
  <c r="R180" i="4" s="1"/>
  <c r="R181" i="4" s="1"/>
  <c r="R182" i="4" s="1"/>
  <c r="R183" i="4" s="1"/>
  <c r="R184" i="4" s="1"/>
  <c r="R185" i="4" s="1"/>
  <c r="R186" i="4" s="1"/>
  <c r="R187" i="4" s="1"/>
  <c r="R188" i="4" s="1"/>
  <c r="R177" i="4"/>
  <c r="S113" i="4"/>
  <c r="S114" i="4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R113" i="4"/>
  <c r="R114" i="4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H25" i="1"/>
  <c r="G47" i="1"/>
  <c r="F47" i="1"/>
  <c r="H47" i="1" s="1"/>
  <c r="I47" i="1" s="1"/>
  <c r="H38" i="1"/>
  <c r="W113" i="4"/>
  <c r="W114" i="4"/>
  <c r="W115" i="4" s="1"/>
  <c r="W116" i="4" s="1"/>
  <c r="W117" i="4" s="1"/>
  <c r="W118" i="4" s="1"/>
  <c r="W119" i="4" s="1"/>
  <c r="W120" i="4" s="1"/>
  <c r="W121" i="4" s="1"/>
  <c r="W122" i="4" s="1"/>
  <c r="W123" i="4" s="1"/>
  <c r="W124" i="4" s="1"/>
  <c r="H28" i="1" l="1"/>
  <c r="V54" i="1" s="1"/>
  <c r="V55" i="1" s="1"/>
  <c r="V56" i="1" s="1"/>
  <c r="A27" i="1" s="1"/>
  <c r="J45" i="1"/>
  <c r="A19" i="1"/>
  <c r="G2" i="9"/>
  <c r="E97" i="4"/>
  <c r="G97" i="4"/>
  <c r="B97" i="4"/>
  <c r="D97" i="4"/>
  <c r="F97" i="4"/>
  <c r="H97" i="4"/>
  <c r="C97" i="4"/>
  <c r="E46" i="4"/>
  <c r="T73" i="1" s="1"/>
  <c r="J46" i="4"/>
  <c r="T74" i="1" s="1"/>
  <c r="D46" i="4"/>
  <c r="T72" i="1" s="1"/>
  <c r="F46" i="4"/>
  <c r="T76" i="1" s="1"/>
  <c r="H46" i="4"/>
  <c r="T78" i="1" s="1"/>
  <c r="G46" i="4"/>
  <c r="T77" i="1" s="1"/>
  <c r="C46" i="4"/>
  <c r="T71" i="1" s="1"/>
  <c r="B46" i="4"/>
  <c r="T70" i="1" s="1"/>
  <c r="I97" i="4"/>
  <c r="W126" i="4"/>
  <c r="W127" i="4" s="1"/>
  <c r="W128" i="4" s="1"/>
  <c r="W129" i="4" s="1"/>
  <c r="W130" i="4" s="1"/>
  <c r="W131" i="4" s="1"/>
  <c r="W132" i="4" s="1"/>
  <c r="W133" i="4" s="1"/>
  <c r="W134" i="4" s="1"/>
  <c r="W135" i="4" s="1"/>
  <c r="W136" i="4" s="1"/>
  <c r="W137" i="4" s="1"/>
  <c r="W125" i="4"/>
  <c r="R190" i="4"/>
  <c r="R191" i="4" s="1"/>
  <c r="R192" i="4" s="1"/>
  <c r="R193" i="4" s="1"/>
  <c r="R194" i="4" s="1"/>
  <c r="R195" i="4" s="1"/>
  <c r="R196" i="4" s="1"/>
  <c r="R197" i="4" s="1"/>
  <c r="R198" i="4" s="1"/>
  <c r="R199" i="4" s="1"/>
  <c r="R200" i="4" s="1"/>
  <c r="R189" i="4"/>
  <c r="E27" i="4"/>
  <c r="O3" i="4"/>
  <c r="V126" i="4"/>
  <c r="V127" i="4" s="1"/>
  <c r="V128" i="4" s="1"/>
  <c r="V129" i="4" s="1"/>
  <c r="V130" i="4" s="1"/>
  <c r="V131" i="4" s="1"/>
  <c r="V132" i="4" s="1"/>
  <c r="V133" i="4" s="1"/>
  <c r="V134" i="4" s="1"/>
  <c r="V135" i="4" s="1"/>
  <c r="V136" i="4" s="1"/>
  <c r="V137" i="4" s="1"/>
  <c r="V125" i="4"/>
  <c r="G38" i="1"/>
  <c r="D4" i="1" s="1"/>
  <c r="I25" i="1"/>
  <c r="D3" i="1" s="1"/>
  <c r="K45" i="4"/>
  <c r="J96" i="4"/>
  <c r="R126" i="4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25" i="4"/>
  <c r="Q125" i="4"/>
  <c r="Q126" i="4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90" i="4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189" i="4"/>
  <c r="W189" i="4"/>
  <c r="W190" i="4"/>
  <c r="W191" i="4" s="1"/>
  <c r="W192" i="4" s="1"/>
  <c r="W193" i="4" s="1"/>
  <c r="W194" i="4" s="1"/>
  <c r="W195" i="4" s="1"/>
  <c r="W196" i="4" s="1"/>
  <c r="W197" i="4" s="1"/>
  <c r="W198" i="4" s="1"/>
  <c r="W199" i="4" s="1"/>
  <c r="W200" i="4" s="1"/>
  <c r="S190" i="4"/>
  <c r="S191" i="4" s="1"/>
  <c r="S192" i="4" s="1"/>
  <c r="S193" i="4" s="1"/>
  <c r="S194" i="4" s="1"/>
  <c r="S195" i="4" s="1"/>
  <c r="S196" i="4" s="1"/>
  <c r="S197" i="4" s="1"/>
  <c r="S198" i="4" s="1"/>
  <c r="S199" i="4" s="1"/>
  <c r="S200" i="4" s="1"/>
  <c r="S189" i="4"/>
  <c r="U126" i="4"/>
  <c r="U127" i="4" s="1"/>
  <c r="U128" i="4" s="1"/>
  <c r="U129" i="4" s="1"/>
  <c r="U130" i="4" s="1"/>
  <c r="U131" i="4" s="1"/>
  <c r="U132" i="4" s="1"/>
  <c r="U133" i="4" s="1"/>
  <c r="U134" i="4" s="1"/>
  <c r="U135" i="4" s="1"/>
  <c r="U136" i="4" s="1"/>
  <c r="U137" i="4" s="1"/>
  <c r="U125" i="4"/>
  <c r="T202" i="4"/>
  <c r="T203" i="4" s="1"/>
  <c r="T204" i="4" s="1"/>
  <c r="T205" i="4" s="1"/>
  <c r="T206" i="4" s="1"/>
  <c r="T201" i="4"/>
  <c r="V189" i="4"/>
  <c r="V190" i="4"/>
  <c r="V191" i="4" s="1"/>
  <c r="V192" i="4" s="1"/>
  <c r="V193" i="4" s="1"/>
  <c r="V194" i="4" s="1"/>
  <c r="V195" i="4" s="1"/>
  <c r="V196" i="4" s="1"/>
  <c r="V197" i="4" s="1"/>
  <c r="V198" i="4" s="1"/>
  <c r="V199" i="4" s="1"/>
  <c r="V200" i="4" s="1"/>
  <c r="G25" i="1"/>
  <c r="U190" i="4"/>
  <c r="U191" i="4" s="1"/>
  <c r="U192" i="4" s="1"/>
  <c r="U193" i="4" s="1"/>
  <c r="U194" i="4" s="1"/>
  <c r="U195" i="4" s="1"/>
  <c r="U196" i="4" s="1"/>
  <c r="U197" i="4" s="1"/>
  <c r="U198" i="4" s="1"/>
  <c r="U199" i="4" s="1"/>
  <c r="U200" i="4" s="1"/>
  <c r="U189" i="4"/>
  <c r="S126" i="4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25" i="4"/>
  <c r="J1" i="4" l="1"/>
  <c r="K48" i="4"/>
  <c r="K50" i="4"/>
  <c r="K47" i="4"/>
  <c r="K49" i="4"/>
  <c r="K46" i="4"/>
  <c r="T75" i="1" s="1"/>
  <c r="R75" i="1"/>
  <c r="R201" i="4"/>
  <c r="R202" i="4"/>
  <c r="R203" i="4" s="1"/>
  <c r="R204" i="4" s="1"/>
  <c r="R205" i="4" s="1"/>
  <c r="R206" i="4" s="1"/>
  <c r="U202" i="4"/>
  <c r="U203" i="4" s="1"/>
  <c r="U204" i="4" s="1"/>
  <c r="U205" i="4" s="1"/>
  <c r="U206" i="4" s="1"/>
  <c r="U201" i="4"/>
  <c r="W202" i="4"/>
  <c r="W203" i="4" s="1"/>
  <c r="W204" i="4" s="1"/>
  <c r="W205" i="4" s="1"/>
  <c r="W206" i="4" s="1"/>
  <c r="W201" i="4"/>
  <c r="J97" i="4"/>
  <c r="V74" i="1"/>
  <c r="P76" i="4"/>
  <c r="J99" i="4"/>
  <c r="X74" i="1" s="1"/>
  <c r="G27" i="4"/>
  <c r="Q3" i="4"/>
  <c r="W69" i="1" s="1"/>
  <c r="R3" i="4"/>
  <c r="X69" i="1" s="1"/>
  <c r="P3" i="4"/>
  <c r="V202" i="4"/>
  <c r="V203" i="4" s="1"/>
  <c r="V204" i="4" s="1"/>
  <c r="V205" i="4" s="1"/>
  <c r="V206" i="4" s="1"/>
  <c r="V201" i="4"/>
  <c r="S202" i="4"/>
  <c r="S203" i="4" s="1"/>
  <c r="S204" i="4" s="1"/>
  <c r="S205" i="4" s="1"/>
  <c r="S206" i="4" s="1"/>
  <c r="S201" i="4"/>
  <c r="H30" i="1"/>
  <c r="O80" i="9" s="1"/>
  <c r="G4" i="9"/>
  <c r="I1" i="9" s="1"/>
  <c r="B5" i="1"/>
  <c r="Q201" i="4"/>
  <c r="Q202" i="4"/>
  <c r="Q203" i="4" s="1"/>
  <c r="Q204" i="4" s="1"/>
  <c r="Q205" i="4" s="1"/>
  <c r="Q206" i="4" s="1"/>
  <c r="J38" i="1" l="1"/>
  <c r="V6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weng</author>
  </authors>
  <commentList>
    <comment ref="B49" authorId="0" shapeId="0" xr:uid="{413255B9-4371-4CB4-8841-A59CE3A85FA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連結為目前個股(2330)之靜態連結；更換股票後請叫Claude重建連結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weng</author>
  </authors>
  <commentList>
    <comment ref="B5" authorId="0" shapeId="0" xr:uid="{B8CDDD0D-2D3E-47B9-B491-750BF690B9F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5" authorId="0" shapeId="0" xr:uid="{A60EEB7C-E32B-4F33-8001-19117E6BE65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5" authorId="0" shapeId="0" xr:uid="{903F7780-7497-4B3B-9D28-CDA74CFB5AC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6" authorId="0" shapeId="0" xr:uid="{66DDE283-C9BD-40BA-B9FD-2FAC4CB037D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6" authorId="0" shapeId="0" xr:uid="{0E9E4DD8-65D7-43C3-8396-F7A0B959112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6" authorId="0" shapeId="0" xr:uid="{8AEDC9BB-191C-44B0-AB45-6A2296D78F8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7" authorId="0" shapeId="0" xr:uid="{76789789-E11F-49FB-BB15-D73209F8746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7" authorId="0" shapeId="0" xr:uid="{5AD85061-D8DE-4957-BCBE-01874FB8C59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7" authorId="0" shapeId="0" xr:uid="{7E9B02E1-B7CF-4A07-80BC-826733BAE54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8" authorId="0" shapeId="0" xr:uid="{25AF473E-5818-4AB4-B9B7-A5CF3285388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8" authorId="0" shapeId="0" xr:uid="{5CA48AF6-2B63-4A79-B94B-1EA55BD429B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8" authorId="0" shapeId="0" xr:uid="{1B260F84-F292-45B4-9C60-520FEDC2DFF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9" authorId="0" shapeId="0" xr:uid="{FE578DF6-F898-476C-8076-C40E47BF236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9" authorId="0" shapeId="0" xr:uid="{0EC22349-96BF-4BEC-B082-9C82681BCF1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9" authorId="0" shapeId="0" xr:uid="{DFA22EF8-A2C5-4C9F-8A4B-CEBFEDC38A2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0" authorId="0" shapeId="0" xr:uid="{00CB3CC7-B3A5-4736-B622-95A43B04754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0" authorId="0" shapeId="0" xr:uid="{45555CA7-D083-4FE2-ADC3-A34E2A79E0E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0" authorId="0" shapeId="0" xr:uid="{DBDFCB06-E101-461E-B7C6-D5AB3D403C8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1" authorId="0" shapeId="0" xr:uid="{465A297E-300C-4EB4-9004-58D2C197C04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1" authorId="0" shapeId="0" xr:uid="{B30228E9-9A4A-4880-B7CC-40C24B0EE7B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1" authorId="0" shapeId="0" xr:uid="{5BDA8FC0-C307-4A93-890A-0C583EE0917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2" authorId="0" shapeId="0" xr:uid="{5BA74E9F-33E8-468D-A0DB-24BA8CC86BC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2" authorId="0" shapeId="0" xr:uid="{7766F206-5359-4B61-9DC6-6863E7A38C9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2" authorId="0" shapeId="0" xr:uid="{C46DD25C-1CB9-4D9E-8747-8EDC6EDC2A9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3" authorId="0" shapeId="0" xr:uid="{583F80F7-B235-474B-97B1-C7866BC6A24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3" authorId="0" shapeId="0" xr:uid="{CAD6121F-C6EC-4D97-8788-DDFC1B4FE66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3" authorId="0" shapeId="0" xr:uid="{91E856AD-50FA-456D-9CC0-D3BF84CC387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4" authorId="0" shapeId="0" xr:uid="{368471E7-0515-427A-A370-86DC89BAFD2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4" authorId="0" shapeId="0" xr:uid="{09CCB9A3-F2EC-4D96-B152-97CF519074DF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4" authorId="0" shapeId="0" xr:uid="{C67A6DF8-7104-4975-B805-80F98598C76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7" authorId="0" shapeId="0" xr:uid="{6664F75E-63C8-41C2-8B5F-E461A50A6CF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7" authorId="0" shapeId="0" xr:uid="{00B219EB-D424-4A35-8156-1D913FDB3A8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7" authorId="0" shapeId="0" xr:uid="{E7D836A0-8747-4431-9E99-45FD013BE2E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8" authorId="0" shapeId="0" xr:uid="{74C7C628-9B5F-4F72-9F13-05DBC746528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8" authorId="0" shapeId="0" xr:uid="{A8969073-40F2-47C2-B4F8-85421515462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8" authorId="0" shapeId="0" xr:uid="{77AFE365-9B48-4E8B-BB25-EE173D9BD33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9" authorId="0" shapeId="0" xr:uid="{3C325157-7306-4EB8-B94A-F5B5CE96FDBF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9" authorId="0" shapeId="0" xr:uid="{FF0A2D5B-A5CF-414D-9935-A82C6F6A3A6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9" authorId="0" shapeId="0" xr:uid="{DF64FC23-DD0C-40FB-A622-FB0A18F980F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0" authorId="0" shapeId="0" xr:uid="{8B317058-F591-4B20-812C-6AF59125C64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0" authorId="0" shapeId="0" xr:uid="{6A9F9C2C-4802-4123-95D5-F20AA05A65A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0" authorId="0" shapeId="0" xr:uid="{9E43C844-5A60-4EF3-B1F1-00F3D32DE19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1" authorId="0" shapeId="0" xr:uid="{50CF183F-8298-4F7C-89C4-0FF3BD83D56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1" authorId="0" shapeId="0" xr:uid="{FD0C4E80-D5AC-499F-A82C-FBE92FF023E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1" authorId="0" shapeId="0" xr:uid="{D25BFA2F-9F21-4BBF-BF23-97F58C964CE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2" authorId="0" shapeId="0" xr:uid="{56515124-F46A-46BE-B1F9-78BD630B2B5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2" authorId="0" shapeId="0" xr:uid="{98F6B27C-99EF-4D9C-840F-8BE2B4DC4E5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2" authorId="0" shapeId="0" xr:uid="{F339CD97-79C4-4D0B-8EE1-9E52810AB78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8" authorId="0" shapeId="0" xr:uid="{DD4CC64E-2BF2-48F5-8B0E-7EC069468CB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8" authorId="0" shapeId="0" xr:uid="{F1D97A38-87A6-4FA3-9E2F-C1ED63F01E4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8" authorId="0" shapeId="0" xr:uid="{340D2119-6C36-435E-BEAF-CE037F6CAAB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9" authorId="0" shapeId="0" xr:uid="{9BFDA6A1-6508-4691-81B8-A4B588D92EE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9" authorId="0" shapeId="0" xr:uid="{93DB63C0-EAAB-43BA-A4C4-6221244AFBE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9" authorId="0" shapeId="0" xr:uid="{73AA736B-AB61-4660-9E46-7E5861F22AF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30" authorId="0" shapeId="0" xr:uid="{8E22A250-8275-4758-ADB7-272E809FDE6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30" authorId="0" shapeId="0" xr:uid="{42D3F3E6-82FC-408D-AC9B-6E20DF981B1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30" authorId="0" shapeId="0" xr:uid="{F79734A2-20EE-4423-978A-7308A71F5E3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31" authorId="0" shapeId="0" xr:uid="{A428DF5D-218C-4099-AF8B-563A98F4E02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2Q25 合併淨利。Source: SEC EDGAR (TSMC 6-K 2Q26 新聞稿), https://www.sec.gov/Archives/edgar/data/0001046179/000104617926000451/a2q26e_withguidancexfinal.htm</t>
        </r>
      </text>
    </comment>
    <comment ref="B35" authorId="0" shapeId="0" xr:uid="{7E559C74-411A-490F-AC54-79095632E03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截至 2026/6/30 流通在外股數。Source: SEC EDGAR (TSMC 6-K 2Q26 法說簡報), https://www.sec.gov/Archives/edgar/data/0001046179/000104617926000451/a2q26presentatione.htm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weng</author>
  </authors>
  <commentList>
    <comment ref="B37" authorId="0" shapeId="0" xr:uid="{395864D7-82BE-4A19-A354-4292185D0A7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原 Google 日期資料損毀(負數序列)，已清除。股東會相關日期請參公開資訊觀測站</t>
        </r>
      </text>
    </comment>
    <comment ref="C37" authorId="0" shapeId="0" xr:uid="{ED5782AD-EA12-41F0-8B54-BA6F5C9B317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1Q26 現金股利除息日 2026/09/16。Source: TSMC 法說簡報重大事項回顧(SEC EDGAR 6-K), https://www.sec.gov/Archives/edgar/data/0001046179/000104617926000451/a2q26presentatione.htm</t>
        </r>
      </text>
    </comment>
    <comment ref="C38" authorId="0" shapeId="0" xr:uid="{21FEF933-F699-40A0-A04E-64D54E701E6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依停止過戶期間 115/09/18~115/09/22 推得最後過戶日。原 Google 日期資料損毀，已修正</t>
        </r>
      </text>
    </comment>
    <comment ref="C40" authorId="0" shapeId="0" xr:uid="{3AF2DF96-53F4-4D43-8132-8420B4348D5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依停止融券期間 115/09/10~115/09/15 推得融券最後回補日。原 Google 日期資料損毀，已修正</t>
        </r>
      </text>
    </comment>
  </commentList>
</comments>
</file>

<file path=xl/sharedStrings.xml><?xml version="1.0" encoding="utf-8"?>
<sst xmlns="http://schemas.openxmlformats.org/spreadsheetml/2006/main" count="383" uniqueCount="288">
  <si>
    <t>季度</t>
  </si>
  <si>
    <t>近一季</t>
  </si>
  <si>
    <t>4季平均</t>
  </si>
  <si>
    <t>營業收入</t>
  </si>
  <si>
    <t>季別</t>
  </si>
  <si>
    <t>EPS年增率</t>
  </si>
  <si>
    <t>近4季EPS年增率</t>
  </si>
  <si>
    <t>累積EPS</t>
  </si>
  <si>
    <t>去年累積EPS</t>
  </si>
  <si>
    <t>EPS累積年增率</t>
  </si>
  <si>
    <t>近1年EPS成長率</t>
  </si>
  <si>
    <t>近3年平均EPS成長率</t>
  </si>
  <si>
    <t>近4年平均EPS成長率</t>
  </si>
  <si>
    <t>業外占比</t>
  </si>
  <si>
    <t>營業毛利(毛損)</t>
  </si>
  <si>
    <t>推銷費用</t>
  </si>
  <si>
    <t>預估</t>
  </si>
  <si>
    <t>管理費用</t>
  </si>
  <si>
    <t>研究發展費用</t>
  </si>
  <si>
    <t>-</t>
  </si>
  <si>
    <t>營業費用</t>
  </si>
  <si>
    <t>-3倍標準差</t>
  </si>
  <si>
    <t>-2倍標準差</t>
  </si>
  <si>
    <t>-1倍標準差</t>
  </si>
  <si>
    <t>5年標準差</t>
  </si>
  <si>
    <t>1倍標準差</t>
  </si>
  <si>
    <t>2倍標準差</t>
  </si>
  <si>
    <t>3倍標準差</t>
  </si>
  <si>
    <t>稅前淨利(淨損)</t>
  </si>
  <si>
    <t>本期淨利(淨損)</t>
  </si>
  <si>
    <t>母公司業主(淨利／損)</t>
  </si>
  <si>
    <t>非控制權益淨利</t>
  </si>
  <si>
    <t>所得稅</t>
  </si>
  <si>
    <t>稅率(%)</t>
  </si>
  <si>
    <t>母公司/稅後</t>
  </si>
  <si>
    <t>研發費用/營收</t>
  </si>
  <si>
    <t>加總平均</t>
  </si>
  <si>
    <t>存貨週轉率</t>
  </si>
  <si>
    <t>EPS</t>
  </si>
  <si>
    <t>去年EPS</t>
  </si>
  <si>
    <t xml:space="preserve"> </t>
  </si>
  <si>
    <t>高本益比</t>
  </si>
  <si>
    <t>本益比中位數</t>
  </si>
  <si>
    <t>低本益比</t>
  </si>
  <si>
    <t>目前本益比</t>
  </si>
  <si>
    <t>預估本益比</t>
  </si>
  <si>
    <t>近三個月營收合計</t>
  </si>
  <si>
    <t>存銷比</t>
  </si>
  <si>
    <t>近3個月營收</t>
  </si>
  <si>
    <t>去年近3個月營收</t>
  </si>
  <si>
    <t>近3個月營收YOY</t>
  </si>
  <si>
    <t>近12個月營收</t>
  </si>
  <si>
    <t>去年近12個月營收</t>
  </si>
  <si>
    <t>近12個月營收YOY</t>
  </si>
  <si>
    <t>長短期營收YOY間距</t>
  </si>
  <si>
    <t>近3個月平均營收</t>
  </si>
  <si>
    <t>近12個月平均營收</t>
  </si>
  <si>
    <t>長短期營收間距</t>
  </si>
  <si>
    <t>財報發布</t>
  </si>
  <si>
    <t>日期</t>
  </si>
  <si>
    <t>剩餘天數</t>
  </si>
  <si>
    <t>第1季</t>
  </si>
  <si>
    <t>第2季</t>
  </si>
  <si>
    <t>第3季</t>
  </si>
  <si>
    <t>第4季</t>
  </si>
  <si>
    <t>營收發布</t>
  </si>
  <si>
    <t>目前本淨比</t>
  </si>
  <si>
    <t>月份</t>
  </si>
  <si>
    <t>年度</t>
  </si>
  <si>
    <t>現金股利</t>
  </si>
  <si>
    <t>現金股利發放率</t>
  </si>
  <si>
    <t>投信</t>
  </si>
  <si>
    <t>自營</t>
  </si>
  <si>
    <t>券商分點績效/獲利分析</t>
  </si>
  <si>
    <t>未平倉成本</t>
  </si>
  <si>
    <t>口數</t>
  </si>
  <si>
    <t>金額</t>
  </si>
  <si>
    <t>股票</t>
  </si>
  <si>
    <t>股本</t>
  </si>
  <si>
    <t>市值</t>
  </si>
  <si>
    <t>股價</t>
  </si>
  <si>
    <t xml:space="preserve">  </t>
  </si>
  <si>
    <t>營收預估</t>
  </si>
  <si>
    <t>近1個月營收(積極)</t>
  </si>
  <si>
    <t>預估單季營收(單月*3),(總月/4),(近3月)</t>
  </si>
  <si>
    <t>毛利預估</t>
  </si>
  <si>
    <t>預計單季營收</t>
  </si>
  <si>
    <t>近1季毛利率</t>
  </si>
  <si>
    <t>預估毛利</t>
  </si>
  <si>
    <t>投信持股比</t>
  </si>
  <si>
    <t>營業利益預估</t>
  </si>
  <si>
    <t>平均4季營業費</t>
  </si>
  <si>
    <t>預估營業利益</t>
  </si>
  <si>
    <t>預估殖利率</t>
  </si>
  <si>
    <t>業外收益預估</t>
  </si>
  <si>
    <t>業外收支(季均)</t>
  </si>
  <si>
    <t>預估稅前淨利</t>
  </si>
  <si>
    <t>預估稅後淨利(季均)</t>
  </si>
  <si>
    <t>Beta值</t>
  </si>
  <si>
    <t>EPS計算</t>
  </si>
  <si>
    <t>標準差</t>
  </si>
  <si>
    <t>近季母公司稅後</t>
  </si>
  <si>
    <t>估母公司稅後</t>
  </si>
  <si>
    <t>近一季EPS</t>
  </si>
  <si>
    <t>預估季EPS</t>
  </si>
  <si>
    <t>估EPS季成長率</t>
  </si>
  <si>
    <t>估年殖利率</t>
  </si>
  <si>
    <t>估總報酬PE</t>
  </si>
  <si>
    <t>停止融卷期間</t>
  </si>
  <si>
    <t>平均配息率</t>
  </si>
  <si>
    <t>預估現金股利</t>
  </si>
  <si>
    <t>預估發放率</t>
  </si>
  <si>
    <t xml:space="preserve"> 股利</t>
  </si>
  <si>
    <t>現有</t>
  </si>
  <si>
    <t>空間</t>
  </si>
  <si>
    <t>殖利率</t>
  </si>
  <si>
    <t>估本益成長比(PEG)</t>
  </si>
  <si>
    <t>預估盈餘成長率</t>
  </si>
  <si>
    <t>毛利率</t>
  </si>
  <si>
    <t>除息日</t>
  </si>
  <si>
    <t>股淨比</t>
  </si>
  <si>
    <t>中位數本益比</t>
  </si>
  <si>
    <t xml:space="preserve"> 預估股利</t>
  </si>
  <si>
    <t>預估EPS</t>
  </si>
  <si>
    <t>目前PE預估股價</t>
  </si>
  <si>
    <t>新聞</t>
  </si>
  <si>
    <t>河流圖</t>
  </si>
  <si>
    <t>合約負債－流動</t>
  </si>
  <si>
    <t>網站</t>
  </si>
  <si>
    <t>股息</t>
  </si>
  <si>
    <t>月增率MOM</t>
  </si>
  <si>
    <t>近三年</t>
  </si>
  <si>
    <t>當月</t>
  </si>
  <si>
    <t>近年</t>
  </si>
  <si>
    <t>上月</t>
  </si>
  <si>
    <t>前月</t>
  </si>
  <si>
    <t>平均股息</t>
  </si>
  <si>
    <t>平均月增率MOM</t>
  </si>
  <si>
    <t>平均殖利率</t>
  </si>
  <si>
    <t>上市成值排行</t>
  </si>
  <si>
    <t>上櫃成值排行</t>
  </si>
  <si>
    <t>上市週轉率排行</t>
  </si>
  <si>
    <t>上櫃週轉率排行</t>
  </si>
  <si>
    <t>請手動排序(Z到A)</t>
  </si>
  <si>
    <t>近年相對本益比</t>
  </si>
  <si>
    <t>預估股價</t>
  </si>
  <si>
    <t>本益比</t>
  </si>
  <si>
    <t>標準差倍數</t>
  </si>
  <si>
    <t>平均本益比</t>
  </si>
  <si>
    <t>近一季稅後</t>
  </si>
  <si>
    <t>填息率</t>
  </si>
  <si>
    <t>毛利率年</t>
  </si>
  <si>
    <t>盈利率年</t>
  </si>
  <si>
    <t>長短期</t>
  </si>
  <si>
    <t>進四記營業利益 年</t>
  </si>
  <si>
    <t>股息增</t>
  </si>
  <si>
    <t>(停用) 原Google IMPORTHTML來源:statementdog 資產表</t>
  </si>
  <si>
    <t>(停用) 原Google IMPORTHTML來源:statementdog 損益表</t>
  </si>
  <si>
    <t>(停用) 原Google IMPORTHTML來源:statementdog 配息率</t>
  </si>
  <si>
    <t>股票代號</t>
  </si>
  <si>
    <t>★ 波段股價預估試算 — 使用說明</t>
  </si>
  <si>
    <t>用途:進場前檢核個股的基本面、籌碼面與估值。於「股價預估」頁 E1 輸入股票代號,由估值鏈推算預估EPS與目標價。</t>
  </si>
  <si>
    <t>估值鏈:近月營收×3 → 預估季營收 → ×毛利率 − 營業費用 + 業外 → ×(1−稅率) → 預估稅後淨利 ÷ 股本 → 預估EPS × 高/中/低本益比 → 目標價</t>
  </si>
  <si>
    <t>注意:本檔原為 Google Sheets,IMPORTHTML 自動抓取功能在 Excel 已失效,各頁資料為 2026/08/14 快照。要更新資料或換股票時,請直接請 Claude 上網抓官方最新資料填入。</t>
  </si>
  <si>
    <t>分類</t>
  </si>
  <si>
    <t>分頁</t>
  </si>
  <si>
    <t>用途</t>
  </si>
  <si>
    <t>原資料來源</t>
  </si>
  <si>
    <t>🟡 儀表板</t>
  </si>
  <si>
    <t>股價預估</t>
  </si>
  <si>
    <t>主儀表板:輸入代號→訊號燈+估值鏈+預估EPS+目標價+股利</t>
  </si>
  <si>
    <t>彙整各分頁</t>
  </si>
  <si>
    <t>🔵 基本面</t>
  </si>
  <si>
    <t>股票資訊</t>
  </si>
  <si>
    <t>個股基本資料:股價、股本、市值、Beta、財報/營收發布日、ETF持股</t>
  </si>
  <si>
    <t>富邦證券</t>
  </si>
  <si>
    <t>營收</t>
  </si>
  <si>
    <t>月營收與長短期年增率訊號</t>
  </si>
  <si>
    <t>毛利率&amp;業外</t>
  </si>
  <si>
    <t>季度獲利能力、業外占比、毛利率標準差通道</t>
  </si>
  <si>
    <t>損益表季度拆解(累計→單季)、稅率、費用率、週轉天數</t>
  </si>
  <si>
    <t>money-link / histock</t>
  </si>
  <si>
    <t>每股盈餘(EPS)</t>
  </si>
  <si>
    <t>歷史EPS、盈餘成長率、本益比高中低分位→目標價矩陣</t>
  </si>
  <si>
    <t>股息&amp;現金流</t>
  </si>
  <si>
    <t>歷年股利政策、殖利率、填息天數</t>
  </si>
  <si>
    <t>Goodinfo等</t>
  </si>
  <si>
    <t>財報健檢</t>
  </si>
  <si>
    <t>資產負債表+現金流量表摘要與安全性指標(新增)</t>
  </si>
  <si>
    <t>公開資訊觀測站</t>
  </si>
  <si>
    <t>🟠 籌碼面</t>
  </si>
  <si>
    <t>籌碼</t>
  </si>
  <si>
    <t>法人買賣超、集中度、大戶比、融資券、券商分點</t>
  </si>
  <si>
    <t>富邦/histock</t>
  </si>
  <si>
    <t>期貨籌碼</t>
  </si>
  <si>
    <t>三大法人期貨未平倉(原「工作表54」)</t>
  </si>
  <si>
    <t>期交所</t>
  </si>
  <si>
    <t>🟢 市場面</t>
  </si>
  <si>
    <t>排行榜</t>
  </si>
  <si>
    <t>成交值排行、券資比排行(上市/上櫃)</t>
  </si>
  <si>
    <t>市值排行</t>
  </si>
  <si>
    <t>全市場市值佔大盤比重排行</t>
  </si>
  <si>
    <t>台灣證交所</t>
  </si>
  <si>
    <t>⚪ 參考</t>
  </si>
  <si>
    <t>證券編碼查詢</t>
  </si>
  <si>
    <t>代號→名稱/市場別/產業別對照</t>
  </si>
  <si>
    <t>證交所ISIN</t>
  </si>
  <si>
    <t>減資一覽表</t>
  </si>
  <si>
    <t>減資股票調整用(現為手動填寫)</t>
  </si>
  <si>
    <t>money-link(停用)</t>
  </si>
  <si>
    <t>資料來源:TSMC 2Q26 法說簡報(SEC EDGAR 6-K,2026/07/16)|單位:新台幣十億元|更新方式:請 Claude 於每季法說後抓取官方最新資料</t>
  </si>
  <si>
    <t>資產負債表摘要</t>
  </si>
  <si>
    <t>2Q26</t>
  </si>
  <si>
    <t>1Q26</t>
  </si>
  <si>
    <t>2Q25</t>
  </si>
  <si>
    <t>QoQ%</t>
  </si>
  <si>
    <t>YoY%</t>
  </si>
  <si>
    <t>現金及有價證券</t>
  </si>
  <si>
    <t>應收帳款</t>
  </si>
  <si>
    <t>存貨</t>
  </si>
  <si>
    <t>長期投資</t>
  </si>
  <si>
    <t>不動產廠房及設備(淨額)</t>
  </si>
  <si>
    <t>資產總額</t>
  </si>
  <si>
    <t>流動負債</t>
  </si>
  <si>
    <t>長期附息負債</t>
  </si>
  <si>
    <t>負債總額</t>
  </si>
  <si>
    <t>股東權益總額</t>
  </si>
  <si>
    <t>現金流量摘要</t>
  </si>
  <si>
    <t>期初現金餘額</t>
  </si>
  <si>
    <t>營運活動現金流入</t>
  </si>
  <si>
    <t>資本支出</t>
  </si>
  <si>
    <t>應付公司債</t>
  </si>
  <si>
    <t>投資及其他</t>
  </si>
  <si>
    <t>期末現金餘額</t>
  </si>
  <si>
    <t>自由現金流(營運-資本支出)</t>
  </si>
  <si>
    <t>安全性與獲利品質指標</t>
  </si>
  <si>
    <t>評估參考</t>
  </si>
  <si>
    <t>負債比率</t>
  </si>
  <si>
    <t>&lt;50% 佳</t>
  </si>
  <si>
    <t>流動比率(倍)</t>
  </si>
  <si>
    <t>&gt;1.5 佳</t>
  </si>
  <si>
    <t>應收帳款週轉天數</t>
  </si>
  <si>
    <t>越低越好,注意趨勢</t>
  </si>
  <si>
    <t>存貨週轉天數</t>
  </si>
  <si>
    <t>稅後淨利(十億)</t>
  </si>
  <si>
    <t>來自「營業費用」頁單季數</t>
  </si>
  <si>
    <t>營運現金流/稅後淨利</t>
  </si>
  <si>
    <t>&gt;1 獲利品質佳</t>
  </si>
  <si>
    <t>資本支出/營運現金流</t>
  </si>
  <si>
    <t>觀察擴廠強度</t>
  </si>
  <si>
    <t>現金股利/自由現金流</t>
  </si>
  <si>
    <t>&lt;100% 股利可持續</t>
  </si>
  <si>
    <t>流通股數(百萬股)</t>
  </si>
  <si>
    <t>面額10元,對應股本2,593.2億</t>
  </si>
  <si>
    <t>每股淨值(元)</t>
  </si>
  <si>
    <t>=股東權益×10億/流通股數</t>
  </si>
  <si>
    <t>股價淨值比(倍)</t>
  </si>
  <si>
    <t>=現價/每股淨值</t>
  </si>
  <si>
    <t>115/09/16</t>
  </si>
  <si>
    <t>115/09/17</t>
  </si>
  <si>
    <t>115/09/09</t>
  </si>
  <si>
    <t>非控制權益(季均)</t>
  </si>
  <si>
    <t>現金殖利率</t>
  </si>
  <si>
    <t>上市 成交值排行 (08/14)</t>
  </si>
  <si>
    <t>上櫃 成交值排行 (08/14)</t>
  </si>
  <si>
    <t>上市 券資比排行 (08/14)</t>
  </si>
  <si>
    <t>上櫃 券資比排行 (08/14)</t>
  </si>
  <si>
    <t>🔍 Google 新聞</t>
  </si>
  <si>
    <t>🌐 公司官網</t>
  </si>
  <si>
    <t>📈 CMoney 河流圖</t>
  </si>
  <si>
    <t>📈 Goodinfo 週K河流圖</t>
  </si>
  <si>
    <t>📊 富邦-合約負債</t>
  </si>
  <si>
    <t>年化EPS(季×4)</t>
  </si>
  <si>
    <t>對應本益比</t>
  </si>
  <si>
    <t>年化推估股價</t>
  </si>
  <si>
    <t>現金流量表(單位:千元)</t>
  </si>
  <si>
    <t>月殖利率(月末)</t>
  </si>
  <si>
    <t>115/10/08</t>
  </si>
  <si>
    <t>(以下為保留區:更換個股時貼上 TWSE 證券編碼查詢結果)</t>
  </si>
  <si>
    <t>減資一覽表(手動維護)</t>
  </si>
  <si>
    <t>用途:當分析的個股「近期辦理減資」時,股價預估頁的 EPS 計算(E25)會以股票名稱到本表 B 欄查詢、取第 4 欄(E 欄)的校正值。個股未減資時本表留空即可,不影響模型。</t>
  </si>
  <si>
    <t>資料來源:證交所 首頁&gt;市場公告&gt;普通股減資&gt;減資預告表,或公開資訊觀測站(mops.twse.com.tw);查到資料後貼上或叫 Claude 整理。</t>
  </si>
  <si>
    <t>股票名稱(查詢鍵)</t>
  </si>
  <si>
    <t>減資恢復買賣日</t>
  </si>
  <si>
    <t>校正值(E25 查詢用)</t>
  </si>
  <si>
    <t>漲跌</t>
  </si>
  <si>
    <t>收盤價</t>
  </si>
  <si>
    <t>漲跌幅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</si>
</sst>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yyyy/mm"/>
    <numFmt numFmtId="177" formatCode="yyyy/m"/>
    <numFmt numFmtId="178" formatCode="yy/mm/dd"/>
    <numFmt numFmtId="179" formatCode="yyyy/mm/dd"/>
    <numFmt numFmtId="180" formatCode="0.0"/>
    <numFmt numFmtId="181" formatCode="#,##0.0"/>
    <numFmt numFmtId="182" formatCode="0.0%;\(0.0%\);\-"/>
    <numFmt numFmtId="183" formatCode="0.0%"/>
    <numFmt numFmtId="184" formatCode="#,##0.00;\(#,##0.00\)"/>
    <numFmt numFmtId="185" formatCode="\+0.0%;\-0.0%;\-"/>
    <numFmt numFmtId="186" formatCode="\+0.0%;\-0.0%"/>
    <numFmt numFmtId="187" formatCode="0.000%"/>
    <numFmt numFmtId="188" formatCode="#,##0;\(#,##0\)"/>
    <numFmt numFmtId="189" formatCode="\+0.00;\-0.00;0.00"/>
    <numFmt numFmtId="190" formatCode="\+0.0%;\-0.0%;0.0%"/>
  </numFmts>
  <fonts count="74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1"/>
      <color rgb="FF000000"/>
      <name val="Inconsolata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  <scheme val="minor"/>
    </font>
    <font>
      <sz val="11"/>
      <color rgb="FFFFFFFF"/>
      <name val="Arial"/>
      <family val="2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24"/>
      <color rgb="FF000000"/>
      <name val="Calibri"/>
      <family val="2"/>
    </font>
    <font>
      <b/>
      <sz val="90"/>
      <color theme="1"/>
      <name val="Calibri"/>
      <family val="2"/>
    </font>
    <font>
      <sz val="10"/>
      <name val="Arial"/>
      <family val="2"/>
    </font>
    <font>
      <sz val="24"/>
      <color theme="1"/>
      <name val="Calibri"/>
      <family val="2"/>
    </font>
    <font>
      <sz val="10"/>
      <color theme="1"/>
      <name val="Calibri"/>
      <family val="2"/>
    </font>
    <font>
      <sz val="27"/>
      <color theme="1"/>
      <name val="Calibri"/>
      <family val="2"/>
    </font>
    <font>
      <sz val="10"/>
      <color rgb="FF000000"/>
      <name val="Calibri"/>
      <family val="2"/>
    </font>
    <font>
      <b/>
      <sz val="40"/>
      <color theme="1"/>
      <name val="Calibri"/>
      <family val="2"/>
    </font>
    <font>
      <sz val="11"/>
      <color theme="1"/>
      <name val="Arial"/>
      <family val="2"/>
      <scheme val="minor"/>
    </font>
    <font>
      <b/>
      <sz val="14"/>
      <color rgb="FF000000"/>
      <name val="Calibri"/>
      <family val="2"/>
    </font>
    <font>
      <sz val="11"/>
      <color rgb="FF008000"/>
      <name val="Calibri"/>
      <family val="2"/>
    </font>
    <font>
      <sz val="12"/>
      <color rgb="FFFF0000"/>
      <name val="Calibri"/>
      <family val="2"/>
    </font>
    <font>
      <sz val="16"/>
      <color rgb="FF292929"/>
      <name val="Calibri"/>
      <family val="2"/>
    </font>
    <font>
      <b/>
      <sz val="15"/>
      <color rgb="FFFF0066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rgb="FF1155CC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9"/>
      <color theme="1"/>
      <name val="Calibri"/>
      <family val="2"/>
    </font>
    <font>
      <b/>
      <sz val="15"/>
      <color theme="1"/>
      <name val="Calibri"/>
      <family val="2"/>
    </font>
    <font>
      <sz val="10"/>
      <color theme="1"/>
      <name val="Calibri"/>
      <family val="2"/>
    </font>
    <font>
      <sz val="12"/>
      <color rgb="FFF7981D"/>
      <name val="Calibri"/>
      <family val="2"/>
    </font>
    <font>
      <sz val="12"/>
      <color rgb="FF000000"/>
      <name val="&quot;docs-Calibri&quot;"/>
    </font>
    <font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1F1F1F"/>
      <name val="Calibri"/>
      <family val="2"/>
    </font>
    <font>
      <sz val="12"/>
      <color rgb="FF000000"/>
      <name val="&quot;Google Sans Mono&quot;"/>
    </font>
    <font>
      <u/>
      <sz val="10"/>
      <color theme="10"/>
      <name val="Arial"/>
      <family val="2"/>
      <scheme val="minor"/>
    </font>
    <font>
      <sz val="9"/>
      <name val="Arial"/>
      <family val="3"/>
      <charset val="136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8"/>
      <color rgb="FF1F3864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833C00"/>
      <name val="Arial"/>
      <family val="2"/>
      <scheme val="minor"/>
    </font>
    <font>
      <sz val="10"/>
      <color rgb="FFC00000"/>
      <name val="Arial"/>
      <family val="2"/>
      <scheme val="minor"/>
    </font>
    <font>
      <b/>
      <sz val="11"/>
      <color rgb="FFC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4"/>
      <color rgb="FF1F3864"/>
      <name val="Arial"/>
      <family val="2"/>
      <scheme val="minor"/>
    </font>
    <font>
      <sz val="9"/>
      <color rgb="FF80808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1F3864"/>
      <name val="Arial"/>
      <family val="2"/>
      <scheme val="minor"/>
    </font>
    <font>
      <sz val="9"/>
      <color rgb="FF808080"/>
      <name val="Calibri"/>
      <family val="2"/>
    </font>
    <font>
      <b/>
      <sz val="11"/>
      <color rgb="FFFFFFFF"/>
      <name val="Inconsolata"/>
    </font>
    <font>
      <b/>
      <sz val="10"/>
      <color rgb="FF1F1F1F"/>
      <name val="Arial"/>
      <family val="2"/>
      <scheme val="minor"/>
    </font>
    <font>
      <sz val="10"/>
      <color rgb="FF008000"/>
      <name val="Arial"/>
      <family val="2"/>
      <scheme val="minor"/>
    </font>
    <font>
      <b/>
      <sz val="11"/>
      <color rgb="FF1F1F1F"/>
      <name val="Calibri"/>
      <family val="2"/>
    </font>
    <font>
      <b/>
      <sz val="9"/>
      <color rgb="FF000000"/>
      <name val="Arial"/>
      <family val="2"/>
      <scheme val="minor"/>
    </font>
    <font>
      <b/>
      <sz val="10"/>
      <color rgb="FF1F4E79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u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  <font>
      <sz val="10"/>
      <color rgb="FF7F7F7F"/>
      <name val="Calibri"/>
      <family val="2"/>
    </font>
    <font>
      <i/>
      <sz val="9"/>
      <color rgb="FF999999"/>
      <name val="Arial"/>
      <family val="2"/>
      <scheme val="minor"/>
    </font>
    <font>
      <b/>
      <sz val="13"/>
      <color rgb="FFFFFFFF"/>
      <name val="Arial"/>
      <family val="2"/>
      <scheme val="minor"/>
    </font>
    <font>
      <sz val="10"/>
      <color rgb="FF7F7F7F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3C78D8"/>
        <bgColor rgb="FF3C78D8"/>
      </patternFill>
    </fill>
    <fill>
      <patternFill patternType="solid">
        <fgColor rgb="FF8E7CC3"/>
        <bgColor rgb="FF8E7CC3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/>
      <right/>
      <top style="thick">
        <color rgb="FF1F4E79"/>
      </top>
      <bottom/>
      <diagonal/>
    </border>
    <border>
      <left/>
      <right/>
      <top/>
      <bottom style="thick">
        <color rgb="FF1F4E79"/>
      </bottom>
      <diagonal/>
    </border>
    <border>
      <left style="thick">
        <color rgb="FF1F4E79"/>
      </left>
      <right/>
      <top style="thick">
        <color rgb="FF1F4E79"/>
      </top>
      <bottom/>
      <diagonal/>
    </border>
    <border>
      <left style="thick">
        <color rgb="FF1F4E79"/>
      </left>
      <right/>
      <top/>
      <bottom/>
      <diagonal/>
    </border>
    <border>
      <left style="thick">
        <color rgb="FF1F4E79"/>
      </left>
      <right/>
      <top/>
      <bottom style="thick">
        <color rgb="FF1F4E79"/>
      </bottom>
      <diagonal/>
    </border>
    <border>
      <left/>
      <right style="thick">
        <color rgb="FF1F4E79"/>
      </right>
      <top style="thick">
        <color rgb="FF1F4E79"/>
      </top>
      <bottom/>
      <diagonal/>
    </border>
    <border>
      <left/>
      <right style="thick">
        <color rgb="FF1F4E79"/>
      </right>
      <top/>
      <bottom/>
      <diagonal/>
    </border>
    <border>
      <left/>
      <right style="thick">
        <color rgb="FF1F4E79"/>
      </right>
      <top/>
      <bottom style="thick">
        <color rgb="FF1F4E79"/>
      </bottom>
      <diagonal/>
    </border>
    <border>
      <left style="thick">
        <color rgb="FF1F4E79"/>
      </left>
      <right/>
      <top style="thick">
        <color rgb="FF1F4E79"/>
      </top>
      <bottom style="hair">
        <color rgb="FFD9D9D9"/>
      </bottom>
      <diagonal/>
    </border>
    <border>
      <left/>
      <right/>
      <top style="thick">
        <color rgb="FF1F4E79"/>
      </top>
      <bottom style="hair">
        <color rgb="FFD9D9D9"/>
      </bottom>
      <diagonal/>
    </border>
    <border>
      <left/>
      <right style="thick">
        <color rgb="FF1F4E79"/>
      </right>
      <top style="thick">
        <color rgb="FF1F4E79"/>
      </top>
      <bottom style="hair">
        <color rgb="FFD9D9D9"/>
      </bottom>
      <diagonal/>
    </border>
    <border>
      <left style="thick">
        <color rgb="FF1F4E79"/>
      </left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 style="thick">
        <color rgb="FF1F4E79"/>
      </right>
      <top style="hair">
        <color rgb="FFD9D9D9"/>
      </top>
      <bottom style="hair">
        <color rgb="FFD9D9D9"/>
      </bottom>
      <diagonal/>
    </border>
    <border>
      <left style="thick">
        <color rgb="FF1F4E79"/>
      </left>
      <right/>
      <top style="hair">
        <color rgb="FFD9D9D9"/>
      </top>
      <bottom style="thick">
        <color rgb="FF1F4E79"/>
      </bottom>
      <diagonal/>
    </border>
    <border>
      <left/>
      <right/>
      <top style="hair">
        <color rgb="FFD9D9D9"/>
      </top>
      <bottom style="thick">
        <color rgb="FF1F4E79"/>
      </bottom>
      <diagonal/>
    </border>
    <border>
      <left/>
      <right style="thick">
        <color rgb="FF1F4E79"/>
      </right>
      <top style="hair">
        <color rgb="FFD9D9D9"/>
      </top>
      <bottom style="thick">
        <color rgb="FF1F4E79"/>
      </bottom>
      <diagonal/>
    </border>
    <border>
      <left style="thick">
        <color rgb="FF1F4E79"/>
      </left>
      <right/>
      <top/>
      <bottom style="thin">
        <color rgb="FF000000"/>
      </bottom>
      <diagonal/>
    </border>
    <border>
      <left/>
      <right style="thick">
        <color rgb="FF1F4E79"/>
      </right>
      <top/>
      <bottom style="thin">
        <color rgb="FF000000"/>
      </bottom>
      <diagonal/>
    </border>
    <border>
      <left style="thick">
        <color rgb="FF1F4E79"/>
      </left>
      <right style="thick">
        <color rgb="FF1F4E79"/>
      </right>
      <top style="thick">
        <color rgb="FF1F4E79"/>
      </top>
      <bottom/>
      <diagonal/>
    </border>
    <border>
      <left style="thick">
        <color rgb="FF1F4E79"/>
      </left>
      <right style="thick">
        <color rgb="FF1F4E79"/>
      </right>
      <top/>
      <bottom/>
      <diagonal/>
    </border>
    <border>
      <left style="thick">
        <color rgb="FF1F4E79"/>
      </left>
      <right style="thick">
        <color rgb="FF1F4E79"/>
      </right>
      <top/>
      <bottom style="thin">
        <color rgb="FF000000"/>
      </bottom>
      <diagonal/>
    </border>
    <border>
      <left style="thick">
        <color rgb="FF1F4E79"/>
      </left>
      <right style="thick">
        <color rgb="FF1F4E79"/>
      </right>
      <top/>
      <bottom style="thick">
        <color rgb="FF1F4E79"/>
      </bottom>
      <diagonal/>
    </border>
    <border>
      <left/>
      <right/>
      <top style="medium">
        <color rgb="FF1F4E79"/>
      </top>
      <bottom/>
      <diagonal/>
    </border>
    <border>
      <left/>
      <right/>
      <top/>
      <bottom style="medium">
        <color rgb="FF1F4E79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/>
      <top/>
      <bottom/>
      <diagonal/>
    </border>
    <border>
      <left style="medium">
        <color rgb="FF1F4E79"/>
      </left>
      <right/>
      <top/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 style="medium">
        <color rgb="FF1F4E79"/>
      </right>
      <top/>
      <bottom/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 style="medium">
        <color rgb="FF1F4E79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 style="medium">
        <color rgb="FF1F4E79"/>
      </right>
      <top style="medium">
        <color rgb="FF1F4E79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9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medium">
        <color rgb="FF1F4E79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1F4E79"/>
      </bottom>
      <diagonal/>
    </border>
    <border>
      <left/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medium">
        <color rgb="FFC55A11"/>
      </left>
      <right style="thin">
        <color rgb="FFBFBFBF"/>
      </right>
      <top style="medium">
        <color rgb="FFC55A1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C55A11"/>
      </top>
      <bottom style="thin">
        <color rgb="FFBFBFBF"/>
      </bottom>
      <diagonal/>
    </border>
    <border>
      <left style="thin">
        <color rgb="FFBFBFBF"/>
      </left>
      <right style="medium">
        <color rgb="FFC55A11"/>
      </right>
      <top style="medium">
        <color rgb="FFC55A11"/>
      </top>
      <bottom style="thin">
        <color rgb="FFBFBFBF"/>
      </bottom>
      <diagonal/>
    </border>
    <border>
      <left style="medium">
        <color rgb="FFC55A1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C55A11"/>
      </right>
      <top style="thin">
        <color rgb="FFBFBFBF"/>
      </top>
      <bottom style="thin">
        <color rgb="FFBFBFBF"/>
      </bottom>
      <diagonal/>
    </border>
    <border>
      <left style="medium">
        <color rgb="FFC55A11"/>
      </left>
      <right style="thin">
        <color rgb="FFBFBFBF"/>
      </right>
      <top style="thin">
        <color rgb="FFBFBFBF"/>
      </top>
      <bottom style="medium">
        <color rgb="FFC55A1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C55A11"/>
      </bottom>
      <diagonal/>
    </border>
    <border>
      <left style="thin">
        <color rgb="FFBFBFBF"/>
      </left>
      <right style="medium">
        <color rgb="FFC55A11"/>
      </right>
      <top style="thin">
        <color rgb="FFBFBFBF"/>
      </top>
      <bottom style="medium">
        <color rgb="FFC55A11"/>
      </bottom>
      <diagonal/>
    </border>
    <border>
      <left style="thin">
        <color rgb="FFBFBFBF"/>
      </left>
      <right/>
      <top style="medium">
        <color rgb="FFC55A11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C55A11"/>
      </bottom>
      <diagonal/>
    </border>
    <border>
      <left style="medium">
        <color rgb="FF375623"/>
      </left>
      <right style="thin">
        <color rgb="FFBFBFBF"/>
      </right>
      <top style="medium">
        <color rgb="FF375623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375623"/>
      </top>
      <bottom style="thin">
        <color rgb="FFBFBFBF"/>
      </bottom>
      <diagonal/>
    </border>
    <border>
      <left style="thin">
        <color rgb="FFBFBFBF"/>
      </left>
      <right style="medium">
        <color rgb="FF375623"/>
      </right>
      <top style="medium">
        <color rgb="FF375623"/>
      </top>
      <bottom style="thin">
        <color rgb="FFBFBFBF"/>
      </bottom>
      <diagonal/>
    </border>
    <border>
      <left style="medium">
        <color rgb="FF37562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375623"/>
      </right>
      <top style="thin">
        <color rgb="FFBFBFBF"/>
      </top>
      <bottom style="thin">
        <color rgb="FFBFBFBF"/>
      </bottom>
      <diagonal/>
    </border>
    <border>
      <left style="medium">
        <color rgb="FF375623"/>
      </left>
      <right style="thin">
        <color rgb="FFBFBFBF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 style="medium">
        <color rgb="FF375623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/>
      <top style="medium">
        <color rgb="FF375623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375623"/>
      </bottom>
      <diagonal/>
    </border>
    <border>
      <left style="medium">
        <color rgb="FF595959"/>
      </left>
      <right style="thin">
        <color rgb="FFBFBFBF"/>
      </right>
      <top style="medium">
        <color rgb="FF59595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595959"/>
      </top>
      <bottom style="thin">
        <color rgb="FFBFBFBF"/>
      </bottom>
      <diagonal/>
    </border>
    <border>
      <left style="thin">
        <color rgb="FFBFBFBF"/>
      </left>
      <right style="medium">
        <color rgb="FF595959"/>
      </right>
      <top style="medium">
        <color rgb="FF595959"/>
      </top>
      <bottom style="thin">
        <color rgb="FFBFBFBF"/>
      </bottom>
      <diagonal/>
    </border>
    <border>
      <left style="medium">
        <color rgb="FF595959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>
      <left style="thin">
        <color rgb="FFBFBFBF"/>
      </left>
      <right style="medium">
        <color rgb="FF595959"/>
      </right>
      <top style="thin">
        <color rgb="FFBFBFBF"/>
      </top>
      <bottom style="medium">
        <color rgb="FF595959"/>
      </bottom>
      <diagonal/>
    </border>
    <border>
      <left style="medium">
        <color rgb="FF59595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595959"/>
      </right>
      <top style="thin">
        <color rgb="FFBFBFBF"/>
      </top>
      <bottom style="thin">
        <color rgb="FFBFBFBF"/>
      </bottom>
      <diagonal/>
    </border>
    <border>
      <left/>
      <right/>
      <top style="hair">
        <color rgb="FFD9D9D9"/>
      </top>
      <bottom/>
      <diagonal/>
    </border>
    <border>
      <left/>
      <right style="thick">
        <color rgb="FF1F4E79"/>
      </right>
      <top style="hair">
        <color rgb="FFD9D9D9"/>
      </top>
      <bottom/>
      <diagonal/>
    </border>
    <border>
      <left style="thick">
        <color rgb="FF1F4E79"/>
      </left>
      <right/>
      <top style="hair">
        <color rgb="FFD9D9D9"/>
      </top>
      <bottom style="medium">
        <color rgb="FF1F4E79"/>
      </bottom>
      <diagonal/>
    </border>
    <border>
      <left/>
      <right/>
      <top style="hair">
        <color rgb="FFD9D9D9"/>
      </top>
      <bottom style="medium">
        <color rgb="FF1F4E79"/>
      </bottom>
      <diagonal/>
    </border>
    <border>
      <left/>
      <right style="thick">
        <color rgb="FF1F4E79"/>
      </right>
      <top style="hair">
        <color rgb="FFD9D9D9"/>
      </top>
      <bottom style="medium">
        <color rgb="FF1F4E79"/>
      </bottom>
      <diagonal/>
    </border>
  </borders>
  <cellStyleXfs count="2">
    <xf numFmtId="0" fontId="0" fillId="0" borderId="0"/>
    <xf numFmtId="0" fontId="42" fillId="0" borderId="0" applyNumberFormat="0" applyFill="0" applyBorder="0" applyAlignment="0" applyProtection="0"/>
  </cellStyleXfs>
  <cellXfs count="77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0" fontId="3" fillId="0" borderId="0" xfId="0" applyNumberFormat="1" applyFont="1"/>
    <xf numFmtId="10" fontId="3" fillId="2" borderId="0" xfId="0" applyNumberFormat="1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3" fillId="2" borderId="0" xfId="0" applyFont="1" applyFill="1"/>
    <xf numFmtId="4" fontId="3" fillId="0" borderId="0" xfId="0" applyNumberFormat="1" applyFont="1"/>
    <xf numFmtId="2" fontId="3" fillId="0" borderId="0" xfId="0" applyNumberFormat="1" applyFont="1" applyAlignment="1">
      <alignment horizontal="center"/>
    </xf>
    <xf numFmtId="0" fontId="3" fillId="0" borderId="1" xfId="0" applyFont="1" applyBorder="1"/>
    <xf numFmtId="10" fontId="1" fillId="0" borderId="0" xfId="0" applyNumberFormat="1" applyFont="1"/>
    <xf numFmtId="3" fontId="1" fillId="2" borderId="0" xfId="0" applyNumberFormat="1" applyFont="1" applyFill="1"/>
    <xf numFmtId="0" fontId="3" fillId="8" borderId="0" xfId="0" applyFont="1" applyFill="1"/>
    <xf numFmtId="2" fontId="3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1" xfId="0" applyNumberFormat="1" applyFont="1" applyBorder="1"/>
    <xf numFmtId="2" fontId="3" fillId="0" borderId="6" xfId="0" applyNumberFormat="1" applyFont="1" applyBorder="1"/>
    <xf numFmtId="176" fontId="3" fillId="0" borderId="0" xfId="0" applyNumberFormat="1" applyFont="1"/>
    <xf numFmtId="14" fontId="3" fillId="0" borderId="0" xfId="0" applyNumberFormat="1" applyFont="1" applyAlignment="1">
      <alignment horizontal="right"/>
    </xf>
    <xf numFmtId="14" fontId="3" fillId="0" borderId="0" xfId="0" applyNumberFormat="1" applyFont="1"/>
    <xf numFmtId="177" fontId="3" fillId="0" borderId="0" xfId="0" applyNumberFormat="1" applyFont="1"/>
    <xf numFmtId="0" fontId="3" fillId="2" borderId="0" xfId="0" applyFont="1" applyFill="1" applyAlignment="1">
      <alignment horizontal="center"/>
    </xf>
    <xf numFmtId="2" fontId="3" fillId="2" borderId="0" xfId="0" applyNumberFormat="1" applyFont="1" applyFill="1"/>
    <xf numFmtId="2" fontId="3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right"/>
    </xf>
    <xf numFmtId="10" fontId="3" fillId="8" borderId="0" xfId="0" applyNumberFormat="1" applyFont="1" applyFill="1"/>
    <xf numFmtId="0" fontId="3" fillId="0" borderId="7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9" borderId="0" xfId="0" applyFont="1" applyFill="1"/>
    <xf numFmtId="3" fontId="3" fillId="8" borderId="0" xfId="0" applyNumberFormat="1" applyFont="1" applyFill="1"/>
    <xf numFmtId="0" fontId="3" fillId="0" borderId="9" xfId="0" applyFont="1" applyBorder="1"/>
    <xf numFmtId="0" fontId="3" fillId="9" borderId="10" xfId="0" applyFont="1" applyFill="1" applyBorder="1"/>
    <xf numFmtId="0" fontId="3" fillId="0" borderId="10" xfId="0" applyFont="1" applyBorder="1"/>
    <xf numFmtId="0" fontId="3" fillId="9" borderId="11" xfId="0" applyFont="1" applyFill="1" applyBorder="1"/>
    <xf numFmtId="0" fontId="3" fillId="0" borderId="5" xfId="0" applyFont="1" applyBorder="1" applyAlignment="1">
      <alignment horizontal="center"/>
    </xf>
    <xf numFmtId="0" fontId="3" fillId="10" borderId="0" xfId="0" applyFont="1" applyFill="1"/>
    <xf numFmtId="0" fontId="3" fillId="0" borderId="9" xfId="0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78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14" fontId="5" fillId="0" borderId="0" xfId="0" applyNumberFormat="1" applyFont="1"/>
    <xf numFmtId="14" fontId="6" fillId="0" borderId="0" xfId="0" applyNumberFormat="1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79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176" fontId="5" fillId="0" borderId="0" xfId="0" applyNumberFormat="1" applyFont="1" applyAlignment="1">
      <alignment horizontal="center"/>
    </xf>
    <xf numFmtId="177" fontId="5" fillId="0" borderId="0" xfId="0" applyNumberFormat="1" applyFont="1" applyAlignment="1">
      <alignment horizontal="center"/>
    </xf>
    <xf numFmtId="0" fontId="10" fillId="0" borderId="0" xfId="0" applyFont="1"/>
    <xf numFmtId="1" fontId="10" fillId="0" borderId="0" xfId="0" applyNumberFormat="1" applyFont="1"/>
    <xf numFmtId="0" fontId="12" fillId="0" borderId="1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4" fontId="17" fillId="11" borderId="9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0" fontId="12" fillId="2" borderId="7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0" fontId="12" fillId="8" borderId="1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3" fontId="12" fillId="0" borderId="12" xfId="0" applyNumberFormat="1" applyFont="1" applyBorder="1" applyAlignment="1">
      <alignment horizontal="center" vertical="center"/>
    </xf>
    <xf numFmtId="10" fontId="25" fillId="2" borderId="12" xfId="0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1" fontId="29" fillId="2" borderId="12" xfId="0" applyNumberFormat="1" applyFont="1" applyFill="1" applyBorder="1" applyAlignment="1">
      <alignment horizontal="center" vertical="center"/>
    </xf>
    <xf numFmtId="10" fontId="31" fillId="8" borderId="16" xfId="0" applyNumberFormat="1" applyFont="1" applyFill="1" applyBorder="1" applyAlignment="1">
      <alignment horizontal="center" vertical="center"/>
    </xf>
    <xf numFmtId="0" fontId="28" fillId="13" borderId="26" xfId="0" applyFont="1" applyFill="1" applyBorder="1" applyAlignment="1">
      <alignment horizontal="center" vertical="center"/>
    </xf>
    <xf numFmtId="3" fontId="29" fillId="0" borderId="12" xfId="0" applyNumberFormat="1" applyFont="1" applyBorder="1" applyAlignment="1">
      <alignment horizontal="center" vertical="center"/>
    </xf>
    <xf numFmtId="3" fontId="25" fillId="2" borderId="12" xfId="0" applyNumberFormat="1" applyFont="1" applyFill="1" applyBorder="1" applyAlignment="1">
      <alignment horizontal="center" vertical="center"/>
    </xf>
    <xf numFmtId="3" fontId="25" fillId="0" borderId="17" xfId="0" applyNumberFormat="1" applyFont="1" applyBorder="1" applyAlignment="1">
      <alignment horizontal="center" vertical="center"/>
    </xf>
    <xf numFmtId="180" fontId="1" fillId="2" borderId="0" xfId="0" applyNumberFormat="1" applyFont="1" applyFill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10" fontId="12" fillId="0" borderId="12" xfId="0" applyNumberFormat="1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10" fontId="12" fillId="8" borderId="21" xfId="0" applyNumberFormat="1" applyFont="1" applyFill="1" applyBorder="1" applyAlignment="1">
      <alignment horizontal="center" vertical="center"/>
    </xf>
    <xf numFmtId="181" fontId="29" fillId="2" borderId="29" xfId="0" applyNumberFormat="1" applyFont="1" applyFill="1" applyBorder="1" applyAlignment="1">
      <alignment horizontal="center" vertical="center"/>
    </xf>
    <xf numFmtId="181" fontId="25" fillId="0" borderId="30" xfId="0" applyNumberFormat="1" applyFont="1" applyBorder="1" applyAlignment="1">
      <alignment horizontal="center" vertical="center"/>
    </xf>
    <xf numFmtId="4" fontId="29" fillId="2" borderId="11" xfId="0" applyNumberFormat="1" applyFont="1" applyFill="1" applyBorder="1" applyAlignment="1">
      <alignment horizontal="center" vertical="center"/>
    </xf>
    <xf numFmtId="4" fontId="25" fillId="0" borderId="9" xfId="0" applyNumberFormat="1" applyFont="1" applyBorder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0" xfId="0" applyFont="1"/>
    <xf numFmtId="0" fontId="12" fillId="0" borderId="24" xfId="0" applyFont="1" applyBorder="1" applyAlignment="1">
      <alignment horizontal="center" vertical="center"/>
    </xf>
    <xf numFmtId="10" fontId="10" fillId="0" borderId="0" xfId="0" applyNumberFormat="1" applyFont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9" fillId="2" borderId="0" xfId="0" applyFont="1" applyFill="1" applyAlignment="1">
      <alignment horizontal="center" vertical="center"/>
    </xf>
    <xf numFmtId="0" fontId="12" fillId="13" borderId="18" xfId="0" applyFont="1" applyFill="1" applyBorder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10" fontId="12" fillId="2" borderId="21" xfId="0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0" fontId="12" fillId="8" borderId="35" xfId="0" applyNumberFormat="1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10" fontId="12" fillId="8" borderId="29" xfId="0" applyNumberFormat="1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0" fontId="12" fillId="2" borderId="23" xfId="0" applyNumberFormat="1" applyFont="1" applyFill="1" applyBorder="1" applyAlignment="1">
      <alignment horizontal="center" vertical="center"/>
    </xf>
    <xf numFmtId="2" fontId="12" fillId="0" borderId="36" xfId="0" applyNumberFormat="1" applyFont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2" fontId="12" fillId="2" borderId="16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>
      <alignment horizontal="center" vertical="center"/>
    </xf>
    <xf numFmtId="10" fontId="12" fillId="2" borderId="22" xfId="0" applyNumberFormat="1" applyFont="1" applyFill="1" applyBorder="1" applyAlignment="1">
      <alignment horizontal="center" vertical="center"/>
    </xf>
    <xf numFmtId="10" fontId="12" fillId="0" borderId="15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2" borderId="12" xfId="0" applyFont="1" applyFill="1" applyBorder="1" applyAlignment="1">
      <alignment horizontal="center" vertical="center"/>
    </xf>
    <xf numFmtId="10" fontId="12" fillId="2" borderId="0" xfId="0" applyNumberFormat="1" applyFont="1" applyFill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2" fontId="28" fillId="2" borderId="37" xfId="0" applyNumberFormat="1" applyFont="1" applyFill="1" applyBorder="1" applyAlignment="1">
      <alignment horizontal="center" vertical="center"/>
    </xf>
    <xf numFmtId="10" fontId="12" fillId="0" borderId="16" xfId="0" applyNumberFormat="1" applyFont="1" applyBorder="1" applyAlignment="1">
      <alignment horizontal="center" vertical="center"/>
    </xf>
    <xf numFmtId="2" fontId="31" fillId="0" borderId="16" xfId="0" applyNumberFormat="1" applyFont="1" applyBorder="1" applyAlignment="1">
      <alignment horizontal="center" vertical="center"/>
    </xf>
    <xf numFmtId="10" fontId="12" fillId="0" borderId="23" xfId="0" applyNumberFormat="1" applyFont="1" applyBorder="1" applyAlignment="1">
      <alignment horizontal="center" vertical="center"/>
    </xf>
    <xf numFmtId="10" fontId="10" fillId="0" borderId="38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5" xfId="0" applyNumberFormat="1" applyFont="1" applyBorder="1" applyAlignment="1">
      <alignment horizontal="center" vertical="center"/>
    </xf>
    <xf numFmtId="10" fontId="10" fillId="0" borderId="10" xfId="0" applyNumberFormat="1" applyFont="1" applyBorder="1" applyAlignment="1">
      <alignment horizontal="center" vertical="center"/>
    </xf>
    <xf numFmtId="10" fontId="10" fillId="0" borderId="1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4" fontId="31" fillId="8" borderId="25" xfId="0" applyNumberFormat="1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31" fillId="8" borderId="16" xfId="0" applyFont="1" applyFill="1" applyBorder="1" applyAlignment="1">
      <alignment horizontal="center" vertical="center"/>
    </xf>
    <xf numFmtId="2" fontId="12" fillId="2" borderId="39" xfId="0" applyNumberFormat="1" applyFont="1" applyFill="1" applyBorder="1" applyAlignment="1">
      <alignment horizontal="center" vertical="center"/>
    </xf>
    <xf numFmtId="2" fontId="31" fillId="8" borderId="22" xfId="0" applyNumberFormat="1" applyFont="1" applyFill="1" applyBorder="1" applyAlignment="1">
      <alignment horizontal="center" vertical="center"/>
    </xf>
    <xf numFmtId="2" fontId="12" fillId="2" borderId="40" xfId="0" applyNumberFormat="1" applyFont="1" applyFill="1" applyBorder="1" applyAlignment="1">
      <alignment horizontal="center" vertical="center"/>
    </xf>
    <xf numFmtId="2" fontId="31" fillId="2" borderId="16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vertical="center"/>
    </xf>
    <xf numFmtId="0" fontId="31" fillId="0" borderId="0" xfId="0" applyFont="1" applyAlignment="1">
      <alignment horizontal="left" vertical="center" wrapText="1"/>
    </xf>
    <xf numFmtId="2" fontId="12" fillId="2" borderId="0" xfId="0" applyNumberFormat="1" applyFont="1" applyFill="1" applyAlignment="1">
      <alignment horizontal="center" vertical="center"/>
    </xf>
    <xf numFmtId="10" fontId="12" fillId="2" borderId="36" xfId="0" applyNumberFormat="1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4" fontId="12" fillId="2" borderId="41" xfId="0" applyNumberFormat="1" applyFont="1" applyFill="1" applyBorder="1" applyAlignment="1">
      <alignment horizontal="center" vertical="center"/>
    </xf>
    <xf numFmtId="2" fontId="31" fillId="2" borderId="21" xfId="0" applyNumberFormat="1" applyFont="1" applyFill="1" applyBorder="1" applyAlignment="1">
      <alignment horizontal="center" vertical="center"/>
    </xf>
    <xf numFmtId="10" fontId="12" fillId="8" borderId="23" xfId="0" applyNumberFormat="1" applyFont="1" applyFill="1" applyBorder="1" applyAlignment="1">
      <alignment horizontal="center" vertical="center"/>
    </xf>
    <xf numFmtId="10" fontId="12" fillId="0" borderId="2" xfId="0" applyNumberFormat="1" applyFont="1" applyBorder="1" applyAlignment="1">
      <alignment horizontal="center" vertical="center"/>
    </xf>
    <xf numFmtId="10" fontId="12" fillId="0" borderId="3" xfId="0" applyNumberFormat="1" applyFont="1" applyBorder="1" applyAlignment="1">
      <alignment horizontal="center" vertical="center"/>
    </xf>
    <xf numFmtId="10" fontId="12" fillId="0" borderId="41" xfId="0" applyNumberFormat="1" applyFont="1" applyBorder="1" applyAlignment="1">
      <alignment horizontal="center" vertical="center"/>
    </xf>
    <xf numFmtId="10" fontId="12" fillId="0" borderId="7" xfId="0" applyNumberFormat="1" applyFont="1" applyBorder="1" applyAlignment="1">
      <alignment horizontal="center" vertical="center"/>
    </xf>
    <xf numFmtId="2" fontId="12" fillId="0" borderId="0" xfId="0" applyNumberFormat="1" applyFont="1" applyAlignment="1">
      <alignment horizontal="center"/>
    </xf>
    <xf numFmtId="10" fontId="12" fillId="0" borderId="24" xfId="0" applyNumberFormat="1" applyFont="1" applyBorder="1" applyAlignment="1">
      <alignment horizontal="center" vertical="center"/>
    </xf>
    <xf numFmtId="10" fontId="12" fillId="0" borderId="31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2" fontId="12" fillId="0" borderId="41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/>
    </xf>
    <xf numFmtId="9" fontId="12" fillId="2" borderId="0" xfId="0" applyNumberFormat="1" applyFont="1" applyFill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9" fontId="12" fillId="2" borderId="0" xfId="0" applyNumberFormat="1" applyFont="1" applyFill="1" applyAlignment="1">
      <alignment horizontal="center"/>
    </xf>
    <xf numFmtId="10" fontId="12" fillId="0" borderId="21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37" fillId="0" borderId="0" xfId="0" applyFont="1"/>
    <xf numFmtId="0" fontId="10" fillId="0" borderId="7" xfId="0" applyFont="1" applyBorder="1" applyAlignment="1">
      <alignment horizontal="center"/>
    </xf>
    <xf numFmtId="3" fontId="10" fillId="0" borderId="0" xfId="0" applyNumberFormat="1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4" fontId="12" fillId="0" borderId="0" xfId="0" applyNumberFormat="1" applyFont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10" fontId="12" fillId="0" borderId="12" xfId="0" applyNumberFormat="1" applyFont="1" applyBorder="1" applyAlignment="1">
      <alignment horizontal="left" vertical="center"/>
    </xf>
    <xf numFmtId="2" fontId="10" fillId="0" borderId="0" xfId="0" applyNumberFormat="1" applyFont="1" applyAlignment="1">
      <alignment horizontal="center"/>
    </xf>
    <xf numFmtId="0" fontId="35" fillId="2" borderId="18" xfId="0" applyFont="1" applyFill="1" applyBorder="1" applyAlignment="1">
      <alignment horizontal="center" vertical="center"/>
    </xf>
    <xf numFmtId="0" fontId="35" fillId="2" borderId="19" xfId="0" applyFont="1" applyFill="1" applyBorder="1" applyAlignment="1">
      <alignment horizontal="center" vertical="center"/>
    </xf>
    <xf numFmtId="0" fontId="35" fillId="2" borderId="20" xfId="0" applyFont="1" applyFill="1" applyBorder="1" applyAlignment="1">
      <alignment horizontal="center" vertical="center"/>
    </xf>
    <xf numFmtId="0" fontId="35" fillId="13" borderId="18" xfId="0" applyFont="1" applyFill="1" applyBorder="1" applyAlignment="1">
      <alignment horizontal="center" vertical="center"/>
    </xf>
    <xf numFmtId="0" fontId="3" fillId="0" borderId="19" xfId="0" applyFont="1" applyBorder="1"/>
    <xf numFmtId="10" fontId="39" fillId="0" borderId="21" xfId="0" applyNumberFormat="1" applyFont="1" applyBorder="1" applyAlignment="1">
      <alignment horizontal="center" vertical="center"/>
    </xf>
    <xf numFmtId="10" fontId="39" fillId="0" borderId="22" xfId="0" applyNumberFormat="1" applyFont="1" applyBorder="1" applyAlignment="1">
      <alignment horizontal="center" vertical="center"/>
    </xf>
    <xf numFmtId="10" fontId="39" fillId="0" borderId="23" xfId="0" applyNumberFormat="1" applyFont="1" applyBorder="1" applyAlignment="1">
      <alignment horizontal="center" vertical="center"/>
    </xf>
    <xf numFmtId="2" fontId="12" fillId="0" borderId="41" xfId="0" applyNumberFormat="1" applyFont="1" applyBorder="1" applyAlignment="1">
      <alignment horizontal="center"/>
    </xf>
    <xf numFmtId="2" fontId="12" fillId="14" borderId="36" xfId="0" applyNumberFormat="1" applyFont="1" applyFill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8" fillId="0" borderId="0" xfId="0" applyFont="1"/>
    <xf numFmtId="2" fontId="12" fillId="15" borderId="36" xfId="0" applyNumberFormat="1" applyFont="1" applyFill="1" applyBorder="1" applyAlignment="1">
      <alignment horizontal="center"/>
    </xf>
    <xf numFmtId="2" fontId="10" fillId="0" borderId="41" xfId="0" applyNumberFormat="1" applyFont="1" applyBorder="1" applyAlignment="1">
      <alignment horizontal="center"/>
    </xf>
    <xf numFmtId="0" fontId="3" fillId="0" borderId="36" xfId="0" applyFont="1" applyBorder="1"/>
    <xf numFmtId="0" fontId="18" fillId="0" borderId="0" xfId="0" applyFont="1" applyAlignment="1">
      <alignment horizontal="center"/>
    </xf>
    <xf numFmtId="2" fontId="12" fillId="16" borderId="36" xfId="0" applyNumberFormat="1" applyFont="1" applyFill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40" fillId="17" borderId="0" xfId="0" applyFont="1" applyFill="1" applyAlignment="1">
      <alignment horizontal="center"/>
    </xf>
    <xf numFmtId="2" fontId="12" fillId="18" borderId="36" xfId="0" applyNumberFormat="1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2" fontId="10" fillId="11" borderId="0" xfId="0" applyNumberFormat="1" applyFont="1" applyFill="1" applyAlignment="1">
      <alignment horizontal="center"/>
    </xf>
    <xf numFmtId="2" fontId="10" fillId="0" borderId="36" xfId="0" applyNumberFormat="1" applyFont="1" applyBorder="1" applyAlignment="1">
      <alignment horizontal="center"/>
    </xf>
    <xf numFmtId="0" fontId="12" fillId="11" borderId="0" xfId="0" applyFont="1" applyFill="1" applyAlignment="1">
      <alignment horizontal="center"/>
    </xf>
    <xf numFmtId="2" fontId="12" fillId="0" borderId="36" xfId="0" applyNumberFormat="1" applyFont="1" applyBorder="1" applyAlignment="1">
      <alignment horizontal="center"/>
    </xf>
    <xf numFmtId="2" fontId="10" fillId="8" borderId="0" xfId="0" applyNumberFormat="1" applyFont="1" applyFill="1" applyAlignment="1">
      <alignment horizontal="center"/>
    </xf>
    <xf numFmtId="2" fontId="12" fillId="19" borderId="36" xfId="0" applyNumberFormat="1" applyFont="1" applyFill="1" applyBorder="1" applyAlignment="1">
      <alignment horizontal="center" vertical="center"/>
    </xf>
    <xf numFmtId="0" fontId="10" fillId="17" borderId="0" xfId="0" applyFont="1" applyFill="1" applyAlignment="1">
      <alignment horizontal="center"/>
    </xf>
    <xf numFmtId="2" fontId="12" fillId="20" borderId="36" xfId="0" applyNumberFormat="1" applyFont="1" applyFill="1" applyBorder="1" applyAlignment="1">
      <alignment horizontal="center" vertical="center"/>
    </xf>
    <xf numFmtId="2" fontId="12" fillId="0" borderId="21" xfId="0" applyNumberFormat="1" applyFont="1" applyBorder="1" applyAlignment="1">
      <alignment horizontal="center"/>
    </xf>
    <xf numFmtId="2" fontId="12" fillId="21" borderId="23" xfId="0" applyNumberFormat="1" applyFont="1" applyFill="1" applyBorder="1" applyAlignment="1">
      <alignment horizontal="center"/>
    </xf>
    <xf numFmtId="2" fontId="10" fillId="0" borderId="21" xfId="0" applyNumberFormat="1" applyFont="1" applyBorder="1" applyAlignment="1">
      <alignment horizontal="center"/>
    </xf>
    <xf numFmtId="2" fontId="10" fillId="0" borderId="22" xfId="0" applyNumberFormat="1" applyFont="1" applyBorder="1" applyAlignment="1">
      <alignment horizontal="center"/>
    </xf>
    <xf numFmtId="0" fontId="3" fillId="0" borderId="23" xfId="0" applyFont="1" applyBorder="1"/>
    <xf numFmtId="0" fontId="12" fillId="0" borderId="0" xfId="0" applyFont="1" applyAlignment="1">
      <alignment horizontal="left"/>
    </xf>
    <xf numFmtId="0" fontId="35" fillId="0" borderId="0" xfId="0" applyFont="1" applyAlignment="1">
      <alignment horizontal="center" vertical="center"/>
    </xf>
    <xf numFmtId="0" fontId="41" fillId="2" borderId="0" xfId="0" applyFont="1" applyFill="1" applyAlignment="1">
      <alignment horizontal="center"/>
    </xf>
    <xf numFmtId="0" fontId="46" fillId="0" borderId="0" xfId="0" applyFont="1"/>
    <xf numFmtId="0" fontId="47" fillId="0" borderId="0" xfId="0" applyFont="1"/>
    <xf numFmtId="0" fontId="48" fillId="0" borderId="0" xfId="0" applyFont="1"/>
    <xf numFmtId="0" fontId="50" fillId="0" borderId="0" xfId="0" applyFont="1"/>
    <xf numFmtId="0" fontId="0" fillId="0" borderId="48" xfId="0" applyBorder="1"/>
    <xf numFmtId="0" fontId="51" fillId="23" borderId="46" xfId="0" applyFont="1" applyFill="1" applyBorder="1"/>
    <xf numFmtId="0" fontId="0" fillId="24" borderId="46" xfId="0" applyFill="1" applyBorder="1"/>
    <xf numFmtId="0" fontId="0" fillId="0" borderId="46" xfId="0" applyBorder="1"/>
    <xf numFmtId="0" fontId="52" fillId="0" borderId="0" xfId="0" applyFont="1"/>
    <xf numFmtId="0" fontId="53" fillId="0" borderId="0" xfId="0" applyFont="1"/>
    <xf numFmtId="183" fontId="0" fillId="0" borderId="0" xfId="0" applyNumberFormat="1"/>
    <xf numFmtId="3" fontId="0" fillId="0" borderId="0" xfId="0" applyNumberFormat="1"/>
    <xf numFmtId="0" fontId="51" fillId="23" borderId="49" xfId="0" applyFont="1" applyFill="1" applyBorder="1"/>
    <xf numFmtId="0" fontId="51" fillId="23" borderId="50" xfId="0" applyFont="1" applyFill="1" applyBorder="1" applyAlignment="1">
      <alignment horizontal="center"/>
    </xf>
    <xf numFmtId="0" fontId="51" fillId="23" borderId="51" xfId="0" applyFont="1" applyFill="1" applyBorder="1" applyAlignment="1">
      <alignment horizontal="center"/>
    </xf>
    <xf numFmtId="184" fontId="0" fillId="0" borderId="46" xfId="0" applyNumberFormat="1" applyBorder="1"/>
    <xf numFmtId="182" fontId="0" fillId="0" borderId="46" xfId="0" applyNumberFormat="1" applyBorder="1"/>
    <xf numFmtId="182" fontId="0" fillId="0" borderId="45" xfId="0" applyNumberFormat="1" applyBorder="1"/>
    <xf numFmtId="0" fontId="45" fillId="0" borderId="48" xfId="0" applyFont="1" applyBorder="1"/>
    <xf numFmtId="184" fontId="45" fillId="0" borderId="46" xfId="0" applyNumberFormat="1" applyFont="1" applyBorder="1"/>
    <xf numFmtId="0" fontId="45" fillId="0" borderId="52" xfId="0" applyFont="1" applyBorder="1"/>
    <xf numFmtId="184" fontId="45" fillId="0" borderId="53" xfId="0" applyNumberFormat="1" applyFont="1" applyBorder="1"/>
    <xf numFmtId="182" fontId="0" fillId="0" borderId="53" xfId="0" applyNumberFormat="1" applyBorder="1"/>
    <xf numFmtId="182" fontId="0" fillId="0" borderId="54" xfId="0" applyNumberFormat="1" applyBorder="1"/>
    <xf numFmtId="0" fontId="56" fillId="0" borderId="52" xfId="0" applyFont="1" applyBorder="1"/>
    <xf numFmtId="184" fontId="56" fillId="0" borderId="53" xfId="0" applyNumberFormat="1" applyFont="1" applyBorder="1"/>
    <xf numFmtId="183" fontId="0" fillId="0" borderId="46" xfId="0" applyNumberFormat="1" applyBorder="1"/>
    <xf numFmtId="0" fontId="53" fillId="0" borderId="45" xfId="0" applyFont="1" applyBorder="1"/>
    <xf numFmtId="4" fontId="0" fillId="0" borderId="46" xfId="0" applyNumberFormat="1" applyBorder="1"/>
    <xf numFmtId="2" fontId="0" fillId="0" borderId="46" xfId="0" applyNumberFormat="1" applyBorder="1"/>
    <xf numFmtId="3" fontId="0" fillId="0" borderId="46" xfId="0" applyNumberFormat="1" applyBorder="1"/>
    <xf numFmtId="4" fontId="45" fillId="0" borderId="46" xfId="0" applyNumberFormat="1" applyFont="1" applyBorder="1"/>
    <xf numFmtId="0" fontId="53" fillId="0" borderId="45" xfId="0" quotePrefix="1" applyFont="1" applyBorder="1"/>
    <xf numFmtId="2" fontId="45" fillId="0" borderId="53" xfId="0" applyNumberFormat="1" applyFont="1" applyBorder="1"/>
    <xf numFmtId="0" fontId="0" fillId="0" borderId="53" xfId="0" applyBorder="1"/>
    <xf numFmtId="0" fontId="53" fillId="0" borderId="54" xfId="0" quotePrefix="1" applyFont="1" applyBorder="1"/>
    <xf numFmtId="10" fontId="57" fillId="0" borderId="0" xfId="0" applyNumberFormat="1" applyFont="1" applyAlignment="1">
      <alignment horizontal="right" vertical="center"/>
    </xf>
    <xf numFmtId="0" fontId="51" fillId="25" borderId="0" xfId="0" applyFont="1" applyFill="1"/>
    <xf numFmtId="0" fontId="59" fillId="22" borderId="0" xfId="0" applyFont="1" applyFill="1"/>
    <xf numFmtId="0" fontId="3" fillId="0" borderId="56" xfId="0" applyFont="1" applyBorder="1"/>
    <xf numFmtId="0" fontId="3" fillId="0" borderId="58" xfId="0" applyFont="1" applyBorder="1"/>
    <xf numFmtId="0" fontId="3" fillId="0" borderId="59" xfId="0" applyFont="1" applyBorder="1"/>
    <xf numFmtId="0" fontId="0" fillId="0" borderId="61" xfId="0" applyBorder="1"/>
    <xf numFmtId="0" fontId="51" fillId="25" borderId="64" xfId="0" applyFont="1" applyFill="1" applyBorder="1"/>
    <xf numFmtId="0" fontId="59" fillId="22" borderId="66" xfId="0" applyFont="1" applyFill="1" applyBorder="1"/>
    <xf numFmtId="0" fontId="59" fillId="22" borderId="67" xfId="0" applyFont="1" applyFill="1" applyBorder="1"/>
    <xf numFmtId="0" fontId="59" fillId="22" borderId="68" xfId="0" applyFont="1" applyFill="1" applyBorder="1"/>
    <xf numFmtId="176" fontId="3" fillId="0" borderId="66" xfId="0" applyNumberFormat="1" applyFont="1" applyBorder="1"/>
    <xf numFmtId="3" fontId="3" fillId="3" borderId="67" xfId="0" applyNumberFormat="1" applyFont="1" applyFill="1" applyBorder="1"/>
    <xf numFmtId="3" fontId="3" fillId="0" borderId="67" xfId="0" applyNumberFormat="1" applyFont="1" applyBorder="1"/>
    <xf numFmtId="0" fontId="0" fillId="0" borderId="66" xfId="0" applyBorder="1"/>
    <xf numFmtId="0" fontId="0" fillId="0" borderId="68" xfId="0" applyBorder="1"/>
    <xf numFmtId="0" fontId="3" fillId="0" borderId="66" xfId="0" applyFont="1" applyBorder="1"/>
    <xf numFmtId="0" fontId="3" fillId="0" borderId="68" xfId="0" applyFont="1" applyBorder="1"/>
    <xf numFmtId="0" fontId="3" fillId="2" borderId="66" xfId="0" applyFont="1" applyFill="1" applyBorder="1"/>
    <xf numFmtId="0" fontId="3" fillId="0" borderId="69" xfId="0" applyFont="1" applyBorder="1"/>
    <xf numFmtId="3" fontId="3" fillId="0" borderId="70" xfId="0" applyNumberFormat="1" applyFont="1" applyBorder="1"/>
    <xf numFmtId="3" fontId="3" fillId="2" borderId="66" xfId="0" applyNumberFormat="1" applyFont="1" applyFill="1" applyBorder="1"/>
    <xf numFmtId="3" fontId="3" fillId="2" borderId="67" xfId="0" applyNumberFormat="1" applyFont="1" applyFill="1" applyBorder="1"/>
    <xf numFmtId="3" fontId="3" fillId="0" borderId="66" xfId="0" applyNumberFormat="1" applyFont="1" applyBorder="1"/>
    <xf numFmtId="0" fontId="51" fillId="25" borderId="63" xfId="0" applyFont="1" applyFill="1" applyBorder="1"/>
    <xf numFmtId="0" fontId="51" fillId="25" borderId="65" xfId="0" applyFont="1" applyFill="1" applyBorder="1"/>
    <xf numFmtId="0" fontId="59" fillId="22" borderId="67" xfId="0" applyFont="1" applyFill="1" applyBorder="1" applyAlignment="1">
      <alignment horizontal="center"/>
    </xf>
    <xf numFmtId="0" fontId="0" fillId="0" borderId="69" xfId="0" applyBorder="1"/>
    <xf numFmtId="176" fontId="0" fillId="0" borderId="66" xfId="0" applyNumberFormat="1" applyBorder="1"/>
    <xf numFmtId="3" fontId="0" fillId="0" borderId="67" xfId="0" applyNumberFormat="1" applyBorder="1"/>
    <xf numFmtId="3" fontId="0" fillId="0" borderId="66" xfId="0" applyNumberFormat="1" applyBorder="1"/>
    <xf numFmtId="3" fontId="0" fillId="0" borderId="70" xfId="0" applyNumberFormat="1" applyBorder="1"/>
    <xf numFmtId="185" fontId="3" fillId="8" borderId="67" xfId="0" applyNumberFormat="1" applyFont="1" applyFill="1" applyBorder="1"/>
    <xf numFmtId="185" fontId="3" fillId="0" borderId="67" xfId="0" applyNumberFormat="1" applyFont="1" applyBorder="1"/>
    <xf numFmtId="185" fontId="0" fillId="0" borderId="67" xfId="0" applyNumberFormat="1" applyBorder="1"/>
    <xf numFmtId="185" fontId="3" fillId="2" borderId="67" xfId="0" applyNumberFormat="1" applyFont="1" applyFill="1" applyBorder="1"/>
    <xf numFmtId="0" fontId="59" fillId="22" borderId="60" xfId="0" applyFont="1" applyFill="1" applyBorder="1"/>
    <xf numFmtId="0" fontId="59" fillId="22" borderId="63" xfId="0" applyFont="1" applyFill="1" applyBorder="1"/>
    <xf numFmtId="0" fontId="59" fillId="22" borderId="64" xfId="0" applyFont="1" applyFill="1" applyBorder="1"/>
    <xf numFmtId="0" fontId="59" fillId="22" borderId="65" xfId="0" applyFont="1" applyFill="1" applyBorder="1"/>
    <xf numFmtId="0" fontId="3" fillId="8" borderId="66" xfId="0" applyFont="1" applyFill="1" applyBorder="1"/>
    <xf numFmtId="0" fontId="59" fillId="22" borderId="64" xfId="0" applyFont="1" applyFill="1" applyBorder="1" applyAlignment="1">
      <alignment horizontal="center"/>
    </xf>
    <xf numFmtId="2" fontId="59" fillId="22" borderId="64" xfId="0" applyNumberFormat="1" applyFont="1" applyFill="1" applyBorder="1" applyAlignment="1">
      <alignment horizontal="center"/>
    </xf>
    <xf numFmtId="2" fontId="59" fillId="22" borderId="65" xfId="0" applyNumberFormat="1" applyFont="1" applyFill="1" applyBorder="1" applyAlignment="1">
      <alignment horizontal="center"/>
    </xf>
    <xf numFmtId="183" fontId="3" fillId="3" borderId="67" xfId="0" applyNumberFormat="1" applyFont="1" applyFill="1" applyBorder="1"/>
    <xf numFmtId="183" fontId="3" fillId="0" borderId="67" xfId="0" applyNumberFormat="1" applyFont="1" applyBorder="1"/>
    <xf numFmtId="183" fontId="3" fillId="0" borderId="70" xfId="0" applyNumberFormat="1" applyFont="1" applyBorder="1"/>
    <xf numFmtId="183" fontId="3" fillId="3" borderId="68" xfId="0" applyNumberFormat="1" applyFont="1" applyFill="1" applyBorder="1"/>
    <xf numFmtId="183" fontId="3" fillId="0" borderId="68" xfId="0" applyNumberFormat="1" applyFont="1" applyBorder="1"/>
    <xf numFmtId="183" fontId="0" fillId="0" borderId="68" xfId="0" applyNumberFormat="1" applyBorder="1"/>
    <xf numFmtId="183" fontId="0" fillId="0" borderId="71" xfId="0" applyNumberFormat="1" applyBorder="1"/>
    <xf numFmtId="2" fontId="3" fillId="0" borderId="67" xfId="0" applyNumberFormat="1" applyFont="1" applyBorder="1"/>
    <xf numFmtId="2" fontId="3" fillId="0" borderId="70" xfId="0" applyNumberFormat="1" applyFont="1" applyBorder="1"/>
    <xf numFmtId="183" fontId="3" fillId="0" borderId="71" xfId="0" applyNumberFormat="1" applyFont="1" applyBorder="1"/>
    <xf numFmtId="0" fontId="59" fillId="22" borderId="65" xfId="0" applyFont="1" applyFill="1" applyBorder="1" applyAlignment="1">
      <alignment horizontal="center"/>
    </xf>
    <xf numFmtId="183" fontId="3" fillId="0" borderId="66" xfId="0" applyNumberFormat="1" applyFont="1" applyBorder="1"/>
    <xf numFmtId="0" fontId="61" fillId="22" borderId="0" xfId="0" applyFont="1" applyFill="1"/>
    <xf numFmtId="3" fontId="1" fillId="0" borderId="0" xfId="0" applyNumberFormat="1" applyFont="1"/>
    <xf numFmtId="3" fontId="1" fillId="7" borderId="0" xfId="0" applyNumberFormat="1" applyFont="1" applyFill="1"/>
    <xf numFmtId="0" fontId="61" fillId="22" borderId="55" xfId="0" applyFont="1" applyFill="1" applyBorder="1"/>
    <xf numFmtId="0" fontId="61" fillId="22" borderId="57" xfId="0" applyFont="1" applyFill="1" applyBorder="1"/>
    <xf numFmtId="0" fontId="1" fillId="0" borderId="58" xfId="0" applyFont="1" applyBorder="1"/>
    <xf numFmtId="0" fontId="1" fillId="5" borderId="58" xfId="0" applyFont="1" applyFill="1" applyBorder="1"/>
    <xf numFmtId="0" fontId="1" fillId="0" borderId="72" xfId="0" applyFont="1" applyBorder="1"/>
    <xf numFmtId="0" fontId="1" fillId="7" borderId="58" xfId="0" applyFont="1" applyFill="1" applyBorder="1"/>
    <xf numFmtId="0" fontId="1" fillId="0" borderId="59" xfId="0" applyFont="1" applyBorder="1"/>
    <xf numFmtId="0" fontId="61" fillId="22" borderId="60" xfId="0" applyFont="1" applyFill="1" applyBorder="1"/>
    <xf numFmtId="0" fontId="1" fillId="0" borderId="61" xfId="0" applyFont="1" applyBorder="1"/>
    <xf numFmtId="3" fontId="1" fillId="4" borderId="61" xfId="0" applyNumberFormat="1" applyFont="1" applyFill="1" applyBorder="1"/>
    <xf numFmtId="3" fontId="1" fillId="7" borderId="61" xfId="0" applyNumberFormat="1" applyFont="1" applyFill="1" applyBorder="1"/>
    <xf numFmtId="0" fontId="61" fillId="22" borderId="57" xfId="0" applyFont="1" applyFill="1" applyBorder="1" applyAlignment="1">
      <alignment horizontal="center"/>
    </xf>
    <xf numFmtId="0" fontId="1" fillId="2" borderId="58" xfId="0" applyFont="1" applyFill="1" applyBorder="1"/>
    <xf numFmtId="0" fontId="59" fillId="22" borderId="74" xfId="0" applyFont="1" applyFill="1" applyBorder="1"/>
    <xf numFmtId="0" fontId="0" fillId="0" borderId="75" xfId="0" applyBorder="1"/>
    <xf numFmtId="3" fontId="1" fillId="0" borderId="61" xfId="0" applyNumberFormat="1" applyFont="1" applyBorder="1"/>
    <xf numFmtId="3" fontId="1" fillId="4" borderId="73" xfId="0" applyNumberFormat="1" applyFont="1" applyFill="1" applyBorder="1"/>
    <xf numFmtId="3" fontId="1" fillId="2" borderId="58" xfId="0" applyNumberFormat="1" applyFont="1" applyFill="1" applyBorder="1"/>
    <xf numFmtId="3" fontId="0" fillId="0" borderId="61" xfId="0" applyNumberFormat="1" applyBorder="1"/>
    <xf numFmtId="3" fontId="0" fillId="0" borderId="75" xfId="0" applyNumberFormat="1" applyBorder="1"/>
    <xf numFmtId="3" fontId="3" fillId="0" borderId="75" xfId="0" applyNumberFormat="1" applyFont="1" applyBorder="1"/>
    <xf numFmtId="3" fontId="1" fillId="2" borderId="72" xfId="0" applyNumberFormat="1" applyFont="1" applyFill="1" applyBorder="1"/>
    <xf numFmtId="3" fontId="3" fillId="0" borderId="73" xfId="0" applyNumberFormat="1" applyFont="1" applyBorder="1"/>
    <xf numFmtId="3" fontId="3" fillId="0" borderId="1" xfId="0" applyNumberFormat="1" applyFont="1" applyBorder="1"/>
    <xf numFmtId="3" fontId="3" fillId="0" borderId="76" xfId="0" applyNumberFormat="1" applyFont="1" applyBorder="1"/>
    <xf numFmtId="3" fontId="3" fillId="6" borderId="58" xfId="0" applyNumberFormat="1" applyFont="1" applyFill="1" applyBorder="1"/>
    <xf numFmtId="3" fontId="3" fillId="0" borderId="61" xfId="0" applyNumberFormat="1" applyFont="1" applyBorder="1"/>
    <xf numFmtId="3" fontId="3" fillId="2" borderId="75" xfId="0" applyNumberFormat="1" applyFont="1" applyFill="1" applyBorder="1"/>
    <xf numFmtId="183" fontId="1" fillId="0" borderId="0" xfId="0" applyNumberFormat="1" applyFont="1"/>
    <xf numFmtId="183" fontId="0" fillId="0" borderId="61" xfId="0" applyNumberFormat="1" applyBorder="1"/>
    <xf numFmtId="183" fontId="1" fillId="6" borderId="58" xfId="0" applyNumberFormat="1" applyFont="1" applyFill="1" applyBorder="1"/>
    <xf numFmtId="183" fontId="3" fillId="0" borderId="61" xfId="0" applyNumberFormat="1" applyFont="1" applyBorder="1"/>
    <xf numFmtId="183" fontId="3" fillId="0" borderId="75" xfId="0" applyNumberFormat="1" applyFont="1" applyBorder="1"/>
    <xf numFmtId="183" fontId="1" fillId="7" borderId="0" xfId="0" applyNumberFormat="1" applyFont="1" applyFill="1"/>
    <xf numFmtId="183" fontId="1" fillId="0" borderId="61" xfId="0" applyNumberFormat="1" applyFont="1" applyBorder="1"/>
    <xf numFmtId="183" fontId="1" fillId="2" borderId="58" xfId="0" applyNumberFormat="1" applyFont="1" applyFill="1" applyBorder="1"/>
    <xf numFmtId="183" fontId="1" fillId="0" borderId="56" xfId="0" applyNumberFormat="1" applyFont="1" applyBorder="1"/>
    <xf numFmtId="183" fontId="3" fillId="0" borderId="56" xfId="0" applyNumberFormat="1" applyFont="1" applyBorder="1"/>
    <xf numFmtId="183" fontId="1" fillId="0" borderId="62" xfId="0" applyNumberFormat="1" applyFont="1" applyBorder="1"/>
    <xf numFmtId="183" fontId="1" fillId="2" borderId="0" xfId="0" applyNumberFormat="1" applyFont="1" applyFill="1"/>
    <xf numFmtId="183" fontId="1" fillId="2" borderId="59" xfId="0" applyNumberFormat="1" applyFont="1" applyFill="1" applyBorder="1"/>
    <xf numFmtId="183" fontId="0" fillId="0" borderId="62" xfId="0" applyNumberFormat="1" applyBorder="1"/>
    <xf numFmtId="183" fontId="0" fillId="0" borderId="77" xfId="0" applyNumberFormat="1" applyBorder="1"/>
    <xf numFmtId="0" fontId="44" fillId="22" borderId="55" xfId="0" applyFont="1" applyFill="1" applyBorder="1"/>
    <xf numFmtId="0" fontId="44" fillId="22" borderId="57" xfId="0" applyFont="1" applyFill="1" applyBorder="1"/>
    <xf numFmtId="0" fontId="44" fillId="22" borderId="60" xfId="0" applyFont="1" applyFill="1" applyBorder="1"/>
    <xf numFmtId="0" fontId="44" fillId="22" borderId="63" xfId="0" applyFont="1" applyFill="1" applyBorder="1"/>
    <xf numFmtId="0" fontId="44" fillId="22" borderId="64" xfId="0" applyFont="1" applyFill="1" applyBorder="1"/>
    <xf numFmtId="0" fontId="44" fillId="22" borderId="65" xfId="0" applyFont="1" applyFill="1" applyBorder="1"/>
    <xf numFmtId="3" fontId="3" fillId="0" borderId="68" xfId="0" applyNumberFormat="1" applyFont="1" applyBorder="1"/>
    <xf numFmtId="3" fontId="0" fillId="0" borderId="68" xfId="0" applyNumberFormat="1" applyBorder="1"/>
    <xf numFmtId="3" fontId="0" fillId="0" borderId="71" xfId="0" applyNumberFormat="1" applyBorder="1"/>
    <xf numFmtId="0" fontId="44" fillId="22" borderId="0" xfId="0" applyFont="1" applyFill="1"/>
    <xf numFmtId="0" fontId="44" fillId="22" borderId="58" xfId="0" applyFont="1" applyFill="1" applyBorder="1"/>
    <xf numFmtId="2" fontId="44" fillId="22" borderId="61" xfId="0" applyNumberFormat="1" applyFont="1" applyFill="1" applyBorder="1"/>
    <xf numFmtId="2" fontId="3" fillId="0" borderId="61" xfId="0" applyNumberFormat="1" applyFont="1" applyBorder="1"/>
    <xf numFmtId="2" fontId="3" fillId="0" borderId="62" xfId="0" applyNumberFormat="1" applyFont="1" applyBorder="1"/>
    <xf numFmtId="0" fontId="58" fillId="25" borderId="0" xfId="0" applyFont="1" applyFill="1" applyAlignment="1">
      <alignment vertical="center"/>
    </xf>
    <xf numFmtId="0" fontId="51" fillId="25" borderId="0" xfId="0" applyFont="1" applyFill="1" applyAlignment="1">
      <alignment vertical="center"/>
    </xf>
    <xf numFmtId="0" fontId="44" fillId="22" borderId="78" xfId="0" applyFont="1" applyFill="1" applyBorder="1"/>
    <xf numFmtId="0" fontId="44" fillId="22" borderId="80" xfId="0" applyFont="1" applyFill="1" applyBorder="1"/>
    <xf numFmtId="0" fontId="44" fillId="22" borderId="83" xfId="0" applyFont="1" applyFill="1" applyBorder="1"/>
    <xf numFmtId="0" fontId="44" fillId="22" borderId="86" xfId="0" applyFont="1" applyFill="1" applyBorder="1"/>
    <xf numFmtId="0" fontId="44" fillId="22" borderId="87" xfId="0" applyFont="1" applyFill="1" applyBorder="1"/>
    <xf numFmtId="0" fontId="3" fillId="0" borderId="89" xfId="0" applyFont="1" applyBorder="1"/>
    <xf numFmtId="3" fontId="3" fillId="0" borderId="46" xfId="0" applyNumberFormat="1" applyFont="1" applyBorder="1"/>
    <xf numFmtId="0" fontId="3" fillId="0" borderId="46" xfId="0" applyFont="1" applyBorder="1"/>
    <xf numFmtId="0" fontId="0" fillId="0" borderId="89" xfId="0" applyBorder="1"/>
    <xf numFmtId="10" fontId="3" fillId="0" borderId="46" xfId="0" applyNumberFormat="1" applyFont="1" applyBorder="1"/>
    <xf numFmtId="0" fontId="3" fillId="0" borderId="91" xfId="0" applyFont="1" applyBorder="1"/>
    <xf numFmtId="0" fontId="44" fillId="22" borderId="94" xfId="0" applyFont="1" applyFill="1" applyBorder="1"/>
    <xf numFmtId="0" fontId="0" fillId="0" borderId="91" xfId="0" applyBorder="1"/>
    <xf numFmtId="0" fontId="44" fillId="22" borderId="94" xfId="0" applyFont="1" applyFill="1" applyBorder="1" applyAlignment="1">
      <alignment horizontal="left"/>
    </xf>
    <xf numFmtId="10" fontId="3" fillId="0" borderId="44" xfId="0" applyNumberFormat="1" applyFont="1" applyBorder="1"/>
    <xf numFmtId="0" fontId="44" fillId="22" borderId="87" xfId="0" applyFont="1" applyFill="1" applyBorder="1" applyAlignment="1">
      <alignment horizontal="center"/>
    </xf>
    <xf numFmtId="0" fontId="44" fillId="22" borderId="88" xfId="0" applyFont="1" applyFill="1" applyBorder="1" applyAlignment="1">
      <alignment horizontal="center"/>
    </xf>
    <xf numFmtId="3" fontId="3" fillId="0" borderId="92" xfId="0" applyNumberFormat="1" applyFont="1" applyBorder="1"/>
    <xf numFmtId="3" fontId="0" fillId="0" borderId="92" xfId="0" applyNumberFormat="1" applyBorder="1"/>
    <xf numFmtId="2" fontId="3" fillId="0" borderId="46" xfId="0" applyNumberFormat="1" applyFont="1" applyBorder="1"/>
    <xf numFmtId="2" fontId="3" fillId="2" borderId="44" xfId="0" applyNumberFormat="1" applyFont="1" applyFill="1" applyBorder="1"/>
    <xf numFmtId="2" fontId="3" fillId="0" borderId="44" xfId="0" applyNumberFormat="1" applyFont="1" applyBorder="1"/>
    <xf numFmtId="2" fontId="0" fillId="0" borderId="44" xfId="0" applyNumberFormat="1" applyBorder="1"/>
    <xf numFmtId="2" fontId="0" fillId="0" borderId="92" xfId="0" applyNumberFormat="1" applyBorder="1"/>
    <xf numFmtId="2" fontId="0" fillId="0" borderId="95" xfId="0" applyNumberFormat="1" applyBorder="1"/>
    <xf numFmtId="185" fontId="3" fillId="0" borderId="46" xfId="0" applyNumberFormat="1" applyFont="1" applyBorder="1"/>
    <xf numFmtId="185" fontId="3" fillId="0" borderId="44" xfId="0" applyNumberFormat="1" applyFont="1" applyBorder="1"/>
    <xf numFmtId="185" fontId="0" fillId="0" borderId="44" xfId="0" applyNumberFormat="1" applyBorder="1"/>
    <xf numFmtId="185" fontId="0" fillId="0" borderId="46" xfId="0" applyNumberFormat="1" applyBorder="1"/>
    <xf numFmtId="185" fontId="0" fillId="0" borderId="92" xfId="0" applyNumberFormat="1" applyBorder="1"/>
    <xf numFmtId="185" fontId="0" fillId="0" borderId="95" xfId="0" applyNumberFormat="1" applyBorder="1"/>
    <xf numFmtId="2" fontId="3" fillId="0" borderId="90" xfId="0" applyNumberFormat="1" applyFont="1" applyBorder="1"/>
    <xf numFmtId="185" fontId="0" fillId="0" borderId="90" xfId="0" applyNumberFormat="1" applyBorder="1"/>
    <xf numFmtId="185" fontId="0" fillId="0" borderId="93" xfId="0" applyNumberFormat="1" applyBorder="1"/>
    <xf numFmtId="0" fontId="3" fillId="24" borderId="89" xfId="0" applyFont="1" applyFill="1" applyBorder="1"/>
    <xf numFmtId="2" fontId="3" fillId="24" borderId="46" xfId="0" applyNumberFormat="1" applyFont="1" applyFill="1" applyBorder="1"/>
    <xf numFmtId="185" fontId="3" fillId="24" borderId="46" xfId="0" applyNumberFormat="1" applyFont="1" applyFill="1" applyBorder="1"/>
    <xf numFmtId="185" fontId="3" fillId="24" borderId="90" xfId="0" applyNumberFormat="1" applyFont="1" applyFill="1" applyBorder="1"/>
    <xf numFmtId="2" fontId="3" fillId="0" borderId="79" xfId="0" applyNumberFormat="1" applyFont="1" applyBorder="1"/>
    <xf numFmtId="0" fontId="44" fillId="22" borderId="86" xfId="0" applyFont="1" applyFill="1" applyBorder="1" applyAlignment="1">
      <alignment horizontal="center"/>
    </xf>
    <xf numFmtId="180" fontId="3" fillId="0" borderId="89" xfId="0" applyNumberFormat="1" applyFont="1" applyBorder="1" applyAlignment="1">
      <alignment horizontal="right"/>
    </xf>
    <xf numFmtId="180" fontId="3" fillId="0" borderId="46" xfId="0" applyNumberFormat="1" applyFont="1" applyBorder="1"/>
    <xf numFmtId="180" fontId="3" fillId="2" borderId="46" xfId="0" applyNumberFormat="1" applyFont="1" applyFill="1" applyBorder="1"/>
    <xf numFmtId="3" fontId="3" fillId="0" borderId="89" xfId="0" applyNumberFormat="1" applyFont="1" applyBorder="1"/>
    <xf numFmtId="3" fontId="3" fillId="0" borderId="91" xfId="0" applyNumberFormat="1" applyFont="1" applyBorder="1"/>
    <xf numFmtId="2" fontId="3" fillId="0" borderId="93" xfId="0" applyNumberFormat="1" applyFont="1" applyBorder="1"/>
    <xf numFmtId="0" fontId="3" fillId="24" borderId="0" xfId="0" applyFont="1" applyFill="1"/>
    <xf numFmtId="3" fontId="3" fillId="24" borderId="89" xfId="0" applyNumberFormat="1" applyFont="1" applyFill="1" applyBorder="1"/>
    <xf numFmtId="3" fontId="3" fillId="24" borderId="46" xfId="0" applyNumberFormat="1" applyFont="1" applyFill="1" applyBorder="1"/>
    <xf numFmtId="2" fontId="3" fillId="24" borderId="90" xfId="0" applyNumberFormat="1" applyFont="1" applyFill="1" applyBorder="1"/>
    <xf numFmtId="2" fontId="44" fillId="22" borderId="87" xfId="0" applyNumberFormat="1" applyFont="1" applyFill="1" applyBorder="1" applyAlignment="1">
      <alignment horizontal="center"/>
    </xf>
    <xf numFmtId="2" fontId="44" fillId="22" borderId="88" xfId="0" applyNumberFormat="1" applyFont="1" applyFill="1" applyBorder="1" applyAlignment="1">
      <alignment horizontal="center"/>
    </xf>
    <xf numFmtId="2" fontId="3" fillId="0" borderId="89" xfId="0" applyNumberFormat="1" applyFont="1" applyBorder="1" applyAlignment="1">
      <alignment horizontal="center"/>
    </xf>
    <xf numFmtId="2" fontId="3" fillId="0" borderId="46" xfId="0" applyNumberFormat="1" applyFont="1" applyBorder="1" applyAlignment="1">
      <alignment horizontal="center"/>
    </xf>
    <xf numFmtId="2" fontId="3" fillId="0" borderId="90" xfId="0" applyNumberFormat="1" applyFont="1" applyBorder="1" applyAlignment="1">
      <alignment horizontal="center"/>
    </xf>
    <xf numFmtId="180" fontId="3" fillId="0" borderId="89" xfId="0" applyNumberFormat="1" applyFont="1" applyBorder="1" applyAlignment="1">
      <alignment horizontal="center"/>
    </xf>
    <xf numFmtId="180" fontId="3" fillId="0" borderId="46" xfId="0" applyNumberFormat="1" applyFont="1" applyBorder="1" applyAlignment="1">
      <alignment horizontal="center"/>
    </xf>
    <xf numFmtId="180" fontId="3" fillId="0" borderId="90" xfId="0" applyNumberFormat="1" applyFont="1" applyBorder="1" applyAlignment="1">
      <alignment horizontal="center"/>
    </xf>
    <xf numFmtId="3" fontId="3" fillId="0" borderId="91" xfId="0" applyNumberFormat="1" applyFont="1" applyBorder="1" applyAlignment="1">
      <alignment horizontal="center"/>
    </xf>
    <xf numFmtId="3" fontId="3" fillId="0" borderId="92" xfId="0" applyNumberFormat="1" applyFont="1" applyBorder="1" applyAlignment="1">
      <alignment horizontal="center"/>
    </xf>
    <xf numFmtId="3" fontId="3" fillId="0" borderId="93" xfId="0" applyNumberFormat="1" applyFont="1" applyBorder="1" applyAlignment="1">
      <alignment horizontal="center"/>
    </xf>
    <xf numFmtId="176" fontId="3" fillId="0" borderId="79" xfId="0" applyNumberFormat="1" applyFont="1" applyBorder="1"/>
    <xf numFmtId="176" fontId="3" fillId="0" borderId="81" xfId="0" applyNumberFormat="1" applyFont="1" applyBorder="1"/>
    <xf numFmtId="176" fontId="3" fillId="0" borderId="82" xfId="0" applyNumberFormat="1" applyFont="1" applyBorder="1"/>
    <xf numFmtId="2" fontId="3" fillId="0" borderId="84" xfId="0" applyNumberFormat="1" applyFont="1" applyBorder="1"/>
    <xf numFmtId="2" fontId="3" fillId="0" borderId="85" xfId="0" applyNumberFormat="1" applyFont="1" applyBorder="1"/>
    <xf numFmtId="0" fontId="62" fillId="22" borderId="80" xfId="0" applyFont="1" applyFill="1" applyBorder="1"/>
    <xf numFmtId="0" fontId="44" fillId="22" borderId="86" xfId="0" applyFont="1" applyFill="1" applyBorder="1" applyAlignment="1">
      <alignment horizontal="center" vertical="center"/>
    </xf>
    <xf numFmtId="0" fontId="44" fillId="22" borderId="87" xfId="0" applyFont="1" applyFill="1" applyBorder="1" applyAlignment="1">
      <alignment horizontal="center" vertical="center"/>
    </xf>
    <xf numFmtId="0" fontId="44" fillId="22" borderId="88" xfId="0" applyFont="1" applyFill="1" applyBorder="1" applyAlignment="1">
      <alignment horizontal="center" vertical="center"/>
    </xf>
    <xf numFmtId="0" fontId="44" fillId="0" borderId="89" xfId="0" applyFont="1" applyBorder="1" applyAlignment="1">
      <alignment horizontal="center" vertical="center"/>
    </xf>
    <xf numFmtId="180" fontId="5" fillId="0" borderId="46" xfId="0" applyNumberFormat="1" applyFont="1" applyBorder="1" applyAlignment="1">
      <alignment horizontal="center" vertical="center"/>
    </xf>
    <xf numFmtId="2" fontId="5" fillId="0" borderId="90" xfId="0" applyNumberFormat="1" applyFont="1" applyBorder="1" applyAlignment="1">
      <alignment horizontal="center" vertical="center"/>
    </xf>
    <xf numFmtId="0" fontId="44" fillId="0" borderId="91" xfId="0" applyFont="1" applyBorder="1" applyAlignment="1">
      <alignment horizontal="center" vertical="center"/>
    </xf>
    <xf numFmtId="10" fontId="5" fillId="0" borderId="92" xfId="0" applyNumberFormat="1" applyFont="1" applyBorder="1" applyAlignment="1">
      <alignment horizontal="center" vertical="center"/>
    </xf>
    <xf numFmtId="10" fontId="5" fillId="0" borderId="93" xfId="0" applyNumberFormat="1" applyFont="1" applyBorder="1" applyAlignment="1">
      <alignment horizontal="center" vertical="center"/>
    </xf>
    <xf numFmtId="2" fontId="5" fillId="0" borderId="46" xfId="0" applyNumberFormat="1" applyFont="1" applyBorder="1" applyAlignment="1">
      <alignment horizontal="center" vertical="center"/>
    </xf>
    <xf numFmtId="2" fontId="3" fillId="0" borderId="46" xfId="0" applyNumberFormat="1" applyFont="1" applyBorder="1" applyAlignment="1">
      <alignment horizontal="center" vertical="center"/>
    </xf>
    <xf numFmtId="183" fontId="5" fillId="0" borderId="90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5" fillId="0" borderId="89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90" xfId="0" applyFont="1" applyBorder="1" applyAlignment="1">
      <alignment horizontal="center"/>
    </xf>
    <xf numFmtId="10" fontId="5" fillId="0" borderId="46" xfId="0" applyNumberFormat="1" applyFont="1" applyBorder="1" applyAlignment="1">
      <alignment horizontal="center"/>
    </xf>
    <xf numFmtId="0" fontId="3" fillId="0" borderId="89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3" fontId="5" fillId="0" borderId="46" xfId="0" applyNumberFormat="1" applyFont="1" applyBorder="1" applyAlignment="1">
      <alignment horizontal="center"/>
    </xf>
    <xf numFmtId="176" fontId="5" fillId="0" borderId="89" xfId="0" applyNumberFormat="1" applyFont="1" applyBorder="1" applyAlignment="1">
      <alignment horizontal="center"/>
    </xf>
    <xf numFmtId="176" fontId="5" fillId="0" borderId="46" xfId="0" applyNumberFormat="1" applyFont="1" applyBorder="1" applyAlignment="1">
      <alignment horizontal="center"/>
    </xf>
    <xf numFmtId="176" fontId="5" fillId="0" borderId="91" xfId="0" applyNumberFormat="1" applyFont="1" applyBorder="1" applyAlignment="1">
      <alignment horizontal="center"/>
    </xf>
    <xf numFmtId="10" fontId="5" fillId="0" borderId="92" xfId="0" applyNumberFormat="1" applyFont="1" applyBorder="1" applyAlignment="1">
      <alignment horizontal="center"/>
    </xf>
    <xf numFmtId="176" fontId="5" fillId="0" borderId="92" xfId="0" applyNumberFormat="1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179" fontId="5" fillId="0" borderId="46" xfId="0" applyNumberFormat="1" applyFont="1" applyBorder="1" applyAlignment="1">
      <alignment horizontal="center"/>
    </xf>
    <xf numFmtId="179" fontId="3" fillId="0" borderId="46" xfId="0" applyNumberFormat="1" applyFont="1" applyBorder="1" applyAlignment="1">
      <alignment horizontal="center"/>
    </xf>
    <xf numFmtId="179" fontId="5" fillId="0" borderId="92" xfId="0" applyNumberFormat="1" applyFont="1" applyBorder="1" applyAlignment="1">
      <alignment horizontal="center"/>
    </xf>
    <xf numFmtId="3" fontId="3" fillId="0" borderId="46" xfId="0" applyNumberFormat="1" applyFont="1" applyBorder="1" applyAlignment="1">
      <alignment horizontal="center"/>
    </xf>
    <xf numFmtId="3" fontId="5" fillId="0" borderId="92" xfId="0" applyNumberFormat="1" applyFont="1" applyBorder="1" applyAlignment="1">
      <alignment horizontal="center"/>
    </xf>
    <xf numFmtId="2" fontId="5" fillId="0" borderId="46" xfId="0" applyNumberFormat="1" applyFont="1" applyBorder="1" applyAlignment="1">
      <alignment horizontal="center"/>
    </xf>
    <xf numFmtId="2" fontId="5" fillId="0" borderId="92" xfId="0" applyNumberFormat="1" applyFont="1" applyBorder="1" applyAlignment="1">
      <alignment horizontal="center"/>
    </xf>
    <xf numFmtId="0" fontId="51" fillId="26" borderId="86" xfId="0" applyFont="1" applyFill="1" applyBorder="1" applyAlignment="1">
      <alignment horizontal="center"/>
    </xf>
    <xf numFmtId="0" fontId="51" fillId="26" borderId="87" xfId="0" applyFont="1" applyFill="1" applyBorder="1" applyAlignment="1">
      <alignment horizontal="center"/>
    </xf>
    <xf numFmtId="1" fontId="51" fillId="26" borderId="88" xfId="0" applyNumberFormat="1" applyFont="1" applyFill="1" applyBorder="1" applyAlignment="1">
      <alignment horizontal="center"/>
    </xf>
    <xf numFmtId="0" fontId="44" fillId="22" borderId="89" xfId="0" applyFont="1" applyFill="1" applyBorder="1" applyAlignment="1">
      <alignment horizontal="center"/>
    </xf>
    <xf numFmtId="0" fontId="44" fillId="22" borderId="46" xfId="0" applyFont="1" applyFill="1" applyBorder="1" applyAlignment="1">
      <alignment horizontal="center"/>
    </xf>
    <xf numFmtId="1" fontId="44" fillId="22" borderId="90" xfId="0" applyNumberFormat="1" applyFont="1" applyFill="1" applyBorder="1" applyAlignment="1">
      <alignment horizontal="center"/>
    </xf>
    <xf numFmtId="1" fontId="5" fillId="0" borderId="90" xfId="0" applyNumberFormat="1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1" fontId="5" fillId="0" borderId="93" xfId="0" applyNumberFormat="1" applyFont="1" applyBorder="1" applyAlignment="1">
      <alignment horizontal="center"/>
    </xf>
    <xf numFmtId="180" fontId="5" fillId="0" borderId="46" xfId="0" applyNumberFormat="1" applyFont="1" applyBorder="1" applyAlignment="1">
      <alignment horizontal="center"/>
    </xf>
    <xf numFmtId="180" fontId="5" fillId="0" borderId="92" xfId="0" applyNumberFormat="1" applyFont="1" applyBorder="1" applyAlignment="1">
      <alignment horizontal="center"/>
    </xf>
    <xf numFmtId="0" fontId="44" fillId="27" borderId="97" xfId="0" applyFont="1" applyFill="1" applyBorder="1"/>
    <xf numFmtId="0" fontId="44" fillId="27" borderId="98" xfId="0" applyFont="1" applyFill="1" applyBorder="1"/>
    <xf numFmtId="0" fontId="44" fillId="27" borderId="99" xfId="0" applyFont="1" applyFill="1" applyBorder="1"/>
    <xf numFmtId="179" fontId="3" fillId="0" borderId="100" xfId="0" applyNumberFormat="1" applyFont="1" applyBorder="1"/>
    <xf numFmtId="14" fontId="3" fillId="0" borderId="100" xfId="0" applyNumberFormat="1" applyFont="1" applyBorder="1"/>
    <xf numFmtId="179" fontId="3" fillId="0" borderId="102" xfId="0" applyNumberFormat="1" applyFont="1" applyBorder="1"/>
    <xf numFmtId="0" fontId="44" fillId="27" borderId="100" xfId="0" applyFont="1" applyFill="1" applyBorder="1"/>
    <xf numFmtId="0" fontId="44" fillId="27" borderId="46" xfId="0" applyFont="1" applyFill="1" applyBorder="1"/>
    <xf numFmtId="0" fontId="44" fillId="27" borderId="101" xfId="0" applyFont="1" applyFill="1" applyBorder="1"/>
    <xf numFmtId="0" fontId="3" fillId="0" borderId="102" xfId="0" applyFont="1" applyBorder="1"/>
    <xf numFmtId="3" fontId="3" fillId="0" borderId="103" xfId="0" applyNumberFormat="1" applyFont="1" applyBorder="1"/>
    <xf numFmtId="0" fontId="3" fillId="0" borderId="103" xfId="0" applyFont="1" applyBorder="1"/>
    <xf numFmtId="0" fontId="0" fillId="0" borderId="103" xfId="0" applyBorder="1"/>
    <xf numFmtId="0" fontId="3" fillId="0" borderId="104" xfId="0" applyFont="1" applyBorder="1"/>
    <xf numFmtId="0" fontId="44" fillId="0" borderId="102" xfId="0" applyFont="1" applyBorder="1"/>
    <xf numFmtId="3" fontId="44" fillId="0" borderId="103" xfId="0" applyNumberFormat="1" applyFont="1" applyBorder="1"/>
    <xf numFmtId="0" fontId="44" fillId="27" borderId="44" xfId="0" applyFont="1" applyFill="1" applyBorder="1"/>
    <xf numFmtId="0" fontId="3" fillId="0" borderId="101" xfId="0" applyFont="1" applyBorder="1"/>
    <xf numFmtId="0" fontId="3" fillId="0" borderId="100" xfId="0" applyFont="1" applyBorder="1"/>
    <xf numFmtId="0" fontId="3" fillId="2" borderId="46" xfId="0" applyFont="1" applyFill="1" applyBorder="1"/>
    <xf numFmtId="0" fontId="3" fillId="2" borderId="103" xfId="0" applyFont="1" applyFill="1" applyBorder="1"/>
    <xf numFmtId="3" fontId="60" fillId="0" borderId="46" xfId="0" applyNumberFormat="1" applyFont="1" applyBorder="1"/>
    <xf numFmtId="3" fontId="49" fillId="0" borderId="46" xfId="0" applyNumberFormat="1" applyFont="1" applyBorder="1"/>
    <xf numFmtId="0" fontId="0" fillId="0" borderId="102" xfId="0" applyBorder="1"/>
    <xf numFmtId="0" fontId="44" fillId="0" borderId="101" xfId="0" applyFont="1" applyBorder="1"/>
    <xf numFmtId="0" fontId="45" fillId="0" borderId="101" xfId="0" applyFont="1" applyBorder="1"/>
    <xf numFmtId="0" fontId="45" fillId="0" borderId="104" xfId="0" applyFont="1" applyBorder="1"/>
    <xf numFmtId="0" fontId="64" fillId="28" borderId="97" xfId="0" applyFont="1" applyFill="1" applyBorder="1" applyAlignment="1">
      <alignment horizontal="left"/>
    </xf>
    <xf numFmtId="0" fontId="65" fillId="28" borderId="98" xfId="0" applyFont="1" applyFill="1" applyBorder="1" applyAlignment="1">
      <alignment horizontal="left"/>
    </xf>
    <xf numFmtId="0" fontId="64" fillId="28" borderId="98" xfId="0" applyFont="1" applyFill="1" applyBorder="1" applyAlignment="1">
      <alignment horizontal="left"/>
    </xf>
    <xf numFmtId="0" fontId="64" fillId="28" borderId="99" xfId="0" applyFont="1" applyFill="1" applyBorder="1" applyAlignment="1">
      <alignment horizontal="left"/>
    </xf>
    <xf numFmtId="0" fontId="10" fillId="0" borderId="102" xfId="0" applyFont="1" applyBorder="1" applyAlignment="1">
      <alignment horizontal="left"/>
    </xf>
    <xf numFmtId="3" fontId="10" fillId="0" borderId="103" xfId="0" applyNumberFormat="1" applyFont="1" applyBorder="1" applyAlignment="1">
      <alignment horizontal="left"/>
    </xf>
    <xf numFmtId="3" fontId="10" fillId="0" borderId="104" xfId="0" applyNumberFormat="1" applyFont="1" applyBorder="1" applyAlignment="1">
      <alignment horizontal="left"/>
    </xf>
    <xf numFmtId="3" fontId="10" fillId="10" borderId="103" xfId="0" applyNumberFormat="1" applyFont="1" applyFill="1" applyBorder="1" applyAlignment="1">
      <alignment horizontal="left"/>
    </xf>
    <xf numFmtId="0" fontId="64" fillId="28" borderId="97" xfId="0" applyFont="1" applyFill="1" applyBorder="1" applyAlignment="1">
      <alignment horizontal="center"/>
    </xf>
    <xf numFmtId="0" fontId="64" fillId="28" borderId="98" xfId="0" applyFont="1" applyFill="1" applyBorder="1" applyAlignment="1">
      <alignment horizontal="center"/>
    </xf>
    <xf numFmtId="0" fontId="51" fillId="28" borderId="98" xfId="0" applyFont="1" applyFill="1" applyBorder="1" applyAlignment="1">
      <alignment horizontal="center"/>
    </xf>
    <xf numFmtId="0" fontId="51" fillId="28" borderId="99" xfId="0" applyFont="1" applyFill="1" applyBorder="1" applyAlignment="1">
      <alignment horizontal="center"/>
    </xf>
    <xf numFmtId="0" fontId="51" fillId="28" borderId="100" xfId="0" applyFont="1" applyFill="1" applyBorder="1" applyAlignment="1">
      <alignment horizontal="center"/>
    </xf>
    <xf numFmtId="0" fontId="51" fillId="28" borderId="46" xfId="0" applyFont="1" applyFill="1" applyBorder="1" applyAlignment="1">
      <alignment horizontal="center"/>
    </xf>
    <xf numFmtId="0" fontId="51" fillId="28" borderId="101" xfId="0" applyFont="1" applyFill="1" applyBorder="1" applyAlignment="1">
      <alignment horizontal="center"/>
    </xf>
    <xf numFmtId="0" fontId="44" fillId="27" borderId="100" xfId="0" applyFont="1" applyFill="1" applyBorder="1" applyAlignment="1">
      <alignment horizontal="center"/>
    </xf>
    <xf numFmtId="0" fontId="44" fillId="27" borderId="46" xfId="0" applyFont="1" applyFill="1" applyBorder="1" applyAlignment="1">
      <alignment horizontal="center"/>
    </xf>
    <xf numFmtId="0" fontId="44" fillId="27" borderId="101" xfId="0" applyFont="1" applyFill="1" applyBorder="1" applyAlignment="1">
      <alignment horizontal="center"/>
    </xf>
    <xf numFmtId="3" fontId="3" fillId="0" borderId="101" xfId="0" applyNumberFormat="1" applyFont="1" applyBorder="1"/>
    <xf numFmtId="0" fontId="51" fillId="28" borderId="105" xfId="0" applyFont="1" applyFill="1" applyBorder="1" applyAlignment="1">
      <alignment horizontal="center"/>
    </xf>
    <xf numFmtId="0" fontId="51" fillId="28" borderId="44" xfId="0" applyFont="1" applyFill="1" applyBorder="1" applyAlignment="1">
      <alignment horizontal="center"/>
    </xf>
    <xf numFmtId="0" fontId="44" fillId="27" borderId="44" xfId="0" applyFont="1" applyFill="1" applyBorder="1" applyAlignment="1">
      <alignment horizontal="center"/>
    </xf>
    <xf numFmtId="3" fontId="3" fillId="0" borderId="44" xfId="0" applyNumberFormat="1" applyFont="1" applyBorder="1"/>
    <xf numFmtId="3" fontId="3" fillId="0" borderId="106" xfId="0" applyNumberFormat="1" applyFont="1" applyBorder="1"/>
    <xf numFmtId="0" fontId="0" fillId="0" borderId="100" xfId="0" applyBorder="1"/>
    <xf numFmtId="3" fontId="0" fillId="0" borderId="101" xfId="0" applyNumberFormat="1" applyBorder="1"/>
    <xf numFmtId="3" fontId="0" fillId="0" borderId="103" xfId="0" applyNumberFormat="1" applyBorder="1"/>
    <xf numFmtId="3" fontId="0" fillId="0" borderId="104" xfId="0" applyNumberFormat="1" applyBorder="1"/>
    <xf numFmtId="0" fontId="66" fillId="29" borderId="107" xfId="0" applyFont="1" applyFill="1" applyBorder="1" applyAlignment="1">
      <alignment horizontal="center"/>
    </xf>
    <xf numFmtId="0" fontId="66" fillId="29" borderId="108" xfId="0" applyFont="1" applyFill="1" applyBorder="1" applyAlignment="1">
      <alignment horizontal="center"/>
    </xf>
    <xf numFmtId="0" fontId="66" fillId="29" borderId="109" xfId="0" applyFont="1" applyFill="1" applyBorder="1" applyAlignment="1">
      <alignment horizontal="center"/>
    </xf>
    <xf numFmtId="0" fontId="67" fillId="30" borderId="110" xfId="0" applyFont="1" applyFill="1" applyBorder="1" applyAlignment="1">
      <alignment horizontal="center" vertical="center"/>
    </xf>
    <xf numFmtId="0" fontId="68" fillId="30" borderId="46" xfId="0" applyFont="1" applyFill="1" applyBorder="1" applyAlignment="1">
      <alignment horizontal="left" vertical="center"/>
    </xf>
    <xf numFmtId="0" fontId="67" fillId="30" borderId="46" xfId="0" applyFont="1" applyFill="1" applyBorder="1" applyAlignment="1">
      <alignment horizontal="center" vertical="center"/>
    </xf>
    <xf numFmtId="0" fontId="69" fillId="30" borderId="46" xfId="0" applyFont="1" applyFill="1" applyBorder="1" applyAlignment="1">
      <alignment horizontal="center" vertical="center"/>
    </xf>
    <xf numFmtId="0" fontId="67" fillId="30" borderId="111" xfId="0" applyFont="1" applyFill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8" fillId="0" borderId="46" xfId="0" applyFont="1" applyBorder="1" applyAlignment="1">
      <alignment horizontal="left" vertical="center"/>
    </xf>
    <xf numFmtId="0" fontId="7" fillId="0" borderId="46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3" fontId="7" fillId="0" borderId="111" xfId="0" applyNumberFormat="1" applyFont="1" applyBorder="1" applyAlignment="1">
      <alignment horizontal="center" vertical="center"/>
    </xf>
    <xf numFmtId="4" fontId="7" fillId="0" borderId="46" xfId="0" applyNumberFormat="1" applyFont="1" applyBorder="1" applyAlignment="1">
      <alignment horizontal="center" vertical="center"/>
    </xf>
    <xf numFmtId="0" fontId="3" fillId="0" borderId="110" xfId="0" applyFont="1" applyBorder="1" applyAlignment="1">
      <alignment horizontal="center"/>
    </xf>
    <xf numFmtId="0" fontId="11" fillId="0" borderId="110" xfId="0" applyFont="1" applyBorder="1" applyAlignment="1">
      <alignment horizontal="center"/>
    </xf>
    <xf numFmtId="0" fontId="10" fillId="0" borderId="46" xfId="0" applyFont="1" applyBorder="1" applyAlignment="1">
      <alignment horizontal="left"/>
    </xf>
    <xf numFmtId="3" fontId="3" fillId="0" borderId="111" xfId="0" applyNumberFormat="1" applyFont="1" applyBorder="1" applyAlignment="1">
      <alignment horizontal="center"/>
    </xf>
    <xf numFmtId="10" fontId="3" fillId="0" borderId="46" xfId="0" applyNumberFormat="1" applyFont="1" applyBorder="1" applyAlignment="1">
      <alignment horizontal="center"/>
    </xf>
    <xf numFmtId="4" fontId="3" fillId="0" borderId="46" xfId="0" applyNumberFormat="1" applyFont="1" applyBorder="1" applyAlignment="1">
      <alignment horizontal="center"/>
    </xf>
    <xf numFmtId="0" fontId="3" fillId="0" borderId="112" xfId="0" applyFont="1" applyBorder="1" applyAlignment="1">
      <alignment horizontal="center"/>
    </xf>
    <xf numFmtId="0" fontId="10" fillId="0" borderId="113" xfId="0" applyFont="1" applyBorder="1" applyAlignment="1">
      <alignment horizontal="left"/>
    </xf>
    <xf numFmtId="0" fontId="3" fillId="0" borderId="113" xfId="0" applyFont="1" applyBorder="1" applyAlignment="1">
      <alignment horizontal="center"/>
    </xf>
    <xf numFmtId="10" fontId="3" fillId="0" borderId="113" xfId="0" applyNumberFormat="1" applyFont="1" applyBorder="1" applyAlignment="1">
      <alignment horizontal="center"/>
    </xf>
    <xf numFmtId="3" fontId="3" fillId="0" borderId="114" xfId="0" applyNumberFormat="1" applyFont="1" applyBorder="1" applyAlignment="1">
      <alignment horizontal="center"/>
    </xf>
    <xf numFmtId="0" fontId="66" fillId="29" borderId="108" xfId="0" applyFont="1" applyFill="1" applyBorder="1" applyAlignment="1">
      <alignment horizontal="center" vertical="center"/>
    </xf>
    <xf numFmtId="0" fontId="51" fillId="29" borderId="109" xfId="0" applyFont="1" applyFill="1" applyBorder="1" applyAlignment="1">
      <alignment horizontal="center"/>
    </xf>
    <xf numFmtId="0" fontId="44" fillId="30" borderId="111" xfId="0" applyFont="1" applyFill="1" applyBorder="1" applyAlignment="1">
      <alignment horizontal="center"/>
    </xf>
    <xf numFmtId="4" fontId="9" fillId="0" borderId="46" xfId="0" applyNumberFormat="1" applyFont="1" applyBorder="1" applyAlignment="1">
      <alignment horizontal="center" vertical="center"/>
    </xf>
    <xf numFmtId="0" fontId="11" fillId="0" borderId="46" xfId="0" applyFont="1" applyBorder="1" applyAlignment="1">
      <alignment horizontal="center"/>
    </xf>
    <xf numFmtId="10" fontId="3" fillId="0" borderId="110" xfId="0" applyNumberFormat="1" applyFont="1" applyBorder="1" applyAlignment="1">
      <alignment horizontal="center"/>
    </xf>
    <xf numFmtId="10" fontId="3" fillId="0" borderId="112" xfId="0" applyNumberFormat="1" applyFont="1" applyBorder="1" applyAlignment="1">
      <alignment horizontal="center"/>
    </xf>
    <xf numFmtId="0" fontId="51" fillId="29" borderId="108" xfId="0" applyFont="1" applyFill="1" applyBorder="1" applyAlignment="1">
      <alignment horizontal="center"/>
    </xf>
    <xf numFmtId="0" fontId="51" fillId="29" borderId="108" xfId="0" applyFont="1" applyFill="1" applyBorder="1"/>
    <xf numFmtId="0" fontId="44" fillId="30" borderId="110" xfId="0" applyFont="1" applyFill="1" applyBorder="1" applyAlignment="1">
      <alignment horizontal="center"/>
    </xf>
    <xf numFmtId="0" fontId="44" fillId="30" borderId="46" xfId="0" applyFont="1" applyFill="1" applyBorder="1" applyAlignment="1">
      <alignment horizontal="center"/>
    </xf>
    <xf numFmtId="0" fontId="44" fillId="30" borderId="110" xfId="0" applyFont="1" applyFill="1" applyBorder="1"/>
    <xf numFmtId="0" fontId="3" fillId="0" borderId="110" xfId="0" applyFont="1" applyBorder="1"/>
    <xf numFmtId="3" fontId="3" fillId="0" borderId="113" xfId="0" applyNumberFormat="1" applyFont="1" applyBorder="1" applyAlignment="1">
      <alignment horizontal="center"/>
    </xf>
    <xf numFmtId="0" fontId="64" fillId="29" borderId="107" xfId="0" applyFont="1" applyFill="1" applyBorder="1"/>
    <xf numFmtId="0" fontId="64" fillId="29" borderId="108" xfId="0" applyFont="1" applyFill="1" applyBorder="1"/>
    <xf numFmtId="0" fontId="64" fillId="29" borderId="109" xfId="0" applyFont="1" applyFill="1" applyBorder="1"/>
    <xf numFmtId="0" fontId="10" fillId="0" borderId="110" xfId="0" applyFont="1" applyBorder="1"/>
    <xf numFmtId="0" fontId="10" fillId="0" borderId="46" xfId="0" applyFont="1" applyBorder="1"/>
    <xf numFmtId="0" fontId="10" fillId="0" borderId="112" xfId="0" applyFont="1" applyBorder="1"/>
    <xf numFmtId="0" fontId="10" fillId="0" borderId="113" xfId="0" applyFont="1" applyBorder="1"/>
    <xf numFmtId="0" fontId="64" fillId="29" borderId="115" xfId="0" applyFont="1" applyFill="1" applyBorder="1"/>
    <xf numFmtId="3" fontId="10" fillId="0" borderId="110" xfId="0" applyNumberFormat="1" applyFont="1" applyBorder="1"/>
    <xf numFmtId="3" fontId="10" fillId="0" borderId="112" xfId="0" applyNumberFormat="1" applyFont="1" applyBorder="1"/>
    <xf numFmtId="187" fontId="10" fillId="0" borderId="44" xfId="0" applyNumberFormat="1" applyFont="1" applyBorder="1"/>
    <xf numFmtId="187" fontId="10" fillId="0" borderId="116" xfId="0" applyNumberFormat="1" applyFont="1" applyBorder="1"/>
    <xf numFmtId="187" fontId="10" fillId="0" borderId="111" xfId="0" applyNumberFormat="1" applyFont="1" applyBorder="1"/>
    <xf numFmtId="187" fontId="10" fillId="0" borderId="114" xfId="0" applyNumberFormat="1" applyFont="1" applyBorder="1"/>
    <xf numFmtId="0" fontId="58" fillId="31" borderId="117" xfId="0" applyFont="1" applyFill="1" applyBorder="1"/>
    <xf numFmtId="0" fontId="51" fillId="31" borderId="118" xfId="0" applyFont="1" applyFill="1" applyBorder="1"/>
    <xf numFmtId="0" fontId="51" fillId="31" borderId="119" xfId="0" applyFont="1" applyFill="1" applyBorder="1"/>
    <xf numFmtId="0" fontId="3" fillId="0" borderId="120" xfId="0" applyFont="1" applyBorder="1"/>
    <xf numFmtId="0" fontId="3" fillId="0" borderId="121" xfId="0" applyFont="1" applyBorder="1"/>
    <xf numFmtId="179" fontId="3" fillId="0" borderId="121" xfId="0" applyNumberFormat="1" applyFont="1" applyBorder="1"/>
    <xf numFmtId="0" fontId="3" fillId="0" borderId="122" xfId="0" applyFont="1" applyBorder="1"/>
    <xf numFmtId="0" fontId="51" fillId="31" borderId="117" xfId="0" applyFont="1" applyFill="1" applyBorder="1" applyAlignment="1">
      <alignment horizontal="left"/>
    </xf>
    <xf numFmtId="0" fontId="51" fillId="31" borderId="118" xfId="0" applyFont="1" applyFill="1" applyBorder="1" applyAlignment="1">
      <alignment horizontal="left"/>
    </xf>
    <xf numFmtId="0" fontId="51" fillId="31" borderId="119" xfId="0" applyFont="1" applyFill="1" applyBorder="1" applyAlignment="1">
      <alignment horizontal="left"/>
    </xf>
    <xf numFmtId="0" fontId="44" fillId="32" borderId="123" xfId="0" applyFont="1" applyFill="1" applyBorder="1" applyAlignment="1">
      <alignment horizontal="left"/>
    </xf>
    <xf numFmtId="0" fontId="44" fillId="32" borderId="46" xfId="0" applyFont="1" applyFill="1" applyBorder="1" applyAlignment="1">
      <alignment horizontal="left"/>
    </xf>
    <xf numFmtId="0" fontId="44" fillId="32" borderId="124" xfId="0" applyFont="1" applyFill="1" applyBorder="1" applyAlignment="1">
      <alignment horizontal="left"/>
    </xf>
    <xf numFmtId="0" fontId="3" fillId="0" borderId="123" xfId="0" applyFont="1" applyBorder="1" applyAlignment="1">
      <alignment horizontal="left"/>
    </xf>
    <xf numFmtId="49" fontId="3" fillId="0" borderId="46" xfId="0" applyNumberFormat="1" applyFont="1" applyBorder="1" applyAlignment="1">
      <alignment horizontal="center"/>
    </xf>
    <xf numFmtId="0" fontId="3" fillId="0" borderId="124" xfId="0" applyFont="1" applyBorder="1" applyAlignment="1">
      <alignment horizontal="left"/>
    </xf>
    <xf numFmtId="0" fontId="3" fillId="0" borderId="123" xfId="0" applyFont="1" applyBorder="1"/>
    <xf numFmtId="0" fontId="3" fillId="0" borderId="124" xfId="0" applyFont="1" applyBorder="1"/>
    <xf numFmtId="0" fontId="42" fillId="0" borderId="0" xfId="1" applyAlignment="1">
      <alignment horizontal="left" vertical="center"/>
    </xf>
    <xf numFmtId="0" fontId="42" fillId="2" borderId="0" xfId="1" applyFill="1" applyAlignment="1">
      <alignment horizontal="left" vertical="center"/>
    </xf>
    <xf numFmtId="0" fontId="70" fillId="0" borderId="18" xfId="0" applyFont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5" fillId="0" borderId="47" xfId="0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51" fillId="25" borderId="0" xfId="0" applyFont="1" applyFill="1" applyAlignment="1">
      <alignment horizontal="center"/>
    </xf>
    <xf numFmtId="188" fontId="5" fillId="0" borderId="46" xfId="0" applyNumberFormat="1" applyFont="1" applyBorder="1" applyAlignment="1">
      <alignment horizontal="center"/>
    </xf>
    <xf numFmtId="188" fontId="5" fillId="0" borderId="90" xfId="0" applyNumberFormat="1" applyFont="1" applyBorder="1" applyAlignment="1">
      <alignment horizontal="center"/>
    </xf>
    <xf numFmtId="188" fontId="5" fillId="0" borderId="92" xfId="0" applyNumberFormat="1" applyFont="1" applyBorder="1" applyAlignment="1">
      <alignment horizontal="center"/>
    </xf>
    <xf numFmtId="188" fontId="5" fillId="0" borderId="93" xfId="0" applyNumberFormat="1" applyFont="1" applyBorder="1" applyAlignment="1">
      <alignment horizontal="center"/>
    </xf>
    <xf numFmtId="185" fontId="0" fillId="0" borderId="125" xfId="0" applyNumberFormat="1" applyBorder="1"/>
    <xf numFmtId="0" fontId="0" fillId="0" borderId="126" xfId="0" applyBorder="1"/>
    <xf numFmtId="176" fontId="0" fillId="0" borderId="127" xfId="0" applyNumberFormat="1" applyBorder="1"/>
    <xf numFmtId="3" fontId="0" fillId="0" borderId="128" xfId="0" applyNumberFormat="1" applyBorder="1"/>
    <xf numFmtId="185" fontId="0" fillId="0" borderId="128" xfId="0" applyNumberFormat="1" applyBorder="1"/>
    <xf numFmtId="3" fontId="0" fillId="0" borderId="127" xfId="0" applyNumberFormat="1" applyBorder="1"/>
    <xf numFmtId="0" fontId="0" fillId="0" borderId="129" xfId="0" applyBorder="1"/>
    <xf numFmtId="0" fontId="3" fillId="9" borderId="89" xfId="0" applyFont="1" applyFill="1" applyBorder="1"/>
    <xf numFmtId="0" fontId="3" fillId="9" borderId="91" xfId="0" applyFont="1" applyFill="1" applyBorder="1"/>
    <xf numFmtId="0" fontId="44" fillId="22" borderId="88" xfId="0" applyFont="1" applyFill="1" applyBorder="1"/>
    <xf numFmtId="186" fontId="3" fillId="0" borderId="46" xfId="0" applyNumberFormat="1" applyFont="1" applyBorder="1"/>
    <xf numFmtId="186" fontId="3" fillId="0" borderId="44" xfId="0" applyNumberFormat="1" applyFont="1" applyBorder="1"/>
    <xf numFmtId="186" fontId="0" fillId="0" borderId="46" xfId="0" applyNumberFormat="1" applyBorder="1"/>
    <xf numFmtId="186" fontId="0" fillId="0" borderId="44" xfId="0" applyNumberFormat="1" applyBorder="1"/>
    <xf numFmtId="186" fontId="3" fillId="2" borderId="46" xfId="0" applyNumberFormat="1" applyFont="1" applyFill="1" applyBorder="1"/>
    <xf numFmtId="186" fontId="3" fillId="2" borderId="44" xfId="0" applyNumberFormat="1" applyFont="1" applyFill="1" applyBorder="1"/>
    <xf numFmtId="186" fontId="3" fillId="2" borderId="92" xfId="0" applyNumberFormat="1" applyFont="1" applyFill="1" applyBorder="1"/>
    <xf numFmtId="186" fontId="3" fillId="2" borderId="95" xfId="0" applyNumberFormat="1" applyFont="1" applyFill="1" applyBorder="1"/>
    <xf numFmtId="186" fontId="3" fillId="0" borderId="90" xfId="0" applyNumberFormat="1" applyFont="1" applyBorder="1"/>
    <xf numFmtId="186" fontId="0" fillId="0" borderId="90" xfId="0" applyNumberFormat="1" applyBorder="1"/>
    <xf numFmtId="186" fontId="0" fillId="0" borderId="92" xfId="0" applyNumberFormat="1" applyBorder="1"/>
    <xf numFmtId="186" fontId="0" fillId="0" borderId="93" xfId="0" applyNumberFormat="1" applyBorder="1"/>
    <xf numFmtId="0" fontId="3" fillId="0" borderId="89" xfId="0" applyFont="1" applyBorder="1" applyAlignment="1">
      <alignment horizontal="right"/>
    </xf>
    <xf numFmtId="0" fontId="3" fillId="0" borderId="91" xfId="0" applyFont="1" applyBorder="1" applyAlignment="1">
      <alignment horizontal="right"/>
    </xf>
    <xf numFmtId="0" fontId="44" fillId="22" borderId="86" xfId="0" applyFont="1" applyFill="1" applyBorder="1" applyAlignment="1">
      <alignment horizontal="right"/>
    </xf>
    <xf numFmtId="0" fontId="44" fillId="22" borderId="87" xfId="0" applyFont="1" applyFill="1" applyBorder="1" applyAlignment="1">
      <alignment horizontal="right"/>
    </xf>
    <xf numFmtId="0" fontId="44" fillId="22" borderId="88" xfId="0" applyFont="1" applyFill="1" applyBorder="1" applyAlignment="1">
      <alignment horizontal="right"/>
    </xf>
    <xf numFmtId="3" fontId="3" fillId="0" borderId="46" xfId="0" applyNumberFormat="1" applyFont="1" applyBorder="1" applyAlignment="1">
      <alignment horizontal="right"/>
    </xf>
    <xf numFmtId="3" fontId="3" fillId="0" borderId="90" xfId="0" applyNumberFormat="1" applyFont="1" applyBorder="1" applyAlignment="1">
      <alignment horizontal="right"/>
    </xf>
    <xf numFmtId="3" fontId="3" fillId="0" borderId="92" xfId="0" applyNumberFormat="1" applyFont="1" applyBorder="1" applyAlignment="1">
      <alignment horizontal="right"/>
    </xf>
    <xf numFmtId="3" fontId="3" fillId="0" borderId="93" xfId="0" applyNumberFormat="1" applyFont="1" applyBorder="1" applyAlignment="1">
      <alignment horizontal="right"/>
    </xf>
    <xf numFmtId="10" fontId="5" fillId="0" borderId="90" xfId="0" applyNumberFormat="1" applyFont="1" applyBorder="1" applyAlignment="1">
      <alignment horizontal="center"/>
    </xf>
    <xf numFmtId="10" fontId="5" fillId="0" borderId="93" xfId="0" applyNumberFormat="1" applyFont="1" applyBorder="1" applyAlignment="1">
      <alignment horizontal="center"/>
    </xf>
    <xf numFmtId="186" fontId="3" fillId="0" borderId="92" xfId="0" applyNumberFormat="1" applyFont="1" applyBorder="1"/>
    <xf numFmtId="186" fontId="3" fillId="0" borderId="93" xfId="0" applyNumberFormat="1" applyFont="1" applyBorder="1"/>
    <xf numFmtId="49" fontId="3" fillId="0" borderId="46" xfId="0" applyNumberFormat="1" applyFont="1" applyBorder="1"/>
    <xf numFmtId="0" fontId="71" fillId="0" borderId="0" xfId="0" applyFont="1"/>
    <xf numFmtId="14" fontId="64" fillId="28" borderId="97" xfId="0" applyNumberFormat="1" applyFont="1" applyFill="1" applyBorder="1" applyAlignment="1">
      <alignment horizontal="left"/>
    </xf>
    <xf numFmtId="183" fontId="3" fillId="0" borderId="46" xfId="0" applyNumberFormat="1" applyFont="1" applyBorder="1"/>
    <xf numFmtId="183" fontId="3" fillId="0" borderId="101" xfId="0" applyNumberFormat="1" applyFont="1" applyBorder="1"/>
    <xf numFmtId="183" fontId="3" fillId="0" borderId="103" xfId="0" applyNumberFormat="1" applyFont="1" applyBorder="1"/>
    <xf numFmtId="183" fontId="3" fillId="0" borderId="104" xfId="0" applyNumberFormat="1" applyFont="1" applyBorder="1"/>
    <xf numFmtId="0" fontId="51" fillId="28" borderId="97" xfId="0" applyFont="1" applyFill="1" applyBorder="1" applyAlignment="1">
      <alignment horizontal="center"/>
    </xf>
    <xf numFmtId="10" fontId="44" fillId="0" borderId="103" xfId="0" applyNumberFormat="1" applyFont="1" applyBorder="1"/>
    <xf numFmtId="10" fontId="45" fillId="0" borderId="103" xfId="0" applyNumberFormat="1" applyFont="1" applyBorder="1"/>
    <xf numFmtId="10" fontId="44" fillId="0" borderId="106" xfId="0" applyNumberFormat="1" applyFont="1" applyBorder="1"/>
    <xf numFmtId="0" fontId="60" fillId="0" borderId="46" xfId="0" applyFont="1" applyBorder="1"/>
    <xf numFmtId="0" fontId="60" fillId="0" borderId="103" xfId="0" applyFont="1" applyBorder="1"/>
    <xf numFmtId="0" fontId="49" fillId="0" borderId="46" xfId="0" applyFont="1" applyBorder="1"/>
    <xf numFmtId="0" fontId="49" fillId="0" borderId="103" xfId="0" applyFont="1" applyBorder="1"/>
    <xf numFmtId="0" fontId="45" fillId="27" borderId="99" xfId="0" applyFont="1" applyFill="1" applyBorder="1"/>
    <xf numFmtId="0" fontId="72" fillId="31" borderId="0" xfId="0" applyFont="1" applyFill="1" applyAlignment="1">
      <alignment vertical="center"/>
    </xf>
    <xf numFmtId="0" fontId="73" fillId="0" borderId="0" xfId="0" applyFont="1"/>
    <xf numFmtId="0" fontId="45" fillId="32" borderId="117" xfId="0" applyFont="1" applyFill="1" applyBorder="1"/>
    <xf numFmtId="0" fontId="45" fillId="32" borderId="118" xfId="0" applyFont="1" applyFill="1" applyBorder="1"/>
    <xf numFmtId="0" fontId="45" fillId="32" borderId="119" xfId="0" applyFont="1" applyFill="1" applyBorder="1"/>
    <xf numFmtId="0" fontId="0" fillId="33" borderId="123" xfId="0" applyFill="1" applyBorder="1"/>
    <xf numFmtId="0" fontId="0" fillId="33" borderId="46" xfId="0" applyFill="1" applyBorder="1"/>
    <xf numFmtId="0" fontId="0" fillId="33" borderId="124" xfId="0" applyFill="1" applyBorder="1"/>
    <xf numFmtId="0" fontId="0" fillId="33" borderId="120" xfId="0" applyFill="1" applyBorder="1"/>
    <xf numFmtId="0" fontId="0" fillId="33" borderId="121" xfId="0" applyFill="1" applyBorder="1"/>
    <xf numFmtId="0" fontId="0" fillId="33" borderId="122" xfId="0" applyFill="1" applyBorder="1"/>
    <xf numFmtId="189" fontId="9" fillId="0" borderId="46" xfId="0" applyNumberFormat="1" applyFont="1" applyBorder="1" applyAlignment="1">
      <alignment horizontal="center" vertical="center"/>
    </xf>
    <xf numFmtId="189" fontId="3" fillId="0" borderId="46" xfId="0" applyNumberFormat="1" applyFont="1" applyBorder="1" applyAlignment="1">
      <alignment horizontal="center"/>
    </xf>
    <xf numFmtId="189" fontId="3" fillId="0" borderId="113" xfId="0" applyNumberFormat="1" applyFont="1" applyBorder="1" applyAlignment="1">
      <alignment horizontal="center"/>
    </xf>
    <xf numFmtId="189" fontId="7" fillId="0" borderId="46" xfId="0" applyNumberFormat="1" applyFont="1" applyBorder="1" applyAlignment="1">
      <alignment horizontal="center" vertical="center"/>
    </xf>
    <xf numFmtId="190" fontId="7" fillId="0" borderId="46" xfId="0" applyNumberFormat="1" applyFont="1" applyBorder="1" applyAlignment="1">
      <alignment horizontal="center" vertical="center"/>
    </xf>
    <xf numFmtId="190" fontId="3" fillId="0" borderId="46" xfId="0" applyNumberFormat="1" applyFont="1" applyBorder="1" applyAlignment="1">
      <alignment horizontal="center"/>
    </xf>
    <xf numFmtId="190" fontId="3" fillId="0" borderId="113" xfId="0" applyNumberFormat="1" applyFont="1" applyBorder="1" applyAlignment="1">
      <alignment horizontal="center"/>
    </xf>
    <xf numFmtId="2" fontId="3" fillId="0" borderId="111" xfId="0" applyNumberFormat="1" applyFont="1" applyBorder="1" applyAlignment="1">
      <alignment horizontal="center"/>
    </xf>
    <xf numFmtId="2" fontId="3" fillId="0" borderId="114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6" fillId="0" borderId="16" xfId="0" applyFont="1" applyBorder="1"/>
    <xf numFmtId="0" fontId="38" fillId="0" borderId="24" xfId="0" applyFont="1" applyBorder="1" applyAlignment="1">
      <alignment horizontal="center"/>
    </xf>
    <xf numFmtId="0" fontId="16" fillId="0" borderId="31" xfId="0" applyFont="1" applyBorder="1"/>
    <xf numFmtId="0" fontId="16" fillId="0" borderId="25" xfId="0" applyFont="1" applyBorder="1"/>
    <xf numFmtId="0" fontId="23" fillId="12" borderId="2" xfId="0" applyFont="1" applyFill="1" applyBorder="1" applyAlignment="1">
      <alignment horizontal="center" vertical="center"/>
    </xf>
    <xf numFmtId="0" fontId="16" fillId="0" borderId="3" xfId="0" applyFont="1" applyBorder="1"/>
    <xf numFmtId="0" fontId="16" fillId="0" borderId="4" xfId="0" applyFont="1" applyBorder="1"/>
    <xf numFmtId="0" fontId="29" fillId="2" borderId="9" xfId="0" applyFont="1" applyFill="1" applyBorder="1" applyAlignment="1">
      <alignment horizontal="center" vertical="center"/>
    </xf>
    <xf numFmtId="0" fontId="16" fillId="0" borderId="10" xfId="0" applyFont="1" applyBorder="1"/>
    <xf numFmtId="0" fontId="16" fillId="0" borderId="11" xfId="0" applyFont="1" applyBorder="1"/>
    <xf numFmtId="3" fontId="25" fillId="2" borderId="9" xfId="0" applyNumberFormat="1" applyFont="1" applyFill="1" applyBorder="1" applyAlignment="1">
      <alignment horizontal="center" vertical="center"/>
    </xf>
    <xf numFmtId="0" fontId="23" fillId="12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3" fontId="12" fillId="0" borderId="9" xfId="0" applyNumberFormat="1" applyFont="1" applyBorder="1" applyAlignment="1">
      <alignment horizontal="center" vertical="center"/>
    </xf>
    <xf numFmtId="14" fontId="32" fillId="8" borderId="31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0" fillId="0" borderId="0" xfId="0"/>
    <xf numFmtId="0" fontId="23" fillId="12" borderId="7" xfId="0" applyFont="1" applyFill="1" applyBorder="1" applyAlignment="1">
      <alignment horizontal="center" vertical="center"/>
    </xf>
    <xf numFmtId="0" fontId="16" fillId="0" borderId="8" xfId="0" applyFont="1" applyBorder="1"/>
    <xf numFmtId="0" fontId="12" fillId="13" borderId="24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3" fontId="25" fillId="0" borderId="9" xfId="0" applyNumberFormat="1" applyFont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6" fillId="0" borderId="6" xfId="0" applyFont="1" applyBorder="1"/>
    <xf numFmtId="0" fontId="14" fillId="11" borderId="2" xfId="0" applyFont="1" applyFill="1" applyBorder="1" applyAlignment="1">
      <alignment horizontal="center" vertical="center" wrapText="1"/>
    </xf>
    <xf numFmtId="0" fontId="16" fillId="0" borderId="5" xfId="0" applyFont="1" applyBorder="1"/>
    <xf numFmtId="0" fontId="15" fillId="2" borderId="2" xfId="0" applyFont="1" applyFill="1" applyBorder="1" applyAlignment="1">
      <alignment horizontal="center" vertical="center"/>
    </xf>
    <xf numFmtId="0" fontId="16" fillId="0" borderId="7" xfId="0" applyFont="1" applyBorder="1"/>
    <xf numFmtId="0" fontId="17" fillId="11" borderId="15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6" fillId="0" borderId="17" xfId="0" applyFont="1" applyBorder="1"/>
    <xf numFmtId="0" fontId="19" fillId="7" borderId="2" xfId="0" applyFont="1" applyFill="1" applyBorder="1" applyAlignment="1">
      <alignment horizontal="center" vertical="center"/>
    </xf>
    <xf numFmtId="0" fontId="58" fillId="25" borderId="63" xfId="0" applyFont="1" applyFill="1" applyBorder="1" applyAlignment="1">
      <alignment horizontal="center"/>
    </xf>
    <xf numFmtId="0" fontId="59" fillId="22" borderId="66" xfId="0" applyFont="1" applyFill="1" applyBorder="1"/>
    <xf numFmtId="0" fontId="51" fillId="25" borderId="64" xfId="0" applyFont="1" applyFill="1" applyBorder="1" applyAlignment="1">
      <alignment horizontal="center"/>
    </xf>
    <xf numFmtId="0" fontId="51" fillId="25" borderId="64" xfId="0" applyFont="1" applyFill="1" applyBorder="1"/>
    <xf numFmtId="0" fontId="51" fillId="25" borderId="63" xfId="0" applyFont="1" applyFill="1" applyBorder="1" applyAlignment="1">
      <alignment horizontal="center"/>
    </xf>
    <xf numFmtId="0" fontId="58" fillId="25" borderId="0" xfId="0" applyFont="1" applyFill="1"/>
    <xf numFmtId="0" fontId="51" fillId="25" borderId="0" xfId="0" applyFont="1" applyFill="1"/>
  </cellXfs>
  <cellStyles count="2">
    <cellStyle name="一般" xfId="0" builtinId="0"/>
    <cellStyle name="超連結" xfId="1" builtinId="8"/>
  </cellStyles>
  <dxfs count="86"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ill>
        <patternFill patternType="solid">
          <fgColor rgb="FFFFFFFF"/>
          <bgColor rgb="FFFFFFFF"/>
        </patternFill>
      </fill>
    </dxf>
    <dxf>
      <font>
        <color rgb="FFC00000"/>
      </font>
    </dxf>
    <dxf>
      <font>
        <color rgb="FF008000"/>
      </font>
    </dxf>
    <dxf>
      <font>
        <color rgb="FF008000"/>
      </font>
    </dxf>
    <dxf>
      <font>
        <color rgb="FFC00000"/>
      </font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10/relationships/person" Target="persons/person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近4季EPS 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'每股盈餘(EPS)'!$I$3:$I$15</c:f>
              <c:strCache>
                <c:ptCount val="13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</c:strCache>
            </c:strRef>
          </c:cat>
          <c:val>
            <c:numRef>
              <c:f>'每股盈餘(EPS)'!$K$3:$K$15</c:f>
              <c:numCache>
                <c:formatCode>\+0.0%;\-0.0%;\-</c:formatCode>
                <c:ptCount val="13"/>
                <c:pt idx="0">
                  <c:v>0.53223228556206714</c:v>
                </c:pt>
                <c:pt idx="1">
                  <c:v>0.47277766778855668</c:v>
                </c:pt>
                <c:pt idx="2">
                  <c:v>0.46398585947856819</c:v>
                </c:pt>
                <c:pt idx="3">
                  <c:v>0.52923538230884581</c:v>
                </c:pt>
                <c:pt idx="4">
                  <c:v>0.58129738837405243</c:v>
                </c:pt>
                <c:pt idx="5">
                  <c:v>0.52782819116757418</c:v>
                </c:pt>
                <c:pt idx="6">
                  <c:v>0.39950525664811387</c:v>
                </c:pt>
                <c:pt idx="7">
                  <c:v>0.15865662999420937</c:v>
                </c:pt>
                <c:pt idx="8">
                  <c:v>-4.3513295729250556E-2</c:v>
                </c:pt>
                <c:pt idx="9">
                  <c:v>-0.16006097560975607</c:v>
                </c:pt>
                <c:pt idx="10">
                  <c:v>-0.17499999999999993</c:v>
                </c:pt>
                <c:pt idx="11">
                  <c:v>9.9415204678363622E-3</c:v>
                </c:pt>
                <c:pt idx="12">
                  <c:v>0.26632653061224465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5-4DBE-9959-9449F90CC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906594"/>
        <c:axId val="102512137"/>
      </c:lineChart>
      <c:catAx>
        <c:axId val="1910906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02512137"/>
        <c:crosses val="autoZero"/>
        <c:auto val="1"/>
        <c:lblAlgn val="ctr"/>
        <c:lblOffset val="100"/>
        <c:noMultiLvlLbl val="1"/>
      </c:catAx>
      <c:valAx>
        <c:axId val="102512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\+0.0%;\-0.0%;\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910906594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累計營收</c:v>
          </c:tx>
          <c:spPr>
            <a:solidFill>
              <a:srgbClr val="4A86E8"/>
            </a:solidFill>
            <a:ln cmpd="sng">
              <a:noFill/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20B-4199-BF50-6DBED86E372C}"/>
              </c:ext>
            </c:extLst>
          </c:dPt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20B-4199-BF50-6DBED86E372C}"/>
              </c:ext>
            </c:extLst>
          </c:dPt>
          <c:cat>
            <c:numRef>
              <c:f>營收!$A$3:$A$15</c:f>
              <c:numCache>
                <c:formatCode>yyyy/mm</c:formatCode>
                <c:ptCount val="13"/>
                <c:pt idx="0">
                  <c:v>46204</c:v>
                </c:pt>
                <c:pt idx="1">
                  <c:v>46174</c:v>
                </c:pt>
                <c:pt idx="2">
                  <c:v>46143</c:v>
                </c:pt>
                <c:pt idx="3">
                  <c:v>46113</c:v>
                </c:pt>
                <c:pt idx="4">
                  <c:v>46082</c:v>
                </c:pt>
                <c:pt idx="5">
                  <c:v>46054</c:v>
                </c:pt>
                <c:pt idx="6">
                  <c:v>46023</c:v>
                </c:pt>
                <c:pt idx="7">
                  <c:v>45992</c:v>
                </c:pt>
                <c:pt idx="8">
                  <c:v>45962</c:v>
                </c:pt>
                <c:pt idx="9">
                  <c:v>45931</c:v>
                </c:pt>
                <c:pt idx="10">
                  <c:v>45901</c:v>
                </c:pt>
                <c:pt idx="11">
                  <c:v>45870</c:v>
                </c:pt>
                <c:pt idx="12">
                  <c:v>45839</c:v>
                </c:pt>
              </c:numCache>
            </c:numRef>
          </c:cat>
          <c:val>
            <c:numRef>
              <c:f>營收!$F$3:$F$15</c:f>
              <c:numCache>
                <c:formatCode>#,##0</c:formatCode>
                <c:ptCount val="13"/>
                <c:pt idx="0">
                  <c:v>2872064256</c:v>
                </c:pt>
                <c:pt idx="1">
                  <c:v>2404483584</c:v>
                </c:pt>
                <c:pt idx="2">
                  <c:v>1961803776</c:v>
                </c:pt>
                <c:pt idx="3">
                  <c:v>1544829056</c:v>
                </c:pt>
                <c:pt idx="4">
                  <c:v>1134103040</c:v>
                </c:pt>
                <c:pt idx="5">
                  <c:v>718911680</c:v>
                </c:pt>
                <c:pt idx="6">
                  <c:v>401255104</c:v>
                </c:pt>
                <c:pt idx="7">
                  <c:v>3809053952</c:v>
                </c:pt>
                <c:pt idx="8">
                  <c:v>3474051072</c:v>
                </c:pt>
                <c:pt idx="9">
                  <c:v>3130437120</c:v>
                </c:pt>
                <c:pt idx="10">
                  <c:v>2762963968</c:v>
                </c:pt>
                <c:pt idx="11">
                  <c:v>2431983104</c:v>
                </c:pt>
                <c:pt idx="12">
                  <c:v>2096210944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20B-4199-BF50-6DBED86E372C}"/>
            </c:ext>
          </c:extLst>
        </c:ser>
        <c:ser>
          <c:idx val="1"/>
          <c:order val="1"/>
          <c:tx>
            <c:v>去年累計營收</c:v>
          </c:tx>
          <c:spPr>
            <a:solidFill>
              <a:srgbClr val="F6B26B"/>
            </a:solidFill>
            <a:ln cmpd="sng">
              <a:noFill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520B-4199-BF50-6DBED86E372C}"/>
              </c:ext>
            </c:extLst>
          </c:dPt>
          <c:cat>
            <c:numRef>
              <c:f>營收!$A$3:$A$15</c:f>
              <c:numCache>
                <c:formatCode>yyyy/mm</c:formatCode>
                <c:ptCount val="13"/>
                <c:pt idx="0">
                  <c:v>46204</c:v>
                </c:pt>
                <c:pt idx="1">
                  <c:v>46174</c:v>
                </c:pt>
                <c:pt idx="2">
                  <c:v>46143</c:v>
                </c:pt>
                <c:pt idx="3">
                  <c:v>46113</c:v>
                </c:pt>
                <c:pt idx="4">
                  <c:v>46082</c:v>
                </c:pt>
                <c:pt idx="5">
                  <c:v>46054</c:v>
                </c:pt>
                <c:pt idx="6">
                  <c:v>46023</c:v>
                </c:pt>
                <c:pt idx="7">
                  <c:v>45992</c:v>
                </c:pt>
                <c:pt idx="8">
                  <c:v>45962</c:v>
                </c:pt>
                <c:pt idx="9">
                  <c:v>45931</c:v>
                </c:pt>
                <c:pt idx="10">
                  <c:v>45901</c:v>
                </c:pt>
                <c:pt idx="11">
                  <c:v>45870</c:v>
                </c:pt>
                <c:pt idx="12">
                  <c:v>45839</c:v>
                </c:pt>
              </c:numCache>
            </c:numRef>
          </c:cat>
          <c:val>
            <c:numRef>
              <c:f>營收!$G$3:$G$15</c:f>
              <c:numCache>
                <c:formatCode>#,##0</c:formatCode>
                <c:ptCount val="13"/>
                <c:pt idx="0">
                  <c:v>2096211200</c:v>
                </c:pt>
                <c:pt idx="1">
                  <c:v>1773045504</c:v>
                </c:pt>
                <c:pt idx="2">
                  <c:v>1509336576</c:v>
                </c:pt>
                <c:pt idx="3">
                  <c:v>1188820992</c:v>
                </c:pt>
                <c:pt idx="4">
                  <c:v>839253632</c:v>
                </c:pt>
                <c:pt idx="5">
                  <c:v>553296768</c:v>
                </c:pt>
                <c:pt idx="6">
                  <c:v>293288000</c:v>
                </c:pt>
                <c:pt idx="7">
                  <c:v>2894308096</c:v>
                </c:pt>
                <c:pt idx="8">
                  <c:v>2616144896</c:v>
                </c:pt>
                <c:pt idx="9">
                  <c:v>2340086016</c:v>
                </c:pt>
                <c:pt idx="10">
                  <c:v>2025847040</c:v>
                </c:pt>
                <c:pt idx="11">
                  <c:v>1773974016</c:v>
                </c:pt>
                <c:pt idx="12">
                  <c:v>1523106944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20B-4199-BF50-6DBED86E3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8253709"/>
        <c:axId val="774345710"/>
      </c:barChart>
      <c:lineChart>
        <c:grouping val="standard"/>
        <c:varyColors val="0"/>
        <c:ser>
          <c:idx val="2"/>
          <c:order val="2"/>
          <c:tx>
            <c:v>累積YOY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營收!$A$3:$A$15</c:f>
              <c:numCache>
                <c:formatCode>yyyy/mm</c:formatCode>
                <c:ptCount val="13"/>
                <c:pt idx="0">
                  <c:v>46204</c:v>
                </c:pt>
                <c:pt idx="1">
                  <c:v>46174</c:v>
                </c:pt>
                <c:pt idx="2">
                  <c:v>46143</c:v>
                </c:pt>
                <c:pt idx="3">
                  <c:v>46113</c:v>
                </c:pt>
                <c:pt idx="4">
                  <c:v>46082</c:v>
                </c:pt>
                <c:pt idx="5">
                  <c:v>46054</c:v>
                </c:pt>
                <c:pt idx="6">
                  <c:v>46023</c:v>
                </c:pt>
                <c:pt idx="7">
                  <c:v>45992</c:v>
                </c:pt>
                <c:pt idx="8">
                  <c:v>45962</c:v>
                </c:pt>
                <c:pt idx="9">
                  <c:v>45931</c:v>
                </c:pt>
                <c:pt idx="10">
                  <c:v>45901</c:v>
                </c:pt>
                <c:pt idx="11">
                  <c:v>45870</c:v>
                </c:pt>
                <c:pt idx="12">
                  <c:v>45839</c:v>
                </c:pt>
              </c:numCache>
            </c:numRef>
          </c:cat>
          <c:val>
            <c:numRef>
              <c:f>營收!$H$3:$H$15</c:f>
              <c:numCache>
                <c:formatCode>\+0.0%;\-0.0%;\-</c:formatCode>
                <c:ptCount val="13"/>
                <c:pt idx="0">
                  <c:v>0.37</c:v>
                </c:pt>
                <c:pt idx="1">
                  <c:v>0.35599999999999998</c:v>
                </c:pt>
                <c:pt idx="2">
                  <c:v>0.3</c:v>
                </c:pt>
                <c:pt idx="3">
                  <c:v>0.29899999999999999</c:v>
                </c:pt>
                <c:pt idx="4">
                  <c:v>0.35099999999999998</c:v>
                </c:pt>
                <c:pt idx="5">
                  <c:v>0.29899999999999999</c:v>
                </c:pt>
                <c:pt idx="6">
                  <c:v>0.36799999999999999</c:v>
                </c:pt>
                <c:pt idx="7">
                  <c:v>0.316</c:v>
                </c:pt>
                <c:pt idx="8">
                  <c:v>0.32800000000000001</c:v>
                </c:pt>
                <c:pt idx="9">
                  <c:v>0.33800000000000002</c:v>
                </c:pt>
                <c:pt idx="10">
                  <c:v>0.36399999999999999</c:v>
                </c:pt>
                <c:pt idx="11">
                  <c:v>0.371</c:v>
                </c:pt>
                <c:pt idx="12">
                  <c:v>0.376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0B-4199-BF50-6DBED86E3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158119"/>
        <c:axId val="1247059981"/>
      </c:lineChart>
      <c:dateAx>
        <c:axId val="1918253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/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74345710"/>
        <c:crosses val="autoZero"/>
        <c:auto val="1"/>
        <c:lblOffset val="100"/>
        <c:baseTimeUnit val="months"/>
      </c:dateAx>
      <c:valAx>
        <c:axId val="774345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918253709"/>
        <c:crosses val="autoZero"/>
        <c:crossBetween val="between"/>
      </c:valAx>
      <c:dateAx>
        <c:axId val="781158119"/>
        <c:scaling>
          <c:orientation val="minMax"/>
        </c:scaling>
        <c:delete val="1"/>
        <c:axPos val="b"/>
        <c:numFmt formatCode="yyyy/mm" sourceLinked="1"/>
        <c:majorTickMark val="none"/>
        <c:minorTickMark val="none"/>
        <c:tickLblPos val="nextTo"/>
        <c:crossAx val="1247059981"/>
        <c:crosses val="autoZero"/>
        <c:auto val="1"/>
        <c:lblOffset val="100"/>
        <c:baseTimeUnit val="months"/>
      </c:dateAx>
      <c:valAx>
        <c:axId val="124705998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\+0.0%;\-0.0%;\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81158119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EPS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Pt>
            <c:idx val="1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824D-4F4B-9FAA-FC56FCFDD7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'每股盈餘(EPS)'!$A$27:$A$39</c:f>
              <c:strCache>
                <c:ptCount val="13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</c:strCache>
            </c:strRef>
          </c:cat>
          <c:val>
            <c:numRef>
              <c:f>'每股盈餘(EPS)'!$B$27:$B$39</c:f>
              <c:numCache>
                <c:formatCode>#,##0</c:formatCode>
                <c:ptCount val="13"/>
                <c:pt idx="0">
                  <c:v>27.25</c:v>
                </c:pt>
                <c:pt idx="1">
                  <c:v>22.08</c:v>
                </c:pt>
                <c:pt idx="2">
                  <c:v>19.510000000000002</c:v>
                </c:pt>
                <c:pt idx="3">
                  <c:v>17.440000000000001</c:v>
                </c:pt>
                <c:pt idx="4">
                  <c:v>15.36</c:v>
                </c:pt>
                <c:pt idx="5">
                  <c:v>13.95</c:v>
                </c:pt>
                <c:pt idx="6">
                  <c:v>14.45</c:v>
                </c:pt>
                <c:pt idx="7">
                  <c:v>12.55</c:v>
                </c:pt>
                <c:pt idx="8">
                  <c:v>9.56</c:v>
                </c:pt>
                <c:pt idx="9">
                  <c:v>8.6999999999999993</c:v>
                </c:pt>
                <c:pt idx="10">
                  <c:v>9.2100000000000009</c:v>
                </c:pt>
                <c:pt idx="11">
                  <c:v>8.14</c:v>
                </c:pt>
                <c:pt idx="12">
                  <c:v>7.01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24D-4F4B-9FAA-FC56FCFDD77F}"/>
            </c:ext>
          </c:extLst>
        </c:ser>
        <c:ser>
          <c:idx val="1"/>
          <c:order val="1"/>
          <c:tx>
            <c:v>去年EPS</c:v>
          </c:tx>
          <c:spPr>
            <a:solidFill>
              <a:srgbClr val="F6B26B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824D-4F4B-9FAA-FC56FCFDD77F}"/>
              </c:ext>
            </c:extLst>
          </c:dPt>
          <c:cat>
            <c:strRef>
              <c:f>'每股盈餘(EPS)'!$A$27:$A$39</c:f>
              <c:strCache>
                <c:ptCount val="13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</c:strCache>
            </c:strRef>
          </c:cat>
          <c:val>
            <c:numRef>
              <c:f>'每股盈餘(EPS)'!$C$27:$C$39</c:f>
              <c:numCache>
                <c:formatCode>#,##0</c:formatCode>
                <c:ptCount val="13"/>
                <c:pt idx="0">
                  <c:v>15.36</c:v>
                </c:pt>
                <c:pt idx="1">
                  <c:v>13.95</c:v>
                </c:pt>
                <c:pt idx="2">
                  <c:v>14.45</c:v>
                </c:pt>
                <c:pt idx="3">
                  <c:v>12.55</c:v>
                </c:pt>
                <c:pt idx="4">
                  <c:v>9.56</c:v>
                </c:pt>
                <c:pt idx="5">
                  <c:v>8.6999999999999993</c:v>
                </c:pt>
                <c:pt idx="6">
                  <c:v>9.2100000000000009</c:v>
                </c:pt>
                <c:pt idx="7">
                  <c:v>8.14</c:v>
                </c:pt>
                <c:pt idx="8">
                  <c:v>7.01</c:v>
                </c:pt>
                <c:pt idx="9">
                  <c:v>7.98</c:v>
                </c:pt>
                <c:pt idx="10">
                  <c:v>11.41</c:v>
                </c:pt>
                <c:pt idx="11">
                  <c:v>10.83</c:v>
                </c:pt>
                <c:pt idx="12">
                  <c:v>9.14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24D-4F4B-9FAA-FC56FCFDD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164159"/>
        <c:axId val="2060700795"/>
      </c:barChart>
      <c:lineChart>
        <c:grouping val="standard"/>
        <c:varyColors val="0"/>
        <c:ser>
          <c:idx val="2"/>
          <c:order val="2"/>
          <c:tx>
            <c:v>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'每股盈餘(EPS)'!$A$27:$A$39</c:f>
              <c:strCache>
                <c:ptCount val="13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</c:strCache>
            </c:strRef>
          </c:cat>
          <c:val>
            <c:numRef>
              <c:f>'每股盈餘(EPS)'!$D$27:$D$39</c:f>
              <c:numCache>
                <c:formatCode>#,##0</c:formatCode>
                <c:ptCount val="13"/>
                <c:pt idx="0">
                  <c:v>0.77408854166666674</c:v>
                </c:pt>
                <c:pt idx="1">
                  <c:v>0.58279569892473115</c:v>
                </c:pt>
                <c:pt idx="2">
                  <c:v>0.3501730103806231</c:v>
                </c:pt>
                <c:pt idx="3">
                  <c:v>0.38964143426294817</c:v>
                </c:pt>
                <c:pt idx="4">
                  <c:v>0.60669456066945582</c:v>
                </c:pt>
                <c:pt idx="5">
                  <c:v>0.60344827586206895</c:v>
                </c:pt>
                <c:pt idx="6">
                  <c:v>0.56894679695982608</c:v>
                </c:pt>
                <c:pt idx="7">
                  <c:v>0.54176904176904173</c:v>
                </c:pt>
                <c:pt idx="8">
                  <c:v>0.36376604850213989</c:v>
                </c:pt>
                <c:pt idx="9">
                  <c:v>9.0225563909774209E-2</c:v>
                </c:pt>
                <c:pt idx="10">
                  <c:v>-0.19281332164767739</c:v>
                </c:pt>
                <c:pt idx="11">
                  <c:v>-0.24838411819021233</c:v>
                </c:pt>
                <c:pt idx="12">
                  <c:v>-0.23304157549234139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4D-4F4B-9FAA-FC56FCFDD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112732"/>
        <c:axId val="1126731037"/>
      </c:lineChart>
      <c:catAx>
        <c:axId val="1002164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2060700795"/>
        <c:crosses val="autoZero"/>
        <c:auto val="1"/>
        <c:lblAlgn val="ctr"/>
        <c:lblOffset val="100"/>
        <c:noMultiLvlLbl val="1"/>
      </c:catAx>
      <c:valAx>
        <c:axId val="2060700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002164159"/>
        <c:crosses val="autoZero"/>
        <c:crossBetween val="between"/>
      </c:valAx>
      <c:catAx>
        <c:axId val="12971127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6731037"/>
        <c:crosses val="autoZero"/>
        <c:auto val="1"/>
        <c:lblAlgn val="ctr"/>
        <c:lblOffset val="100"/>
        <c:noMultiLvlLbl val="1"/>
      </c:catAx>
      <c:valAx>
        <c:axId val="112673103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97112732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營收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numRef>
              <c:f>營收!$A$3:$A$15</c:f>
              <c:numCache>
                <c:formatCode>yyyy/mm</c:formatCode>
                <c:ptCount val="13"/>
                <c:pt idx="0">
                  <c:v>46204</c:v>
                </c:pt>
                <c:pt idx="1">
                  <c:v>46174</c:v>
                </c:pt>
                <c:pt idx="2">
                  <c:v>46143</c:v>
                </c:pt>
                <c:pt idx="3">
                  <c:v>46113</c:v>
                </c:pt>
                <c:pt idx="4">
                  <c:v>46082</c:v>
                </c:pt>
                <c:pt idx="5">
                  <c:v>46054</c:v>
                </c:pt>
                <c:pt idx="6">
                  <c:v>46023</c:v>
                </c:pt>
                <c:pt idx="7">
                  <c:v>45992</c:v>
                </c:pt>
                <c:pt idx="8">
                  <c:v>45962</c:v>
                </c:pt>
                <c:pt idx="9">
                  <c:v>45931</c:v>
                </c:pt>
                <c:pt idx="10">
                  <c:v>45901</c:v>
                </c:pt>
                <c:pt idx="11">
                  <c:v>45870</c:v>
                </c:pt>
                <c:pt idx="12">
                  <c:v>45839</c:v>
                </c:pt>
              </c:numCache>
            </c:numRef>
          </c:cat>
          <c:val>
            <c:numRef>
              <c:f>營收!$B$3:$B$15</c:f>
              <c:numCache>
                <c:formatCode>#,##0</c:formatCode>
                <c:ptCount val="13"/>
                <c:pt idx="0">
                  <c:v>467580544</c:v>
                </c:pt>
                <c:pt idx="1">
                  <c:v>442679968</c:v>
                </c:pt>
                <c:pt idx="2">
                  <c:v>416975168</c:v>
                </c:pt>
                <c:pt idx="3">
                  <c:v>410725088</c:v>
                </c:pt>
                <c:pt idx="4">
                  <c:v>415191712</c:v>
                </c:pt>
                <c:pt idx="5">
                  <c:v>317656608</c:v>
                </c:pt>
                <c:pt idx="6">
                  <c:v>401255104</c:v>
                </c:pt>
                <c:pt idx="7">
                  <c:v>335003584</c:v>
                </c:pt>
                <c:pt idx="8">
                  <c:v>343613792</c:v>
                </c:pt>
                <c:pt idx="9">
                  <c:v>367473088</c:v>
                </c:pt>
                <c:pt idx="10">
                  <c:v>330980896</c:v>
                </c:pt>
                <c:pt idx="11">
                  <c:v>335771712</c:v>
                </c:pt>
                <c:pt idx="12">
                  <c:v>323165696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066-4A49-A3F3-C54A4312D3F0}"/>
            </c:ext>
          </c:extLst>
        </c:ser>
        <c:ser>
          <c:idx val="1"/>
          <c:order val="1"/>
          <c:tx>
            <c:v>去年營收</c:v>
          </c:tx>
          <c:spPr>
            <a:solidFill>
              <a:srgbClr val="F6B26B"/>
            </a:solidFill>
            <a:ln cmpd="sng">
              <a:noFill/>
            </a:ln>
          </c:spPr>
          <c:invertIfNegative val="1"/>
          <c:cat>
            <c:numRef>
              <c:f>營收!$A$3:$A$15</c:f>
              <c:numCache>
                <c:formatCode>yyyy/mm</c:formatCode>
                <c:ptCount val="13"/>
                <c:pt idx="0">
                  <c:v>46204</c:v>
                </c:pt>
                <c:pt idx="1">
                  <c:v>46174</c:v>
                </c:pt>
                <c:pt idx="2">
                  <c:v>46143</c:v>
                </c:pt>
                <c:pt idx="3">
                  <c:v>46113</c:v>
                </c:pt>
                <c:pt idx="4">
                  <c:v>46082</c:v>
                </c:pt>
                <c:pt idx="5">
                  <c:v>46054</c:v>
                </c:pt>
                <c:pt idx="6">
                  <c:v>46023</c:v>
                </c:pt>
                <c:pt idx="7">
                  <c:v>45992</c:v>
                </c:pt>
                <c:pt idx="8">
                  <c:v>45962</c:v>
                </c:pt>
                <c:pt idx="9">
                  <c:v>45931</c:v>
                </c:pt>
                <c:pt idx="10">
                  <c:v>45901</c:v>
                </c:pt>
                <c:pt idx="11">
                  <c:v>45870</c:v>
                </c:pt>
                <c:pt idx="12">
                  <c:v>45839</c:v>
                </c:pt>
              </c:numCache>
            </c:numRef>
          </c:cat>
          <c:val>
            <c:numRef>
              <c:f>營收!$C$3:$C$15</c:f>
              <c:numCache>
                <c:formatCode>#,##0</c:formatCode>
                <c:ptCount val="13"/>
                <c:pt idx="0">
                  <c:v>323165696</c:v>
                </c:pt>
                <c:pt idx="1">
                  <c:v>263708976</c:v>
                </c:pt>
                <c:pt idx="2">
                  <c:v>320515936</c:v>
                </c:pt>
                <c:pt idx="3">
                  <c:v>349566912</c:v>
                </c:pt>
                <c:pt idx="4">
                  <c:v>285956800</c:v>
                </c:pt>
                <c:pt idx="5">
                  <c:v>260008800</c:v>
                </c:pt>
                <c:pt idx="6">
                  <c:v>293288000</c:v>
                </c:pt>
                <c:pt idx="7">
                  <c:v>278163104</c:v>
                </c:pt>
                <c:pt idx="8">
                  <c:v>276058400</c:v>
                </c:pt>
                <c:pt idx="9">
                  <c:v>314239712</c:v>
                </c:pt>
                <c:pt idx="10">
                  <c:v>251872704</c:v>
                </c:pt>
                <c:pt idx="11">
                  <c:v>250866400</c:v>
                </c:pt>
                <c:pt idx="12">
                  <c:v>256953104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066-4A49-A3F3-C54A4312D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5011888"/>
        <c:axId val="366069551"/>
      </c:barChart>
      <c:lineChart>
        <c:grouping val="standard"/>
        <c:varyColors val="0"/>
        <c:ser>
          <c:idx val="2"/>
          <c:order val="2"/>
          <c:tx>
            <c:v>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營收!$A$3:$A$15</c:f>
              <c:numCache>
                <c:formatCode>yyyy/mm</c:formatCode>
                <c:ptCount val="13"/>
                <c:pt idx="0">
                  <c:v>46204</c:v>
                </c:pt>
                <c:pt idx="1">
                  <c:v>46174</c:v>
                </c:pt>
                <c:pt idx="2">
                  <c:v>46143</c:v>
                </c:pt>
                <c:pt idx="3">
                  <c:v>46113</c:v>
                </c:pt>
                <c:pt idx="4">
                  <c:v>46082</c:v>
                </c:pt>
                <c:pt idx="5">
                  <c:v>46054</c:v>
                </c:pt>
                <c:pt idx="6">
                  <c:v>46023</c:v>
                </c:pt>
                <c:pt idx="7">
                  <c:v>45992</c:v>
                </c:pt>
                <c:pt idx="8">
                  <c:v>45962</c:v>
                </c:pt>
                <c:pt idx="9">
                  <c:v>45931</c:v>
                </c:pt>
                <c:pt idx="10">
                  <c:v>45901</c:v>
                </c:pt>
                <c:pt idx="11">
                  <c:v>45870</c:v>
                </c:pt>
                <c:pt idx="12">
                  <c:v>45839</c:v>
                </c:pt>
              </c:numCache>
            </c:numRef>
          </c:cat>
          <c:val>
            <c:numRef>
              <c:f>營收!$E$3:$E$15</c:f>
              <c:numCache>
                <c:formatCode>\+0.0%;\-0.0%;\-</c:formatCode>
                <c:ptCount val="13"/>
                <c:pt idx="0">
                  <c:v>0.44700000000000001</c:v>
                </c:pt>
                <c:pt idx="1">
                  <c:v>0.67900000000000005</c:v>
                </c:pt>
                <c:pt idx="2">
                  <c:v>0.30099999999999999</c:v>
                </c:pt>
                <c:pt idx="3">
                  <c:v>0.17499999999999999</c:v>
                </c:pt>
                <c:pt idx="4">
                  <c:v>0.45200000000000001</c:v>
                </c:pt>
                <c:pt idx="5">
                  <c:v>0.222</c:v>
                </c:pt>
                <c:pt idx="6">
                  <c:v>0.36799999999999999</c:v>
                </c:pt>
                <c:pt idx="7">
                  <c:v>0.20399999999999999</c:v>
                </c:pt>
                <c:pt idx="8">
                  <c:v>0.245</c:v>
                </c:pt>
                <c:pt idx="9">
                  <c:v>0.16900000000000001</c:v>
                </c:pt>
                <c:pt idx="10">
                  <c:v>0.314</c:v>
                </c:pt>
                <c:pt idx="11">
                  <c:v>0.33800000000000002</c:v>
                </c:pt>
                <c:pt idx="12">
                  <c:v>0.25800000000000001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66-4A49-A3F3-C54A4312D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205168"/>
        <c:axId val="624921103"/>
      </c:lineChart>
      <c:dateAx>
        <c:axId val="154501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/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366069551"/>
        <c:crosses val="autoZero"/>
        <c:auto val="1"/>
        <c:lblOffset val="100"/>
        <c:baseTimeUnit val="months"/>
      </c:dateAx>
      <c:valAx>
        <c:axId val="366069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545011888"/>
        <c:crosses val="autoZero"/>
        <c:crossBetween val="between"/>
      </c:valAx>
      <c:dateAx>
        <c:axId val="769205168"/>
        <c:scaling>
          <c:orientation val="minMax"/>
        </c:scaling>
        <c:delete val="1"/>
        <c:axPos val="b"/>
        <c:numFmt formatCode="yyyy/mm" sourceLinked="1"/>
        <c:majorTickMark val="none"/>
        <c:minorTickMark val="none"/>
        <c:tickLblPos val="nextTo"/>
        <c:crossAx val="624921103"/>
        <c:crosses val="autoZero"/>
        <c:auto val="1"/>
        <c:lblOffset val="100"/>
        <c:baseTimeUnit val="months"/>
      </c:dateAx>
      <c:valAx>
        <c:axId val="62492110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\+0.0%;\-0.0%;\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69205168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近4季累積EPS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9E1D-4340-9BFE-DD9237D8EE37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9E1D-4340-9BFE-DD9237D8EE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'每股盈餘(EPS)'!$L$3:$L$7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'每股盈餘(EPS)'!$M$3:$M$7</c:f>
              <c:numCache>
                <c:formatCode>0.00</c:formatCode>
                <c:ptCount val="5"/>
                <c:pt idx="0">
                  <c:v>98.108724539147389</c:v>
                </c:pt>
                <c:pt idx="1">
                  <c:v>86.28</c:v>
                </c:pt>
                <c:pt idx="2">
                  <c:v>74.39</c:v>
                </c:pt>
                <c:pt idx="3">
                  <c:v>66.260000000000005</c:v>
                </c:pt>
                <c:pt idx="4">
                  <c:v>61.2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E1D-4340-9BFE-DD9237D8EE37}"/>
            </c:ext>
          </c:extLst>
        </c:ser>
        <c:ser>
          <c:idx val="1"/>
          <c:order val="1"/>
          <c:tx>
            <c:v>去年近4季累積EPS</c:v>
          </c:tx>
          <c:spPr>
            <a:solidFill>
              <a:srgbClr val="FF99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'每股盈餘(EPS)'!$L$3:$L$7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'每股盈餘(EPS)'!$N$3:$N$7</c:f>
              <c:numCache>
                <c:formatCode>0.00</c:formatCode>
                <c:ptCount val="5"/>
                <c:pt idx="0">
                  <c:v>61.2</c:v>
                </c:pt>
                <c:pt idx="1">
                  <c:v>56.31</c:v>
                </c:pt>
                <c:pt idx="2">
                  <c:v>50.510000000000005</c:v>
                </c:pt>
                <c:pt idx="3">
                  <c:v>45.260000000000005</c:v>
                </c:pt>
                <c:pt idx="4">
                  <c:v>40.019999999999996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E1D-4340-9BFE-DD9237D8E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292765"/>
        <c:axId val="1625720338"/>
      </c:barChart>
      <c:lineChart>
        <c:grouping val="standard"/>
        <c:varyColors val="0"/>
        <c:ser>
          <c:idx val="2"/>
          <c:order val="2"/>
          <c:tx>
            <c:v>近4季EPS累積YOY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'每股盈餘(EPS)'!$L$3:$L$7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'每股盈餘(EPS)'!$O$3:$O$7</c:f>
              <c:numCache>
                <c:formatCode>\+0.0%;\-0.0%;\-</c:formatCode>
                <c:ptCount val="5"/>
                <c:pt idx="0">
                  <c:v>0.60308373429979389</c:v>
                </c:pt>
                <c:pt idx="1">
                  <c:v>0.53223228556206714</c:v>
                </c:pt>
                <c:pt idx="2">
                  <c:v>0.47277766778855668</c:v>
                </c:pt>
                <c:pt idx="3">
                  <c:v>0.46398585947856819</c:v>
                </c:pt>
                <c:pt idx="4">
                  <c:v>0.52923538230884581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1D-4340-9BFE-DD9237D8E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353106"/>
        <c:axId val="1431826351"/>
      </c:lineChart>
      <c:catAx>
        <c:axId val="1243292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625720338"/>
        <c:crosses val="autoZero"/>
        <c:auto val="1"/>
        <c:lblAlgn val="ctr"/>
        <c:lblOffset val="100"/>
        <c:noMultiLvlLbl val="1"/>
      </c:catAx>
      <c:valAx>
        <c:axId val="1625720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43292765"/>
        <c:crosses val="autoZero"/>
        <c:crossBetween val="between"/>
      </c:valAx>
      <c:catAx>
        <c:axId val="50435310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1826351"/>
        <c:crosses val="autoZero"/>
        <c:auto val="1"/>
        <c:lblAlgn val="ctr"/>
        <c:lblOffset val="100"/>
        <c:noMultiLvlLbl val="1"/>
      </c:catAx>
      <c:valAx>
        <c:axId val="143182635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\+0.0%;\-0.0%;\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504353106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營業現金流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trendline>
            <c:name>趨勢線</c:name>
            <c:spPr>
              <a:ln w="19050">
                <a:solidFill>
                  <a:srgbClr val="FF0000"/>
                </a:solidFill>
              </a:ln>
            </c:spPr>
            <c:trendlineType val="exp"/>
            <c:dispRSqr val="0"/>
            <c:dispEq val="0"/>
          </c:trendline>
          <c:cat>
            <c:strRef>
              <c:f>'股息&amp;現金流'!$A$46:$A$58</c:f>
              <c:strCache>
                <c:ptCount val="13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</c:strCache>
            </c:strRef>
          </c:cat>
          <c:val>
            <c:numRef>
              <c:f>'股息&amp;現金流'!$B$46:$B$58</c:f>
              <c:numCache>
                <c:formatCode>#,##0;\(#,##0\)</c:formatCode>
                <c:ptCount val="13"/>
                <c:pt idx="0">
                  <c:v>698976265</c:v>
                </c:pt>
                <c:pt idx="1">
                  <c:v>725508787</c:v>
                </c:pt>
                <c:pt idx="2">
                  <c:v>426829081</c:v>
                </c:pt>
                <c:pt idx="3">
                  <c:v>497064085</c:v>
                </c:pt>
                <c:pt idx="4">
                  <c:v>625573672</c:v>
                </c:pt>
                <c:pt idx="5">
                  <c:v>620205283</c:v>
                </c:pt>
                <c:pt idx="6">
                  <c:v>391992467</c:v>
                </c:pt>
                <c:pt idx="7">
                  <c:v>377668210</c:v>
                </c:pt>
                <c:pt idx="8">
                  <c:v>436311108</c:v>
                </c:pt>
                <c:pt idx="9">
                  <c:v>394829347</c:v>
                </c:pt>
                <c:pt idx="10">
                  <c:v>294645276</c:v>
                </c:pt>
                <c:pt idx="11">
                  <c:v>167247979</c:v>
                </c:pt>
                <c:pt idx="12">
                  <c:v>385244745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CA9-4377-BC66-23E28EC98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3823970"/>
        <c:axId val="1271569653"/>
      </c:barChart>
      <c:catAx>
        <c:axId val="1233823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71569653"/>
        <c:crosses val="autoZero"/>
        <c:auto val="1"/>
        <c:lblAlgn val="ctr"/>
        <c:lblOffset val="100"/>
        <c:noMultiLvlLbl val="1"/>
      </c:catAx>
      <c:valAx>
        <c:axId val="1271569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;\(#,##0\)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33823970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股票佔ETF比例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C03-4AF6-9896-1D3598BD45A9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FC03-4AF6-9896-1D3598BD45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股票資訊!$A$29:$A$68</c:f>
              <c:strCache>
                <c:ptCount val="10"/>
                <c:pt idx="0">
                  <c:v>ETF0052
富邦台灣科技指數基金</c:v>
                </c:pt>
                <c:pt idx="1">
                  <c:v>ETF006208
富邦台灣釆吉50基金</c:v>
                </c:pt>
                <c:pt idx="2">
                  <c:v>ETF0050
元大台灣卓越50基金</c:v>
                </c:pt>
                <c:pt idx="3">
                  <c:v>ETF00692
富邦臺灣公司治理100基金</c:v>
                </c:pt>
                <c:pt idx="4">
                  <c:v>ETF006203
元大摩臺基金</c:v>
                </c:pt>
                <c:pt idx="5">
                  <c:v>ETF0057
富邦台灣ETF傘型基金之富邦台灣摩根指數股票型基金</c:v>
                </c:pt>
                <c:pt idx="6">
                  <c:v>ETF0053
元大台灣電子科技基金</c:v>
                </c:pt>
                <c:pt idx="7">
                  <c:v>ETF009809
富邦台灣淨零轉型ESG50ETF基金</c:v>
                </c:pt>
                <c:pt idx="8">
                  <c:v>ETF00904
台新臺灣全市場半導體精選30ETF基金</c:v>
                </c:pt>
                <c:pt idx="9">
                  <c:v>ETF009803
玉山臺灣市值動能50ETF基金</c:v>
                </c:pt>
              </c:strCache>
            </c:strRef>
          </c:cat>
          <c:val>
            <c:numRef>
              <c:f>股票資訊!$D$29:$D$68</c:f>
              <c:numCache>
                <c:formatCode>0.00%</c:formatCode>
                <c:ptCount val="40"/>
                <c:pt idx="0">
                  <c:v>0.6341</c:v>
                </c:pt>
                <c:pt idx="1">
                  <c:v>0.57389999999999997</c:v>
                </c:pt>
                <c:pt idx="2">
                  <c:v>0.57369999999999999</c:v>
                </c:pt>
                <c:pt idx="3">
                  <c:v>0.56240000000000001</c:v>
                </c:pt>
                <c:pt idx="4">
                  <c:v>0.54890000000000005</c:v>
                </c:pt>
                <c:pt idx="5">
                  <c:v>0.54849999999999999</c:v>
                </c:pt>
                <c:pt idx="6">
                  <c:v>0.49740000000000001</c:v>
                </c:pt>
                <c:pt idx="7">
                  <c:v>0.42759999999999998</c:v>
                </c:pt>
                <c:pt idx="8">
                  <c:v>0.41560000000000002</c:v>
                </c:pt>
                <c:pt idx="9">
                  <c:v>0.41139999999999999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C03-4AF6-9896-1D3598BD4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906033"/>
        <c:axId val="690786581"/>
      </c:barChart>
      <c:catAx>
        <c:axId val="7379060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690786581"/>
        <c:crosses val="autoZero"/>
        <c:auto val="1"/>
        <c:lblAlgn val="ctr"/>
        <c:lblOffset val="100"/>
        <c:noMultiLvlLbl val="1"/>
      </c:catAx>
      <c:valAx>
        <c:axId val="6907865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37906033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投信近月持股比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趨勢線</c:name>
            <c:spPr>
              <a:ln w="19050">
                <a:solidFill>
                  <a:srgbClr val="4285F4"/>
                </a:solidFill>
              </a:ln>
            </c:spPr>
            <c:trendlineType val="exp"/>
            <c:dispRSqr val="0"/>
            <c:dispEq val="0"/>
          </c:trendline>
          <c:cat>
            <c:numRef>
              <c:f>籌碼!$G$8:$G$37</c:f>
              <c:numCache>
                <c:formatCode>yyyy/mm/dd</c:formatCode>
                <c:ptCount val="30"/>
                <c:pt idx="0">
                  <c:v>46248</c:v>
                </c:pt>
                <c:pt idx="1">
                  <c:v>46247</c:v>
                </c:pt>
                <c:pt idx="2">
                  <c:v>46246</c:v>
                </c:pt>
                <c:pt idx="3">
                  <c:v>46245</c:v>
                </c:pt>
                <c:pt idx="4">
                  <c:v>46244</c:v>
                </c:pt>
                <c:pt idx="5">
                  <c:v>46241</c:v>
                </c:pt>
                <c:pt idx="6">
                  <c:v>46240</c:v>
                </c:pt>
                <c:pt idx="7">
                  <c:v>46239</c:v>
                </c:pt>
                <c:pt idx="8">
                  <c:v>46238</c:v>
                </c:pt>
                <c:pt idx="9">
                  <c:v>46237</c:v>
                </c:pt>
                <c:pt idx="10">
                  <c:v>46234</c:v>
                </c:pt>
                <c:pt idx="11">
                  <c:v>46233</c:v>
                </c:pt>
                <c:pt idx="12">
                  <c:v>46232</c:v>
                </c:pt>
                <c:pt idx="13">
                  <c:v>46231</c:v>
                </c:pt>
                <c:pt idx="14">
                  <c:v>46230</c:v>
                </c:pt>
                <c:pt idx="15">
                  <c:v>46227</c:v>
                </c:pt>
                <c:pt idx="16">
                  <c:v>46226</c:v>
                </c:pt>
                <c:pt idx="17">
                  <c:v>46225</c:v>
                </c:pt>
                <c:pt idx="18">
                  <c:v>46224</c:v>
                </c:pt>
                <c:pt idx="19">
                  <c:v>46223</c:v>
                </c:pt>
                <c:pt idx="20">
                  <c:v>46220</c:v>
                </c:pt>
                <c:pt idx="21">
                  <c:v>46219</c:v>
                </c:pt>
                <c:pt idx="22">
                  <c:v>46218</c:v>
                </c:pt>
                <c:pt idx="23">
                  <c:v>46217</c:v>
                </c:pt>
                <c:pt idx="24">
                  <c:v>46216</c:v>
                </c:pt>
                <c:pt idx="25">
                  <c:v>46212</c:v>
                </c:pt>
                <c:pt idx="26">
                  <c:v>46211</c:v>
                </c:pt>
                <c:pt idx="27">
                  <c:v>46210</c:v>
                </c:pt>
                <c:pt idx="28">
                  <c:v>46209</c:v>
                </c:pt>
                <c:pt idx="29">
                  <c:v>46206</c:v>
                </c:pt>
              </c:numCache>
            </c:numRef>
          </c:cat>
          <c:val>
            <c:numRef>
              <c:f>籌碼!$R$8:$R$37</c:f>
              <c:numCache>
                <c:formatCode>0.00%</c:formatCode>
                <c:ptCount val="30"/>
                <c:pt idx="0">
                  <c:v>3.6636761676497973E-2</c:v>
                </c:pt>
                <c:pt idx="1">
                  <c:v>3.6652635912803967E-2</c:v>
                </c:pt>
                <c:pt idx="2">
                  <c:v>3.6627629384072151E-2</c:v>
                </c:pt>
                <c:pt idx="3">
                  <c:v>3.6605552619310859E-2</c:v>
                </c:pt>
                <c:pt idx="4">
                  <c:v>3.6587274470380259E-2</c:v>
                </c:pt>
                <c:pt idx="5">
                  <c:v>3.6582064441837425E-2</c:v>
                </c:pt>
                <c:pt idx="6">
                  <c:v>3.6581430133514094E-2</c:v>
                </c:pt>
                <c:pt idx="7">
                  <c:v>3.658337894647036E-2</c:v>
                </c:pt>
                <c:pt idx="8">
                  <c:v>3.662971194987736E-2</c:v>
                </c:pt>
                <c:pt idx="9">
                  <c:v>3.6614788468848955E-2</c:v>
                </c:pt>
                <c:pt idx="10">
                  <c:v>3.6597098944065799E-2</c:v>
                </c:pt>
                <c:pt idx="11">
                  <c:v>3.6325215794287241E-2</c:v>
                </c:pt>
                <c:pt idx="12">
                  <c:v>3.6290828788549119E-2</c:v>
                </c:pt>
                <c:pt idx="13">
                  <c:v>3.6224451629713661E-2</c:v>
                </c:pt>
                <c:pt idx="14">
                  <c:v>3.6215275299414929E-2</c:v>
                </c:pt>
                <c:pt idx="15">
                  <c:v>3.6194444166457153E-2</c:v>
                </c:pt>
                <c:pt idx="16">
                  <c:v>3.6173503852683885E-2</c:v>
                </c:pt>
                <c:pt idx="17">
                  <c:v>3.6206542736130547E-2</c:v>
                </c:pt>
                <c:pt idx="18">
                  <c:v>3.6147953982431771E-2</c:v>
                </c:pt>
                <c:pt idx="19">
                  <c:v>3.6109684672922679E-2</c:v>
                </c:pt>
                <c:pt idx="20">
                  <c:v>3.3723485340170105E-2</c:v>
                </c:pt>
                <c:pt idx="21">
                  <c:v>3.3667212806544562E-2</c:v>
                </c:pt>
                <c:pt idx="22">
                  <c:v>3.364381672257883E-2</c:v>
                </c:pt>
                <c:pt idx="23">
                  <c:v>3.3669683410072038E-2</c:v>
                </c:pt>
                <c:pt idx="24">
                  <c:v>3.3596274037802146E-2</c:v>
                </c:pt>
                <c:pt idx="25">
                  <c:v>3.3574849306069909E-2</c:v>
                </c:pt>
                <c:pt idx="26">
                  <c:v>3.357340277514017E-2</c:v>
                </c:pt>
                <c:pt idx="27">
                  <c:v>3.354681013331999E-2</c:v>
                </c:pt>
                <c:pt idx="28">
                  <c:v>3.3525026465098147E-2</c:v>
                </c:pt>
                <c:pt idx="29">
                  <c:v>3.3512276365459795E-2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3-4E38-BE81-376624D07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25233"/>
        <c:axId val="1127289398"/>
      </c:lineChart>
      <c:dateAx>
        <c:axId val="598725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/mm/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127289398"/>
        <c:crosses val="autoZero"/>
        <c:auto val="1"/>
        <c:lblOffset val="100"/>
        <c:baseTimeUnit val="days"/>
      </c:dateAx>
      <c:valAx>
        <c:axId val="1127289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598725233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v>高本益比</c:v>
          </c:tx>
          <c:spPr>
            <a:solidFill>
              <a:srgbClr val="CC0000">
                <a:alpha val="30000"/>
              </a:srgbClr>
            </a:solidFill>
            <a:ln cmpd="sng">
              <a:solidFill>
                <a:srgbClr val="CC0000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'每股盈餘(EPS)'!$B$46:$B$50</c:f>
              <c:numCache>
                <c:formatCode>#,##0</c:formatCode>
                <c:ptCount val="5"/>
                <c:pt idx="0">
                  <c:v>4003.4105068069207</c:v>
                </c:pt>
                <c:pt idx="1">
                  <c:v>3520.7292740766779</c:v>
                </c:pt>
                <c:pt idx="2">
                  <c:v>3035.547643701484</c:v>
                </c:pt>
                <c:pt idx="3">
                  <c:v>2703.7960326880007</c:v>
                </c:pt>
                <c:pt idx="4">
                  <c:v>2497.3184002491039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1-43B4-A8BB-8569DE0820DE}"/>
            </c:ext>
          </c:extLst>
        </c:ser>
        <c:ser>
          <c:idx val="1"/>
          <c:order val="1"/>
          <c:spPr>
            <a:solidFill>
              <a:srgbClr val="E69138">
                <a:alpha val="30000"/>
              </a:srgbClr>
            </a:solidFill>
            <a:ln cmpd="sng">
              <a:solidFill>
                <a:srgbClr val="E69138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'每股盈餘(EPS)'!$C$46:$C$50</c:f>
              <c:numCache>
                <c:formatCode>#,##0</c:formatCode>
                <c:ptCount val="5"/>
                <c:pt idx="0">
                  <c:v>3424.6190152215809</c:v>
                </c:pt>
                <c:pt idx="1">
                  <c:v>3011.721230922913</c:v>
                </c:pt>
                <c:pt idx="2">
                  <c:v>2596.6845429804766</c:v>
                </c:pt>
                <c:pt idx="3">
                  <c:v>2312.8957899971283</c:v>
                </c:pt>
                <c:pt idx="4">
                  <c:v>2136.2695796532489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1-43B4-A8BB-8569DE0820DE}"/>
            </c:ext>
          </c:extLst>
        </c:ser>
        <c:ser>
          <c:idx val="2"/>
          <c:order val="2"/>
          <c:spPr>
            <a:solidFill>
              <a:srgbClr val="F1C232">
                <a:alpha val="30000"/>
              </a:srgbClr>
            </a:solidFill>
            <a:ln cmpd="sng">
              <a:solidFill>
                <a:srgbClr val="F1C232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'每股盈餘(EPS)'!$D$46:$D$50</c:f>
              <c:numCache>
                <c:formatCode>#,##0</c:formatCode>
                <c:ptCount val="5"/>
                <c:pt idx="0">
                  <c:v>2845.827523636241</c:v>
                </c:pt>
                <c:pt idx="1">
                  <c:v>2502.7131877691486</c:v>
                </c:pt>
                <c:pt idx="2">
                  <c:v>2157.8214422594688</c:v>
                </c:pt>
                <c:pt idx="3">
                  <c:v>1921.9955473062564</c:v>
                </c:pt>
                <c:pt idx="4">
                  <c:v>1775.2207590573935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1-43B4-A8BB-8569DE0820DE}"/>
            </c:ext>
          </c:extLst>
        </c:ser>
        <c:ser>
          <c:idx val="3"/>
          <c:order val="3"/>
          <c:tx>
            <c:v>中位數本益比</c:v>
          </c:tx>
          <c:spPr>
            <a:solidFill>
              <a:srgbClr val="6AA84F">
                <a:alpha val="30000"/>
              </a:srgbClr>
            </a:solidFill>
            <a:ln w="38100" cmpd="sng">
              <a:solidFill>
                <a:srgbClr val="6AA84F">
                  <a:alpha val="100000"/>
                </a:srgbClr>
              </a:solidFill>
              <a:prstDash val="dash"/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'每股盈餘(EPS)'!$E$46:$E$50</c:f>
              <c:numCache>
                <c:formatCode>#,##0</c:formatCode>
                <c:ptCount val="5"/>
                <c:pt idx="0">
                  <c:v>2267.0360320509012</c:v>
                </c:pt>
                <c:pt idx="1">
                  <c:v>1993.7051446153846</c:v>
                </c:pt>
                <c:pt idx="2">
                  <c:v>1718.9583415384614</c:v>
                </c:pt>
                <c:pt idx="3">
                  <c:v>1531.0953046153847</c:v>
                </c:pt>
                <c:pt idx="4">
                  <c:v>1414.1719384615385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51-43B4-A8BB-8569DE0820DE}"/>
            </c:ext>
          </c:extLst>
        </c:ser>
        <c:ser>
          <c:idx val="4"/>
          <c:order val="4"/>
          <c:spPr>
            <a:solidFill>
              <a:srgbClr val="3D85C6">
                <a:alpha val="30000"/>
              </a:srgbClr>
            </a:solidFill>
            <a:ln cmpd="sng">
              <a:solidFill>
                <a:srgbClr val="3D85C6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'每股盈餘(EPS)'!$F$46:$F$50</c:f>
              <c:numCache>
                <c:formatCode>#,##0</c:formatCode>
                <c:ptCount val="5"/>
                <c:pt idx="0">
                  <c:v>1688.2445404655618</c:v>
                </c:pt>
                <c:pt idx="1">
                  <c:v>1484.6971014616204</c:v>
                </c:pt>
                <c:pt idx="2">
                  <c:v>1280.0952408174539</c:v>
                </c:pt>
                <c:pt idx="3">
                  <c:v>1140.1950619245129</c:v>
                </c:pt>
                <c:pt idx="4">
                  <c:v>1053.1231178656835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51-43B4-A8BB-8569DE0820DE}"/>
            </c:ext>
          </c:extLst>
        </c:ser>
        <c:ser>
          <c:idx val="5"/>
          <c:order val="5"/>
          <c:spPr>
            <a:solidFill>
              <a:srgbClr val="1155CC">
                <a:alpha val="30000"/>
              </a:srgbClr>
            </a:solidFill>
            <a:ln cmpd="sng">
              <a:solidFill>
                <a:srgbClr val="1155CC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'每股盈餘(EPS)'!$G$46:$G$50</c:f>
              <c:numCache>
                <c:formatCode>#,##0</c:formatCode>
                <c:ptCount val="5"/>
                <c:pt idx="0">
                  <c:v>1109.453048880222</c:v>
                </c:pt>
                <c:pt idx="1">
                  <c:v>975.68905830785593</c:v>
                </c:pt>
                <c:pt idx="2">
                  <c:v>841.23214009644653</c:v>
                </c:pt>
                <c:pt idx="3">
                  <c:v>749.29481923364096</c:v>
                </c:pt>
                <c:pt idx="4">
                  <c:v>692.07429726982832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51-43B4-A8BB-8569DE0820DE}"/>
            </c:ext>
          </c:extLst>
        </c:ser>
        <c:ser>
          <c:idx val="6"/>
          <c:order val="6"/>
          <c:tx>
            <c:v>低本益比</c:v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115.2Q</c:v>
                </c:pt>
                <c:pt idx="2">
                  <c:v>115.1Q</c:v>
                </c:pt>
                <c:pt idx="3">
                  <c:v>114.4Q</c:v>
                </c:pt>
                <c:pt idx="4">
                  <c:v>114.3Q</c:v>
                </c:pt>
              </c:strCache>
            </c:strRef>
          </c:cat>
          <c:val>
            <c:numRef>
              <c:f>'每股盈餘(EPS)'!$H$46:$H$50</c:f>
              <c:numCache>
                <c:formatCode>#,##0</c:formatCode>
                <c:ptCount val="5"/>
                <c:pt idx="0">
                  <c:v>530.6615572948823</c:v>
                </c:pt>
                <c:pt idx="1">
                  <c:v>466.6810151540916</c:v>
                </c:pt>
                <c:pt idx="2">
                  <c:v>402.36903937543894</c:v>
                </c:pt>
                <c:pt idx="3">
                  <c:v>358.39457654276902</c:v>
                </c:pt>
                <c:pt idx="4">
                  <c:v>331.02547667397317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51-43B4-A8BB-8569DE082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985681"/>
        <c:axId val="1239946356"/>
      </c:areaChart>
      <c:catAx>
        <c:axId val="630985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39946356"/>
        <c:crosses val="autoZero"/>
        <c:auto val="1"/>
        <c:lblAlgn val="ctr"/>
        <c:lblOffset val="100"/>
        <c:noMultiLvlLbl val="1"/>
      </c:catAx>
      <c:valAx>
        <c:axId val="1239946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630985681"/>
        <c:crosses val="autoZero"/>
        <c:crossBetween val="midCat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董監持股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4285F4"/>
                </a:solidFill>
              </a:ln>
            </c:spPr>
            <c:trendlineType val="exp"/>
            <c:dispRSqr val="0"/>
            <c:dispEq val="0"/>
          </c:trendline>
          <c:cat>
            <c:numRef>
              <c:f>籌碼!$A$2:$A$37</c:f>
              <c:numCache>
                <c:formatCode>yyyy/mm/dd</c:formatCode>
                <c:ptCount val="36"/>
                <c:pt idx="0">
                  <c:v>46248</c:v>
                </c:pt>
                <c:pt idx="1">
                  <c:v>46241</c:v>
                </c:pt>
                <c:pt idx="2">
                  <c:v>46234</c:v>
                </c:pt>
                <c:pt idx="3">
                  <c:v>46227</c:v>
                </c:pt>
                <c:pt idx="4">
                  <c:v>46220</c:v>
                </c:pt>
                <c:pt idx="5">
                  <c:v>46212</c:v>
                </c:pt>
                <c:pt idx="6">
                  <c:v>46206</c:v>
                </c:pt>
                <c:pt idx="7">
                  <c:v>46199</c:v>
                </c:pt>
                <c:pt idx="8">
                  <c:v>46191</c:v>
                </c:pt>
                <c:pt idx="9">
                  <c:v>46185</c:v>
                </c:pt>
                <c:pt idx="10">
                  <c:v>46178</c:v>
                </c:pt>
                <c:pt idx="11">
                  <c:v>46171</c:v>
                </c:pt>
                <c:pt idx="12">
                  <c:v>46164</c:v>
                </c:pt>
                <c:pt idx="13">
                  <c:v>46157</c:v>
                </c:pt>
                <c:pt idx="14">
                  <c:v>46150</c:v>
                </c:pt>
                <c:pt idx="15">
                  <c:v>46142</c:v>
                </c:pt>
                <c:pt idx="16">
                  <c:v>46136</c:v>
                </c:pt>
                <c:pt idx="17">
                  <c:v>46129</c:v>
                </c:pt>
                <c:pt idx="18">
                  <c:v>46122</c:v>
                </c:pt>
                <c:pt idx="19">
                  <c:v>46114</c:v>
                </c:pt>
                <c:pt idx="20">
                  <c:v>46108</c:v>
                </c:pt>
                <c:pt idx="21">
                  <c:v>46101</c:v>
                </c:pt>
                <c:pt idx="22">
                  <c:v>46094</c:v>
                </c:pt>
                <c:pt idx="23">
                  <c:v>46087</c:v>
                </c:pt>
                <c:pt idx="24">
                  <c:v>46079</c:v>
                </c:pt>
                <c:pt idx="25">
                  <c:v>46066</c:v>
                </c:pt>
                <c:pt idx="26">
                  <c:v>46059</c:v>
                </c:pt>
                <c:pt idx="27">
                  <c:v>46052</c:v>
                </c:pt>
                <c:pt idx="28">
                  <c:v>46045</c:v>
                </c:pt>
                <c:pt idx="29">
                  <c:v>46038</c:v>
                </c:pt>
                <c:pt idx="30">
                  <c:v>46031</c:v>
                </c:pt>
                <c:pt idx="31">
                  <c:v>46024</c:v>
                </c:pt>
                <c:pt idx="32" formatCode="m/d/yyyy">
                  <c:v>46017</c:v>
                </c:pt>
                <c:pt idx="33" formatCode="m/d/yyyy">
                  <c:v>46010</c:v>
                </c:pt>
                <c:pt idx="34" formatCode="m/d/yyyy">
                  <c:v>46003</c:v>
                </c:pt>
                <c:pt idx="35">
                  <c:v>45996</c:v>
                </c:pt>
              </c:numCache>
            </c:numRef>
          </c:cat>
          <c:val>
            <c:numRef>
              <c:f>籌碼!$E$2:$E$37</c:f>
              <c:numCache>
                <c:formatCode>0.0%</c:formatCode>
                <c:ptCount val="36"/>
                <c:pt idx="0">
                  <c:v>6.5199999999999994E-2</c:v>
                </c:pt>
                <c:pt idx="1">
                  <c:v>6.5199999999999994E-2</c:v>
                </c:pt>
                <c:pt idx="2">
                  <c:v>6.5199999999999994E-2</c:v>
                </c:pt>
                <c:pt idx="3">
                  <c:v>6.5199999999999994E-2</c:v>
                </c:pt>
                <c:pt idx="4">
                  <c:v>6.5199999999999994E-2</c:v>
                </c:pt>
                <c:pt idx="5">
                  <c:v>6.5199999999999994E-2</c:v>
                </c:pt>
                <c:pt idx="6">
                  <c:v>6.5199999999999994E-2</c:v>
                </c:pt>
                <c:pt idx="7">
                  <c:v>6.5199999999999994E-2</c:v>
                </c:pt>
                <c:pt idx="8">
                  <c:v>6.5199999999999994E-2</c:v>
                </c:pt>
                <c:pt idx="9">
                  <c:v>6.5199999999999994E-2</c:v>
                </c:pt>
                <c:pt idx="10">
                  <c:v>6.5199999999999994E-2</c:v>
                </c:pt>
                <c:pt idx="11">
                  <c:v>6.5199999999999994E-2</c:v>
                </c:pt>
                <c:pt idx="12">
                  <c:v>6.5199999999999994E-2</c:v>
                </c:pt>
                <c:pt idx="13">
                  <c:v>6.5199999999999994E-2</c:v>
                </c:pt>
                <c:pt idx="14">
                  <c:v>6.5199999999999994E-2</c:v>
                </c:pt>
                <c:pt idx="15">
                  <c:v>6.5199999999999994E-2</c:v>
                </c:pt>
                <c:pt idx="16">
                  <c:v>6.5199999999999994E-2</c:v>
                </c:pt>
                <c:pt idx="17">
                  <c:v>6.5199999999999994E-2</c:v>
                </c:pt>
                <c:pt idx="18">
                  <c:v>6.5199999999999994E-2</c:v>
                </c:pt>
                <c:pt idx="19">
                  <c:v>6.5199999999999994E-2</c:v>
                </c:pt>
                <c:pt idx="20">
                  <c:v>6.5199999999999994E-2</c:v>
                </c:pt>
                <c:pt idx="21">
                  <c:v>6.5199999999999994E-2</c:v>
                </c:pt>
                <c:pt idx="22">
                  <c:v>6.5199999999999994E-2</c:v>
                </c:pt>
                <c:pt idx="23">
                  <c:v>6.5199999999999994E-2</c:v>
                </c:pt>
                <c:pt idx="24">
                  <c:v>6.5199999999999994E-2</c:v>
                </c:pt>
                <c:pt idx="25">
                  <c:v>6.5199999999999994E-2</c:v>
                </c:pt>
                <c:pt idx="26">
                  <c:v>6.5199999999999994E-2</c:v>
                </c:pt>
                <c:pt idx="27">
                  <c:v>6.5199999999999994E-2</c:v>
                </c:pt>
                <c:pt idx="28">
                  <c:v>6.5199999999999994E-2</c:v>
                </c:pt>
                <c:pt idx="29">
                  <c:v>6.5199999999999994E-2</c:v>
                </c:pt>
                <c:pt idx="30">
                  <c:v>6.5199999999999994E-2</c:v>
                </c:pt>
                <c:pt idx="31">
                  <c:v>6.5199999999999994E-2</c:v>
                </c:pt>
                <c:pt idx="32">
                  <c:v>6.5199999999999994E-2</c:v>
                </c:pt>
                <c:pt idx="33">
                  <c:v>6.5199999999999994E-2</c:v>
                </c:pt>
                <c:pt idx="34">
                  <c:v>6.5199999999999994E-2</c:v>
                </c:pt>
                <c:pt idx="35">
                  <c:v>6.5199999999999994E-2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B1-43BF-AD73-2C136EB6B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21371"/>
        <c:axId val="1326029181"/>
      </c:lineChart>
      <c:dateAx>
        <c:axId val="177421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/mm/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326029181"/>
        <c:crosses val="autoZero"/>
        <c:auto val="1"/>
        <c:lblOffset val="100"/>
        <c:baseTimeUnit val="days"/>
      </c:dateAx>
      <c:valAx>
        <c:axId val="1326029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77421371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'股息&amp;現金流'!$A$2</c:f>
              <c:strCache>
                <c:ptCount val="1"/>
                <c:pt idx="0">
                  <c:v>現金股利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'股息&amp;現金流'!$B$1:$G$1</c:f>
              <c:strCach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2027預估</c:v>
                </c:pt>
              </c:strCache>
            </c:strRef>
          </c:cat>
          <c:val>
            <c:numRef>
              <c:f>'股息&amp;現金流'!$B$2:$G$2</c:f>
              <c:numCache>
                <c:formatCode>0.00</c:formatCode>
                <c:ptCount val="6"/>
                <c:pt idx="0">
                  <c:v>10.974</c:v>
                </c:pt>
                <c:pt idx="1">
                  <c:v>12.998699999999999</c:v>
                </c:pt>
                <c:pt idx="2">
                  <c:v>17.04</c:v>
                </c:pt>
                <c:pt idx="3">
                  <c:v>22.099</c:v>
                </c:pt>
                <c:pt idx="4">
                  <c:v>0</c:v>
                </c:pt>
                <c:pt idx="5">
                  <c:v>34.117308958488508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73-4C56-A205-06F1FD302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6877837"/>
        <c:axId val="992932615"/>
      </c:barChart>
      <c:lineChart>
        <c:grouping val="standard"/>
        <c:varyColors val="0"/>
        <c:ser>
          <c:idx val="1"/>
          <c:order val="1"/>
          <c:tx>
            <c:strRef>
              <c:f>'股息&amp;現金流'!$A$4</c:f>
              <c:strCache>
                <c:ptCount val="1"/>
                <c:pt idx="0">
                  <c:v>現金殖利率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'股息&amp;現金流'!$B$1:$G$1</c:f>
              <c:strCach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2027預估</c:v>
                </c:pt>
              </c:strCache>
            </c:strRef>
          </c:cat>
          <c:val>
            <c:numRef>
              <c:f>'股息&amp;現金流'!$B$4:$G$4</c:f>
              <c:numCache>
                <c:formatCode>0.00%</c:formatCode>
                <c:ptCount val="6"/>
                <c:pt idx="0">
                  <c:v>1.8600000000000002E-2</c:v>
                </c:pt>
                <c:pt idx="1">
                  <c:v>1.43E-2</c:v>
                </c:pt>
                <c:pt idx="2">
                  <c:v>1.6E-2</c:v>
                </c:pt>
                <c:pt idx="3">
                  <c:v>9.7999999999999997E-3</c:v>
                </c:pt>
                <c:pt idx="4">
                  <c:v>0</c:v>
                </c:pt>
                <c:pt idx="5">
                  <c:v>1.424522294717683E-2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73-4C56-A205-06F1FD302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438156"/>
        <c:axId val="701702356"/>
      </c:lineChart>
      <c:catAx>
        <c:axId val="706877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992932615"/>
        <c:crosses val="autoZero"/>
        <c:auto val="1"/>
        <c:lblAlgn val="ctr"/>
        <c:lblOffset val="100"/>
        <c:noMultiLvlLbl val="1"/>
      </c:catAx>
      <c:valAx>
        <c:axId val="992932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06877837"/>
        <c:crosses val="autoZero"/>
        <c:crossBetween val="between"/>
      </c:valAx>
      <c:catAx>
        <c:axId val="13224381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702356"/>
        <c:crosses val="autoZero"/>
        <c:auto val="1"/>
        <c:lblAlgn val="ctr"/>
        <c:lblOffset val="100"/>
        <c:noMultiLvlLbl val="1"/>
      </c:catAx>
      <c:valAx>
        <c:axId val="70170235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32243815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存貨週轉率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營業費用!$B$103:$B$123</c:f>
              <c:numCache>
                <c:formatCode>0.00</c:formatCode>
                <c:ptCount val="21"/>
                <c:pt idx="0">
                  <c:v>1.2769580022701474</c:v>
                </c:pt>
                <c:pt idx="1">
                  <c:v>1.3665350744002429</c:v>
                </c:pt>
                <c:pt idx="2">
                  <c:v>1.3539942831352489</c:v>
                </c:pt>
                <c:pt idx="3">
                  <c:v>1.2932892656990946</c:v>
                </c:pt>
                <c:pt idx="4">
                  <c:v>1.1900039666798889</c:v>
                </c:pt>
                <c:pt idx="5">
                  <c:v>1.2263251124131354</c:v>
                </c:pt>
                <c:pt idx="6">
                  <c:v>1.1332158146562579</c:v>
                </c:pt>
                <c:pt idx="7">
                  <c:v>1.1689829848032214</c:v>
                </c:pt>
                <c:pt idx="8">
                  <c:v>1.0736013360372183</c:v>
                </c:pt>
                <c:pt idx="9">
                  <c:v>1.1450381679389314</c:v>
                </c:pt>
                <c:pt idx="10">
                  <c:v>1.007613076578594</c:v>
                </c:pt>
                <c:pt idx="11">
                  <c:v>0.97975179621162645</c:v>
                </c:pt>
                <c:pt idx="12">
                  <c:v>1.01614542170035</c:v>
                </c:pt>
                <c:pt idx="13">
                  <c:v>1.0755258126195029</c:v>
                </c:pt>
                <c:pt idx="14">
                  <c:v>1.1135857461024501</c:v>
                </c:pt>
                <c:pt idx="15">
                  <c:v>1.0473641335971138</c:v>
                </c:pt>
                <c:pt idx="16">
                  <c:v>1.1081014528441271</c:v>
                </c:pt>
                <c:pt idx="17">
                  <c:v>1.1057869517139698</c:v>
                </c:pt>
                <c:pt idx="18">
                  <c:v>1.1444557477110886</c:v>
                </c:pt>
                <c:pt idx="19">
                  <c:v>1.1440193212152028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9-4450-9863-25B9639D9A87}"/>
            </c:ext>
          </c:extLst>
        </c:ser>
        <c:ser>
          <c:idx val="1"/>
          <c:order val="1"/>
          <c:tx>
            <c:v>-3倍標準差</c:v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營業費用!$C$103:$C$123</c:f>
              <c:numCache>
                <c:formatCode>0.00</c:formatCode>
                <c:ptCount val="21"/>
                <c:pt idx="0">
                  <c:v>0.82862740380305389</c:v>
                </c:pt>
                <c:pt idx="1">
                  <c:v>0.82862740380305389</c:v>
                </c:pt>
                <c:pt idx="2">
                  <c:v>0.82862740380305389</c:v>
                </c:pt>
                <c:pt idx="3">
                  <c:v>0.82862740380305389</c:v>
                </c:pt>
                <c:pt idx="4">
                  <c:v>0.82862740380305389</c:v>
                </c:pt>
                <c:pt idx="5">
                  <c:v>0.82862740380305389</c:v>
                </c:pt>
                <c:pt idx="6">
                  <c:v>0.82862740380305389</c:v>
                </c:pt>
                <c:pt idx="7">
                  <c:v>0.82862740380305389</c:v>
                </c:pt>
                <c:pt idx="8">
                  <c:v>0.82862740380305389</c:v>
                </c:pt>
                <c:pt idx="9">
                  <c:v>0.82862740380305389</c:v>
                </c:pt>
                <c:pt idx="10">
                  <c:v>0.82862740380305389</c:v>
                </c:pt>
                <c:pt idx="11">
                  <c:v>0.82862740380305389</c:v>
                </c:pt>
                <c:pt idx="12">
                  <c:v>0.82862740380305389</c:v>
                </c:pt>
                <c:pt idx="13">
                  <c:v>0.82862740380305389</c:v>
                </c:pt>
                <c:pt idx="14">
                  <c:v>0.82862740380305389</c:v>
                </c:pt>
                <c:pt idx="15">
                  <c:v>0.82862740380305389</c:v>
                </c:pt>
                <c:pt idx="16">
                  <c:v>0.82862740380305389</c:v>
                </c:pt>
                <c:pt idx="17">
                  <c:v>0.82862740380305389</c:v>
                </c:pt>
                <c:pt idx="18">
                  <c:v>0.82862740380305389</c:v>
                </c:pt>
                <c:pt idx="19">
                  <c:v>0.82862740380305389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9-4450-9863-25B9639D9A87}"/>
            </c:ext>
          </c:extLst>
        </c:ser>
        <c:ser>
          <c:idx val="2"/>
          <c:order val="2"/>
          <c:tx>
            <c:v>-2倍標準差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營業費用!$D$103:$D$123</c:f>
              <c:numCache>
                <c:formatCode>0.00</c:formatCode>
                <c:ptCount val="21"/>
                <c:pt idx="0">
                  <c:v>0.93525649367415953</c:v>
                </c:pt>
                <c:pt idx="1">
                  <c:v>0.93525649367415953</c:v>
                </c:pt>
                <c:pt idx="2">
                  <c:v>0.93525649367415953</c:v>
                </c:pt>
                <c:pt idx="3">
                  <c:v>0.93525649367415953</c:v>
                </c:pt>
                <c:pt idx="4">
                  <c:v>0.93525649367415953</c:v>
                </c:pt>
                <c:pt idx="5">
                  <c:v>0.93525649367415953</c:v>
                </c:pt>
                <c:pt idx="6">
                  <c:v>0.93525649367415953</c:v>
                </c:pt>
                <c:pt idx="7">
                  <c:v>0.93525649367415953</c:v>
                </c:pt>
                <c:pt idx="8">
                  <c:v>0.93525649367415953</c:v>
                </c:pt>
                <c:pt idx="9">
                  <c:v>0.93525649367415953</c:v>
                </c:pt>
                <c:pt idx="10">
                  <c:v>0.93525649367415953</c:v>
                </c:pt>
                <c:pt idx="11">
                  <c:v>0.93525649367415953</c:v>
                </c:pt>
                <c:pt idx="12">
                  <c:v>0.93525649367415953</c:v>
                </c:pt>
                <c:pt idx="13">
                  <c:v>0.93525649367415953</c:v>
                </c:pt>
                <c:pt idx="14">
                  <c:v>0.93525649367415953</c:v>
                </c:pt>
                <c:pt idx="15">
                  <c:v>0.93525649367415953</c:v>
                </c:pt>
                <c:pt idx="16">
                  <c:v>0.93525649367415953</c:v>
                </c:pt>
                <c:pt idx="17">
                  <c:v>0.93525649367415953</c:v>
                </c:pt>
                <c:pt idx="18">
                  <c:v>0.93525649367415953</c:v>
                </c:pt>
                <c:pt idx="19">
                  <c:v>0.93525649367415953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19-4450-9863-25B9639D9A87}"/>
            </c:ext>
          </c:extLst>
        </c:ser>
        <c:ser>
          <c:idx val="3"/>
          <c:order val="3"/>
          <c:tx>
            <c:v>-1倍標準差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營業費用!$E$103:$E$123</c:f>
              <c:numCache>
                <c:formatCode>0.00</c:formatCode>
                <c:ptCount val="21"/>
                <c:pt idx="0">
                  <c:v>1.0418855835452652</c:v>
                </c:pt>
                <c:pt idx="1">
                  <c:v>1.0418855835452652</c:v>
                </c:pt>
                <c:pt idx="2">
                  <c:v>1.0418855835452652</c:v>
                </c:pt>
                <c:pt idx="3">
                  <c:v>1.0418855835452652</c:v>
                </c:pt>
                <c:pt idx="4">
                  <c:v>1.0418855835452652</c:v>
                </c:pt>
                <c:pt idx="5">
                  <c:v>1.0418855835452652</c:v>
                </c:pt>
                <c:pt idx="6">
                  <c:v>1.0418855835452652</c:v>
                </c:pt>
                <c:pt idx="7">
                  <c:v>1.0418855835452652</c:v>
                </c:pt>
                <c:pt idx="8">
                  <c:v>1.0418855835452652</c:v>
                </c:pt>
                <c:pt idx="9">
                  <c:v>1.0418855835452652</c:v>
                </c:pt>
                <c:pt idx="10">
                  <c:v>1.0418855835452652</c:v>
                </c:pt>
                <c:pt idx="11">
                  <c:v>1.0418855835452652</c:v>
                </c:pt>
                <c:pt idx="12">
                  <c:v>1.0418855835452652</c:v>
                </c:pt>
                <c:pt idx="13">
                  <c:v>1.0418855835452652</c:v>
                </c:pt>
                <c:pt idx="14">
                  <c:v>1.0418855835452652</c:v>
                </c:pt>
                <c:pt idx="15">
                  <c:v>1.0418855835452652</c:v>
                </c:pt>
                <c:pt idx="16">
                  <c:v>1.0418855835452652</c:v>
                </c:pt>
                <c:pt idx="17">
                  <c:v>1.0418855835452652</c:v>
                </c:pt>
                <c:pt idx="18">
                  <c:v>1.0418855835452652</c:v>
                </c:pt>
                <c:pt idx="19">
                  <c:v>1.0418855835452652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19-4450-9863-25B9639D9A87}"/>
            </c:ext>
          </c:extLst>
        </c:ser>
        <c:ser>
          <c:idx val="4"/>
          <c:order val="4"/>
          <c:tx>
            <c:v>5年標準差</c:v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營業費用!$F$103:$F$123</c:f>
              <c:numCache>
                <c:formatCode>0.00</c:formatCode>
                <c:ptCount val="21"/>
                <c:pt idx="0">
                  <c:v>1.1485146734163707</c:v>
                </c:pt>
                <c:pt idx="1">
                  <c:v>1.1485146734163707</c:v>
                </c:pt>
                <c:pt idx="2">
                  <c:v>1.1485146734163707</c:v>
                </c:pt>
                <c:pt idx="3">
                  <c:v>1.1485146734163707</c:v>
                </c:pt>
                <c:pt idx="4">
                  <c:v>1.1485146734163707</c:v>
                </c:pt>
                <c:pt idx="5">
                  <c:v>1.1485146734163707</c:v>
                </c:pt>
                <c:pt idx="6">
                  <c:v>1.1485146734163707</c:v>
                </c:pt>
                <c:pt idx="7">
                  <c:v>1.1485146734163707</c:v>
                </c:pt>
                <c:pt idx="8">
                  <c:v>1.1485146734163707</c:v>
                </c:pt>
                <c:pt idx="9">
                  <c:v>1.1485146734163707</c:v>
                </c:pt>
                <c:pt idx="10">
                  <c:v>1.1485146734163707</c:v>
                </c:pt>
                <c:pt idx="11">
                  <c:v>1.1485146734163707</c:v>
                </c:pt>
                <c:pt idx="12">
                  <c:v>1.1485146734163707</c:v>
                </c:pt>
                <c:pt idx="13">
                  <c:v>1.1485146734163707</c:v>
                </c:pt>
                <c:pt idx="14">
                  <c:v>1.1485146734163707</c:v>
                </c:pt>
                <c:pt idx="15">
                  <c:v>1.1485146734163707</c:v>
                </c:pt>
                <c:pt idx="16">
                  <c:v>1.1485146734163707</c:v>
                </c:pt>
                <c:pt idx="17">
                  <c:v>1.1485146734163707</c:v>
                </c:pt>
                <c:pt idx="18">
                  <c:v>1.1485146734163707</c:v>
                </c:pt>
                <c:pt idx="19">
                  <c:v>1.1485146734163707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19-4450-9863-25B9639D9A87}"/>
            </c:ext>
          </c:extLst>
        </c:ser>
        <c:ser>
          <c:idx val="5"/>
          <c:order val="5"/>
          <c:tx>
            <c:v>1倍標準差</c:v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營業費用!$G$103:$G$123</c:f>
              <c:numCache>
                <c:formatCode>0.00</c:formatCode>
                <c:ptCount val="21"/>
                <c:pt idx="0">
                  <c:v>1.2551437632874762</c:v>
                </c:pt>
                <c:pt idx="1">
                  <c:v>1.2551437632874762</c:v>
                </c:pt>
                <c:pt idx="2">
                  <c:v>1.2551437632874762</c:v>
                </c:pt>
                <c:pt idx="3">
                  <c:v>1.2551437632874762</c:v>
                </c:pt>
                <c:pt idx="4">
                  <c:v>1.2551437632874762</c:v>
                </c:pt>
                <c:pt idx="5">
                  <c:v>1.2551437632874762</c:v>
                </c:pt>
                <c:pt idx="6">
                  <c:v>1.2551437632874762</c:v>
                </c:pt>
                <c:pt idx="7">
                  <c:v>1.2551437632874762</c:v>
                </c:pt>
                <c:pt idx="8">
                  <c:v>1.2551437632874762</c:v>
                </c:pt>
                <c:pt idx="9">
                  <c:v>1.2551437632874762</c:v>
                </c:pt>
                <c:pt idx="10">
                  <c:v>1.2551437632874762</c:v>
                </c:pt>
                <c:pt idx="11">
                  <c:v>1.2551437632874762</c:v>
                </c:pt>
                <c:pt idx="12">
                  <c:v>1.2551437632874762</c:v>
                </c:pt>
                <c:pt idx="13">
                  <c:v>1.2551437632874762</c:v>
                </c:pt>
                <c:pt idx="14">
                  <c:v>1.2551437632874762</c:v>
                </c:pt>
                <c:pt idx="15">
                  <c:v>1.2551437632874762</c:v>
                </c:pt>
                <c:pt idx="16">
                  <c:v>1.2551437632874762</c:v>
                </c:pt>
                <c:pt idx="17">
                  <c:v>1.2551437632874762</c:v>
                </c:pt>
                <c:pt idx="18">
                  <c:v>1.2551437632874762</c:v>
                </c:pt>
                <c:pt idx="19">
                  <c:v>1.2551437632874762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19-4450-9863-25B9639D9A87}"/>
            </c:ext>
          </c:extLst>
        </c:ser>
        <c:ser>
          <c:idx val="6"/>
          <c:order val="6"/>
          <c:tx>
            <c:v>2倍標準差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營業費用!$H$103:$H$123</c:f>
              <c:numCache>
                <c:formatCode>0.00</c:formatCode>
                <c:ptCount val="21"/>
                <c:pt idx="0">
                  <c:v>1.361772853158582</c:v>
                </c:pt>
                <c:pt idx="1">
                  <c:v>1.361772853158582</c:v>
                </c:pt>
                <c:pt idx="2">
                  <c:v>1.361772853158582</c:v>
                </c:pt>
                <c:pt idx="3">
                  <c:v>1.361772853158582</c:v>
                </c:pt>
                <c:pt idx="4">
                  <c:v>1.361772853158582</c:v>
                </c:pt>
                <c:pt idx="5">
                  <c:v>1.361772853158582</c:v>
                </c:pt>
                <c:pt idx="6">
                  <c:v>1.361772853158582</c:v>
                </c:pt>
                <c:pt idx="7">
                  <c:v>1.361772853158582</c:v>
                </c:pt>
                <c:pt idx="8">
                  <c:v>1.361772853158582</c:v>
                </c:pt>
                <c:pt idx="9">
                  <c:v>1.361772853158582</c:v>
                </c:pt>
                <c:pt idx="10">
                  <c:v>1.361772853158582</c:v>
                </c:pt>
                <c:pt idx="11">
                  <c:v>1.361772853158582</c:v>
                </c:pt>
                <c:pt idx="12">
                  <c:v>1.361772853158582</c:v>
                </c:pt>
                <c:pt idx="13">
                  <c:v>1.361772853158582</c:v>
                </c:pt>
                <c:pt idx="14">
                  <c:v>1.361772853158582</c:v>
                </c:pt>
                <c:pt idx="15">
                  <c:v>1.361772853158582</c:v>
                </c:pt>
                <c:pt idx="16">
                  <c:v>1.361772853158582</c:v>
                </c:pt>
                <c:pt idx="17">
                  <c:v>1.361772853158582</c:v>
                </c:pt>
                <c:pt idx="18">
                  <c:v>1.361772853158582</c:v>
                </c:pt>
                <c:pt idx="19">
                  <c:v>1.361772853158582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19-4450-9863-25B9639D9A87}"/>
            </c:ext>
          </c:extLst>
        </c:ser>
        <c:ser>
          <c:idx val="7"/>
          <c:order val="7"/>
          <c:tx>
            <c:v>3倍標準差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營業費用!$A$103:$A$123</c:f>
              <c:strCache>
                <c:ptCount val="21"/>
                <c:pt idx="0">
                  <c:v>2026Q1</c:v>
                </c:pt>
                <c:pt idx="1">
                  <c:v>2025Q4</c:v>
                </c:pt>
                <c:pt idx="2">
                  <c:v>2025Q3</c:v>
                </c:pt>
                <c:pt idx="3">
                  <c:v>2025Q2</c:v>
                </c:pt>
                <c:pt idx="4">
                  <c:v>2025Q1</c:v>
                </c:pt>
                <c:pt idx="5">
                  <c:v>2024Q4</c:v>
                </c:pt>
                <c:pt idx="6">
                  <c:v>2024Q3</c:v>
                </c:pt>
                <c:pt idx="7">
                  <c:v>2024Q2</c:v>
                </c:pt>
                <c:pt idx="8">
                  <c:v>2024Q1</c:v>
                </c:pt>
                <c:pt idx="9">
                  <c:v>2023Q4</c:v>
                </c:pt>
                <c:pt idx="10">
                  <c:v>2023Q3</c:v>
                </c:pt>
                <c:pt idx="11">
                  <c:v>2023Q2</c:v>
                </c:pt>
                <c:pt idx="12">
                  <c:v>2023Q1</c:v>
                </c:pt>
                <c:pt idx="13">
                  <c:v>2022Q4</c:v>
                </c:pt>
                <c:pt idx="14">
                  <c:v>2022Q3</c:v>
                </c:pt>
                <c:pt idx="15">
                  <c:v>2022Q2</c:v>
                </c:pt>
                <c:pt idx="16">
                  <c:v>2022Q1</c:v>
                </c:pt>
                <c:pt idx="17">
                  <c:v>2021Q4</c:v>
                </c:pt>
                <c:pt idx="18">
                  <c:v>2021Q3</c:v>
                </c:pt>
                <c:pt idx="19">
                  <c:v>2021Q2</c:v>
                </c:pt>
                <c:pt idx="20">
                  <c:v>2021Q1</c:v>
                </c:pt>
              </c:strCache>
            </c:strRef>
          </c:cat>
          <c:val>
            <c:numRef>
              <c:f>營業費用!$I$103:$I$123</c:f>
              <c:numCache>
                <c:formatCode>0.00</c:formatCode>
                <c:ptCount val="21"/>
                <c:pt idx="0">
                  <c:v>1.4684019430296875</c:v>
                </c:pt>
                <c:pt idx="1">
                  <c:v>1.4684019430296875</c:v>
                </c:pt>
                <c:pt idx="2">
                  <c:v>1.4684019430296875</c:v>
                </c:pt>
                <c:pt idx="3">
                  <c:v>1.4684019430296875</c:v>
                </c:pt>
                <c:pt idx="4">
                  <c:v>1.4684019430296875</c:v>
                </c:pt>
                <c:pt idx="5">
                  <c:v>1.4684019430296875</c:v>
                </c:pt>
                <c:pt idx="6">
                  <c:v>1.4684019430296875</c:v>
                </c:pt>
                <c:pt idx="7">
                  <c:v>1.4684019430296875</c:v>
                </c:pt>
                <c:pt idx="8">
                  <c:v>1.4684019430296875</c:v>
                </c:pt>
                <c:pt idx="9">
                  <c:v>1.4684019430296875</c:v>
                </c:pt>
                <c:pt idx="10">
                  <c:v>1.4684019430296875</c:v>
                </c:pt>
                <c:pt idx="11">
                  <c:v>1.4684019430296875</c:v>
                </c:pt>
                <c:pt idx="12">
                  <c:v>1.4684019430296875</c:v>
                </c:pt>
                <c:pt idx="13">
                  <c:v>1.4684019430296875</c:v>
                </c:pt>
                <c:pt idx="14">
                  <c:v>1.4684019430296875</c:v>
                </c:pt>
                <c:pt idx="15">
                  <c:v>1.4684019430296875</c:v>
                </c:pt>
                <c:pt idx="16">
                  <c:v>1.4684019430296875</c:v>
                </c:pt>
                <c:pt idx="17">
                  <c:v>1.4684019430296875</c:v>
                </c:pt>
                <c:pt idx="18">
                  <c:v>1.4684019430296875</c:v>
                </c:pt>
                <c:pt idx="19">
                  <c:v>1.4684019430296875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19-4450-9863-25B9639D9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239895"/>
        <c:axId val="404473452"/>
      </c:lineChart>
      <c:catAx>
        <c:axId val="599239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404473452"/>
        <c:crosses val="autoZero"/>
        <c:auto val="1"/>
        <c:lblAlgn val="ctr"/>
        <c:lblOffset val="100"/>
        <c:noMultiLvlLbl val="1"/>
      </c:catAx>
      <c:valAx>
        <c:axId val="404473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599239895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毛利率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'毛利率&amp;業外'!$Q$12:$Q$32</c:f>
              <c:numCache>
                <c:formatCode>0.0%</c:formatCode>
                <c:ptCount val="21"/>
                <c:pt idx="0">
                  <c:v>0.67720000000000002</c:v>
                </c:pt>
                <c:pt idx="1">
                  <c:v>0.66249999999999998</c:v>
                </c:pt>
                <c:pt idx="2">
                  <c:v>0.62329999999999997</c:v>
                </c:pt>
                <c:pt idx="3">
                  <c:v>0.59450000000000003</c:v>
                </c:pt>
                <c:pt idx="4">
                  <c:v>0.58620000000000005</c:v>
                </c:pt>
                <c:pt idx="5">
                  <c:v>0.58789999999999998</c:v>
                </c:pt>
                <c:pt idx="6">
                  <c:v>0.59</c:v>
                </c:pt>
                <c:pt idx="7">
                  <c:v>0.57830000000000004</c:v>
                </c:pt>
                <c:pt idx="8">
                  <c:v>0.53169999999999995</c:v>
                </c:pt>
                <c:pt idx="9">
                  <c:v>0.53069999999999995</c:v>
                </c:pt>
                <c:pt idx="10">
                  <c:v>0.53039999999999998</c:v>
                </c:pt>
                <c:pt idx="11" formatCode="0.00%">
                  <c:v>0.54259999999999997</c:v>
                </c:pt>
                <c:pt idx="12" formatCode="0.00%">
                  <c:v>0.54110000000000003</c:v>
                </c:pt>
                <c:pt idx="13" formatCode="0.00%">
                  <c:v>0.56330000000000002</c:v>
                </c:pt>
                <c:pt idx="14" formatCode="0.00%">
                  <c:v>0.62219999999999998</c:v>
                </c:pt>
                <c:pt idx="15" formatCode="0.00%">
                  <c:v>0.60429999999999995</c:v>
                </c:pt>
                <c:pt idx="16" formatCode="0.00%">
                  <c:v>0.59060000000000001</c:v>
                </c:pt>
                <c:pt idx="17" formatCode="0.00%">
                  <c:v>0.55630000000000002</c:v>
                </c:pt>
                <c:pt idx="18" formatCode="0.00%">
                  <c:v>0.52659999999999996</c:v>
                </c:pt>
                <c:pt idx="19" formatCode="0.00%">
                  <c:v>0.51300000000000001</c:v>
                </c:pt>
                <c:pt idx="20" formatCode="0.00%">
                  <c:v>0.50029999999999997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AA-4E9F-A00D-7CDC4FA2BFE0}"/>
            </c:ext>
          </c:extLst>
        </c:ser>
        <c:ser>
          <c:idx val="1"/>
          <c:order val="1"/>
          <c:tx>
            <c:v>-3倍標準差</c:v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'毛利率&amp;業外'!$R$12:$R$32</c:f>
              <c:numCache>
                <c:formatCode>0.0%</c:formatCode>
                <c:ptCount val="21"/>
                <c:pt idx="0">
                  <c:v>0.43519150897531123</c:v>
                </c:pt>
                <c:pt idx="1">
                  <c:v>0.43519150897531123</c:v>
                </c:pt>
                <c:pt idx="2">
                  <c:v>0.43519150897531123</c:v>
                </c:pt>
                <c:pt idx="3">
                  <c:v>0.43519150897531123</c:v>
                </c:pt>
                <c:pt idx="4">
                  <c:v>0.43519150897531123</c:v>
                </c:pt>
                <c:pt idx="5">
                  <c:v>0.43519150897531123</c:v>
                </c:pt>
                <c:pt idx="6">
                  <c:v>0.43519150897531123</c:v>
                </c:pt>
                <c:pt idx="7">
                  <c:v>0.43519150897531123</c:v>
                </c:pt>
                <c:pt idx="8">
                  <c:v>0.43519150897531123</c:v>
                </c:pt>
                <c:pt idx="9">
                  <c:v>0.43519150897531123</c:v>
                </c:pt>
                <c:pt idx="10">
                  <c:v>0.43519150897531123</c:v>
                </c:pt>
                <c:pt idx="11" formatCode="0.00%">
                  <c:v>0.43519150897531123</c:v>
                </c:pt>
                <c:pt idx="12" formatCode="0.00%">
                  <c:v>0.43519150897531123</c:v>
                </c:pt>
                <c:pt idx="13" formatCode="0.00%">
                  <c:v>0.43519150897531123</c:v>
                </c:pt>
                <c:pt idx="14" formatCode="0.00%">
                  <c:v>0.43519150897531123</c:v>
                </c:pt>
                <c:pt idx="15" formatCode="0.00%">
                  <c:v>0.43519150897531123</c:v>
                </c:pt>
                <c:pt idx="16" formatCode="0.00%">
                  <c:v>0.43519150897531123</c:v>
                </c:pt>
                <c:pt idx="17" formatCode="0.00%">
                  <c:v>0.43519150897531123</c:v>
                </c:pt>
                <c:pt idx="18" formatCode="0.00%">
                  <c:v>0.43519150897531123</c:v>
                </c:pt>
                <c:pt idx="19" formatCode="0.00%">
                  <c:v>0.43519150897531123</c:v>
                </c:pt>
                <c:pt idx="20" formatCode="0.00%">
                  <c:v>0.43519150897531123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AA-4E9F-A00D-7CDC4FA2BFE0}"/>
            </c:ext>
          </c:extLst>
        </c:ser>
        <c:ser>
          <c:idx val="2"/>
          <c:order val="2"/>
          <c:tx>
            <c:v>-2倍標準差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'毛利率&amp;業外'!$S$12:$S$32</c:f>
              <c:numCache>
                <c:formatCode>0.0%</c:formatCode>
                <c:ptCount val="21"/>
                <c:pt idx="0">
                  <c:v>0.48144513296766783</c:v>
                </c:pt>
                <c:pt idx="1">
                  <c:v>0.48144513296766783</c:v>
                </c:pt>
                <c:pt idx="2">
                  <c:v>0.48144513296766783</c:v>
                </c:pt>
                <c:pt idx="3">
                  <c:v>0.48144513296766783</c:v>
                </c:pt>
                <c:pt idx="4">
                  <c:v>0.48144513296766783</c:v>
                </c:pt>
                <c:pt idx="5">
                  <c:v>0.48144513296766783</c:v>
                </c:pt>
                <c:pt idx="6">
                  <c:v>0.48144513296766783</c:v>
                </c:pt>
                <c:pt idx="7">
                  <c:v>0.48144513296766783</c:v>
                </c:pt>
                <c:pt idx="8">
                  <c:v>0.48144513296766783</c:v>
                </c:pt>
                <c:pt idx="9">
                  <c:v>0.48144513296766783</c:v>
                </c:pt>
                <c:pt idx="10">
                  <c:v>0.48144513296766783</c:v>
                </c:pt>
                <c:pt idx="11" formatCode="0.00%">
                  <c:v>0.48144513296766783</c:v>
                </c:pt>
                <c:pt idx="12" formatCode="0.00%">
                  <c:v>0.48144513296766783</c:v>
                </c:pt>
                <c:pt idx="13" formatCode="0.00%">
                  <c:v>0.48144513296766783</c:v>
                </c:pt>
                <c:pt idx="14" formatCode="0.00%">
                  <c:v>0.48144513296766783</c:v>
                </c:pt>
                <c:pt idx="15" formatCode="0.00%">
                  <c:v>0.48144513296766783</c:v>
                </c:pt>
                <c:pt idx="16" formatCode="0.00%">
                  <c:v>0.48144513296766783</c:v>
                </c:pt>
                <c:pt idx="17" formatCode="0.00%">
                  <c:v>0.48144513296766783</c:v>
                </c:pt>
                <c:pt idx="18" formatCode="0.00%">
                  <c:v>0.48144513296766783</c:v>
                </c:pt>
                <c:pt idx="19" formatCode="0.00%">
                  <c:v>0.48144513296766783</c:v>
                </c:pt>
                <c:pt idx="20" formatCode="0.00%">
                  <c:v>0.48144513296766783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AA-4E9F-A00D-7CDC4FA2BFE0}"/>
            </c:ext>
          </c:extLst>
        </c:ser>
        <c:ser>
          <c:idx val="3"/>
          <c:order val="3"/>
          <c:tx>
            <c:v>-1倍標準差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'毛利率&amp;業外'!$T$12:$T$32</c:f>
              <c:numCache>
                <c:formatCode>0.0%</c:formatCode>
                <c:ptCount val="21"/>
                <c:pt idx="0">
                  <c:v>0.52769875696002444</c:v>
                </c:pt>
                <c:pt idx="1">
                  <c:v>0.52769875696002444</c:v>
                </c:pt>
                <c:pt idx="2">
                  <c:v>0.52769875696002444</c:v>
                </c:pt>
                <c:pt idx="3">
                  <c:v>0.52769875696002444</c:v>
                </c:pt>
                <c:pt idx="4">
                  <c:v>0.52769875696002444</c:v>
                </c:pt>
                <c:pt idx="5">
                  <c:v>0.52769875696002444</c:v>
                </c:pt>
                <c:pt idx="6">
                  <c:v>0.52769875696002444</c:v>
                </c:pt>
                <c:pt idx="7">
                  <c:v>0.52769875696002444</c:v>
                </c:pt>
                <c:pt idx="8">
                  <c:v>0.52769875696002444</c:v>
                </c:pt>
                <c:pt idx="9">
                  <c:v>0.52769875696002444</c:v>
                </c:pt>
                <c:pt idx="10">
                  <c:v>0.52769875696002444</c:v>
                </c:pt>
                <c:pt idx="11" formatCode="0.00%">
                  <c:v>0.52769875696002444</c:v>
                </c:pt>
                <c:pt idx="12" formatCode="0.00%">
                  <c:v>0.52769875696002444</c:v>
                </c:pt>
                <c:pt idx="13" formatCode="0.00%">
                  <c:v>0.52769875696002444</c:v>
                </c:pt>
                <c:pt idx="14" formatCode="0.00%">
                  <c:v>0.52769875696002444</c:v>
                </c:pt>
                <c:pt idx="15" formatCode="0.00%">
                  <c:v>0.52769875696002444</c:v>
                </c:pt>
                <c:pt idx="16" formatCode="0.00%">
                  <c:v>0.52769875696002444</c:v>
                </c:pt>
                <c:pt idx="17" formatCode="0.00%">
                  <c:v>0.52769875696002444</c:v>
                </c:pt>
                <c:pt idx="18" formatCode="0.00%">
                  <c:v>0.52769875696002444</c:v>
                </c:pt>
                <c:pt idx="19" formatCode="0.00%">
                  <c:v>0.52769875696002444</c:v>
                </c:pt>
                <c:pt idx="20" formatCode="0.00%">
                  <c:v>0.52769875696002444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AA-4E9F-A00D-7CDC4FA2BFE0}"/>
            </c:ext>
          </c:extLst>
        </c:ser>
        <c:ser>
          <c:idx val="4"/>
          <c:order val="4"/>
          <c:tx>
            <c:v>5年標準差</c:v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'毛利率&amp;業外'!$U$12:$U$32</c:f>
              <c:numCache>
                <c:formatCode>0.0%</c:formatCode>
                <c:ptCount val="21"/>
                <c:pt idx="0">
                  <c:v>0.57395238095238099</c:v>
                </c:pt>
                <c:pt idx="1">
                  <c:v>0.57395238095238099</c:v>
                </c:pt>
                <c:pt idx="2">
                  <c:v>0.57395238095238099</c:v>
                </c:pt>
                <c:pt idx="3">
                  <c:v>0.57395238095238099</c:v>
                </c:pt>
                <c:pt idx="4">
                  <c:v>0.57395238095238099</c:v>
                </c:pt>
                <c:pt idx="5">
                  <c:v>0.57395238095238099</c:v>
                </c:pt>
                <c:pt idx="6">
                  <c:v>0.57395238095238099</c:v>
                </c:pt>
                <c:pt idx="7">
                  <c:v>0.57395238095238099</c:v>
                </c:pt>
                <c:pt idx="8">
                  <c:v>0.57395238095238099</c:v>
                </c:pt>
                <c:pt idx="9">
                  <c:v>0.57395238095238099</c:v>
                </c:pt>
                <c:pt idx="10">
                  <c:v>0.57395238095238099</c:v>
                </c:pt>
                <c:pt idx="11" formatCode="0.00%">
                  <c:v>0.57395238095238099</c:v>
                </c:pt>
                <c:pt idx="12" formatCode="0.00%">
                  <c:v>0.57395238095238099</c:v>
                </c:pt>
                <c:pt idx="13" formatCode="0.00%">
                  <c:v>0.57395238095238099</c:v>
                </c:pt>
                <c:pt idx="14" formatCode="0.00%">
                  <c:v>0.57395238095238099</c:v>
                </c:pt>
                <c:pt idx="15" formatCode="0.00%">
                  <c:v>0.57395238095238099</c:v>
                </c:pt>
                <c:pt idx="16" formatCode="0.00%">
                  <c:v>0.57395238095238099</c:v>
                </c:pt>
                <c:pt idx="17" formatCode="0.00%">
                  <c:v>0.57395238095238099</c:v>
                </c:pt>
                <c:pt idx="18" formatCode="0.00%">
                  <c:v>0.57395238095238099</c:v>
                </c:pt>
                <c:pt idx="19" formatCode="0.00%">
                  <c:v>0.57395238095238099</c:v>
                </c:pt>
                <c:pt idx="20" formatCode="0.00%">
                  <c:v>0.57395238095238099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AA-4E9F-A00D-7CDC4FA2BFE0}"/>
            </c:ext>
          </c:extLst>
        </c:ser>
        <c:ser>
          <c:idx val="5"/>
          <c:order val="5"/>
          <c:tx>
            <c:v>1倍標準差</c:v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'毛利率&amp;業外'!$V$12:$V$32</c:f>
              <c:numCache>
                <c:formatCode>0.0%</c:formatCode>
                <c:ptCount val="21"/>
                <c:pt idx="0">
                  <c:v>0.62020600494473754</c:v>
                </c:pt>
                <c:pt idx="1">
                  <c:v>0.62020600494473754</c:v>
                </c:pt>
                <c:pt idx="2">
                  <c:v>0.62020600494473754</c:v>
                </c:pt>
                <c:pt idx="3">
                  <c:v>0.62020600494473754</c:v>
                </c:pt>
                <c:pt idx="4">
                  <c:v>0.62020600494473754</c:v>
                </c:pt>
                <c:pt idx="5">
                  <c:v>0.62020600494473754</c:v>
                </c:pt>
                <c:pt idx="6">
                  <c:v>0.62020600494473754</c:v>
                </c:pt>
                <c:pt idx="7">
                  <c:v>0.62020600494473754</c:v>
                </c:pt>
                <c:pt idx="8">
                  <c:v>0.62020600494473754</c:v>
                </c:pt>
                <c:pt idx="9">
                  <c:v>0.62020600494473754</c:v>
                </c:pt>
                <c:pt idx="10">
                  <c:v>0.62020600494473754</c:v>
                </c:pt>
                <c:pt idx="11" formatCode="0.00%">
                  <c:v>0.62020600494473754</c:v>
                </c:pt>
                <c:pt idx="12" formatCode="0.00%">
                  <c:v>0.62020600494473754</c:v>
                </c:pt>
                <c:pt idx="13" formatCode="0.00%">
                  <c:v>0.62020600494473754</c:v>
                </c:pt>
                <c:pt idx="14" formatCode="0.00%">
                  <c:v>0.62020600494473754</c:v>
                </c:pt>
                <c:pt idx="15" formatCode="0.00%">
                  <c:v>0.62020600494473754</c:v>
                </c:pt>
                <c:pt idx="16" formatCode="0.00%">
                  <c:v>0.62020600494473754</c:v>
                </c:pt>
                <c:pt idx="17" formatCode="0.00%">
                  <c:v>0.62020600494473754</c:v>
                </c:pt>
                <c:pt idx="18" formatCode="0.00%">
                  <c:v>0.62020600494473754</c:v>
                </c:pt>
                <c:pt idx="19" formatCode="0.00%">
                  <c:v>0.62020600494473754</c:v>
                </c:pt>
                <c:pt idx="20" formatCode="0.00%">
                  <c:v>0.62020600494473754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AA-4E9F-A00D-7CDC4FA2BFE0}"/>
            </c:ext>
          </c:extLst>
        </c:ser>
        <c:ser>
          <c:idx val="6"/>
          <c:order val="6"/>
          <c:tx>
            <c:v>2倍標準差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'毛利率&amp;業外'!$W$12:$W$32</c:f>
              <c:numCache>
                <c:formatCode>0.0%</c:formatCode>
                <c:ptCount val="21"/>
                <c:pt idx="0">
                  <c:v>0.6664596289370941</c:v>
                </c:pt>
                <c:pt idx="1">
                  <c:v>0.6664596289370941</c:v>
                </c:pt>
                <c:pt idx="2">
                  <c:v>0.6664596289370941</c:v>
                </c:pt>
                <c:pt idx="3">
                  <c:v>0.6664596289370941</c:v>
                </c:pt>
                <c:pt idx="4">
                  <c:v>0.6664596289370941</c:v>
                </c:pt>
                <c:pt idx="5">
                  <c:v>0.6664596289370941</c:v>
                </c:pt>
                <c:pt idx="6">
                  <c:v>0.6664596289370941</c:v>
                </c:pt>
                <c:pt idx="7">
                  <c:v>0.6664596289370941</c:v>
                </c:pt>
                <c:pt idx="8">
                  <c:v>0.6664596289370941</c:v>
                </c:pt>
                <c:pt idx="9">
                  <c:v>0.6664596289370941</c:v>
                </c:pt>
                <c:pt idx="10">
                  <c:v>0.6664596289370941</c:v>
                </c:pt>
                <c:pt idx="11" formatCode="0.00%">
                  <c:v>0.6664596289370941</c:v>
                </c:pt>
                <c:pt idx="12" formatCode="0.00%">
                  <c:v>0.6664596289370941</c:v>
                </c:pt>
                <c:pt idx="13" formatCode="0.00%">
                  <c:v>0.6664596289370941</c:v>
                </c:pt>
                <c:pt idx="14" formatCode="0.00%">
                  <c:v>0.6664596289370941</c:v>
                </c:pt>
                <c:pt idx="15" formatCode="0.00%">
                  <c:v>0.6664596289370941</c:v>
                </c:pt>
                <c:pt idx="16" formatCode="0.00%">
                  <c:v>0.6664596289370941</c:v>
                </c:pt>
                <c:pt idx="17" formatCode="0.00%">
                  <c:v>0.6664596289370941</c:v>
                </c:pt>
                <c:pt idx="18" formatCode="0.00%">
                  <c:v>0.6664596289370941</c:v>
                </c:pt>
                <c:pt idx="19" formatCode="0.00%">
                  <c:v>0.6664596289370941</c:v>
                </c:pt>
                <c:pt idx="20" formatCode="0.00%">
                  <c:v>0.6664596289370941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AA-4E9F-A00D-7CDC4FA2BFE0}"/>
            </c:ext>
          </c:extLst>
        </c:ser>
        <c:ser>
          <c:idx val="7"/>
          <c:order val="7"/>
          <c:tx>
            <c:v>3倍標準差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'毛利率&amp;業外'!$P$12:$P$32</c:f>
              <c:strCache>
                <c:ptCount val="21"/>
                <c:pt idx="0">
                  <c:v>115.2Q</c:v>
                </c:pt>
                <c:pt idx="1">
                  <c:v>115.1Q</c:v>
                </c:pt>
                <c:pt idx="2">
                  <c:v>114.4Q</c:v>
                </c:pt>
                <c:pt idx="3">
                  <c:v>114.3Q</c:v>
                </c:pt>
                <c:pt idx="4">
                  <c:v>114.2Q</c:v>
                </c:pt>
                <c:pt idx="5">
                  <c:v>114.1Q</c:v>
                </c:pt>
                <c:pt idx="6">
                  <c:v>113.4Q</c:v>
                </c:pt>
                <c:pt idx="7">
                  <c:v>113.3Q</c:v>
                </c:pt>
                <c:pt idx="8">
                  <c:v>113.2Q</c:v>
                </c:pt>
                <c:pt idx="9">
                  <c:v>113.1Q</c:v>
                </c:pt>
                <c:pt idx="10">
                  <c:v>112.4Q</c:v>
                </c:pt>
                <c:pt idx="11">
                  <c:v>112.3Q</c:v>
                </c:pt>
                <c:pt idx="12">
                  <c:v>112.2Q</c:v>
                </c:pt>
                <c:pt idx="13">
                  <c:v>112.1Q</c:v>
                </c:pt>
                <c:pt idx="14">
                  <c:v>111.4Q</c:v>
                </c:pt>
                <c:pt idx="15">
                  <c:v>111.3Q</c:v>
                </c:pt>
                <c:pt idx="16">
                  <c:v>111.2Q</c:v>
                </c:pt>
                <c:pt idx="17">
                  <c:v>111.1Q</c:v>
                </c:pt>
                <c:pt idx="18">
                  <c:v>110.4Q</c:v>
                </c:pt>
                <c:pt idx="19">
                  <c:v>110.3Q</c:v>
                </c:pt>
                <c:pt idx="20">
                  <c:v>110.2Q</c:v>
                </c:pt>
              </c:strCache>
            </c:strRef>
          </c:cat>
          <c:val>
            <c:numRef>
              <c:f>'毛利率&amp;業外'!$X$12:$X$32</c:f>
              <c:numCache>
                <c:formatCode>0.0%</c:formatCode>
                <c:ptCount val="21"/>
                <c:pt idx="0">
                  <c:v>0.71271325292945076</c:v>
                </c:pt>
                <c:pt idx="1">
                  <c:v>0.71271325292945076</c:v>
                </c:pt>
                <c:pt idx="2">
                  <c:v>0.71271325292945076</c:v>
                </c:pt>
                <c:pt idx="3">
                  <c:v>0.71271325292945076</c:v>
                </c:pt>
                <c:pt idx="4">
                  <c:v>0.71271325292945076</c:v>
                </c:pt>
                <c:pt idx="5">
                  <c:v>0.71271325292945076</c:v>
                </c:pt>
                <c:pt idx="6">
                  <c:v>0.71271325292945076</c:v>
                </c:pt>
                <c:pt idx="7">
                  <c:v>0.71271325292945076</c:v>
                </c:pt>
                <c:pt idx="8">
                  <c:v>0.71271325292945076</c:v>
                </c:pt>
                <c:pt idx="9">
                  <c:v>0.71271325292945076</c:v>
                </c:pt>
                <c:pt idx="10">
                  <c:v>0.71271325292945076</c:v>
                </c:pt>
                <c:pt idx="11" formatCode="0.00%">
                  <c:v>0.71271325292945076</c:v>
                </c:pt>
                <c:pt idx="12" formatCode="0.00%">
                  <c:v>0.71271325292945076</c:v>
                </c:pt>
                <c:pt idx="13" formatCode="0.00%">
                  <c:v>0.71271325292945076</c:v>
                </c:pt>
                <c:pt idx="14" formatCode="0.00%">
                  <c:v>0.71271325292945076</c:v>
                </c:pt>
                <c:pt idx="15" formatCode="0.00%">
                  <c:v>0.71271325292945076</c:v>
                </c:pt>
                <c:pt idx="16" formatCode="0.00%">
                  <c:v>0.71271325292945076</c:v>
                </c:pt>
                <c:pt idx="17" formatCode="0.00%">
                  <c:v>0.71271325292945076</c:v>
                </c:pt>
                <c:pt idx="18" formatCode="0.00%">
                  <c:v>0.71271325292945076</c:v>
                </c:pt>
                <c:pt idx="19" formatCode="0.00%">
                  <c:v>0.71271325292945076</c:v>
                </c:pt>
                <c:pt idx="20" formatCode="0.00%">
                  <c:v>0.71271325292945076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AA-4E9F-A00D-7CDC4FA2B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0252602"/>
        <c:axId val="777741627"/>
      </c:lineChart>
      <c:catAx>
        <c:axId val="1570252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77741627"/>
        <c:crosses val="autoZero"/>
        <c:auto val="1"/>
        <c:lblAlgn val="ctr"/>
        <c:lblOffset val="100"/>
        <c:noMultiLvlLbl val="1"/>
      </c:catAx>
      <c:valAx>
        <c:axId val="777741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57025260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5.png"/><Relationship Id="rId18" Type="http://schemas.openxmlformats.org/officeDocument/2006/relationships/chart" Target="../charts/chart10.xml"/><Relationship Id="rId3" Type="http://schemas.openxmlformats.org/officeDocument/2006/relationships/chart" Target="../charts/chart2.xml"/><Relationship Id="rId21" Type="http://schemas.openxmlformats.org/officeDocument/2006/relationships/image" Target="../media/image10.png"/><Relationship Id="rId7" Type="http://schemas.openxmlformats.org/officeDocument/2006/relationships/chart" Target="../charts/chart6.xml"/><Relationship Id="rId12" Type="http://schemas.openxmlformats.org/officeDocument/2006/relationships/chart" Target="../charts/chart8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image" Target="../media/image7.png"/><Relationship Id="rId20" Type="http://schemas.openxmlformats.org/officeDocument/2006/relationships/image" Target="../media/image9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7.xml"/><Relationship Id="rId5" Type="http://schemas.openxmlformats.org/officeDocument/2006/relationships/chart" Target="../charts/chart4.xml"/><Relationship Id="rId15" Type="http://schemas.openxmlformats.org/officeDocument/2006/relationships/chart" Target="../charts/chart9.xml"/><Relationship Id="rId23" Type="http://schemas.openxmlformats.org/officeDocument/2006/relationships/chart" Target="../charts/chart13.xml"/><Relationship Id="rId10" Type="http://schemas.openxmlformats.org/officeDocument/2006/relationships/image" Target="../media/image4.png"/><Relationship Id="rId19" Type="http://schemas.openxmlformats.org/officeDocument/2006/relationships/chart" Target="../charts/chart11.xml"/><Relationship Id="rId4" Type="http://schemas.openxmlformats.org/officeDocument/2006/relationships/chart" Target="../charts/chart3.xml"/><Relationship Id="rId9" Type="http://schemas.openxmlformats.org/officeDocument/2006/relationships/image" Target="../media/image3.png"/><Relationship Id="rId14" Type="http://schemas.openxmlformats.org/officeDocument/2006/relationships/image" Target="../media/image6.png"/><Relationship Id="rId2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38099</xdr:colOff>
      <xdr:row>30</xdr:row>
      <xdr:rowOff>12700</xdr:rowOff>
    </xdr:from>
    <xdr:ext cx="4826000" cy="2794000"/>
    <xdr:graphicFrame macro="">
      <xdr:nvGraphicFramePr>
        <xdr:cNvPr id="2" name="Chart 1" title="圖表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317500</xdr:colOff>
      <xdr:row>15</xdr:row>
      <xdr:rowOff>120650</xdr:rowOff>
    </xdr:from>
    <xdr:ext cx="4826000" cy="2794000"/>
    <xdr:pic>
      <xdr:nvPicPr>
        <xdr:cNvPr id="1976620693" name="Chart2" title="圖表">
          <a:extLst>
            <a:ext uri="{FF2B5EF4-FFF2-40B4-BE49-F238E27FC236}">
              <a16:creationId xmlns:a16="http://schemas.microsoft.com/office/drawing/2014/main" id="{00000000-0008-0000-0000-000095D6D075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684000" y="3073400"/>
          <a:ext cx="4826000" cy="279400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317499</xdr:colOff>
      <xdr:row>0</xdr:row>
      <xdr:rowOff>127000</xdr:rowOff>
    </xdr:from>
    <xdr:ext cx="4826000" cy="2794000"/>
    <xdr:graphicFrame macro="">
      <xdr:nvGraphicFramePr>
        <xdr:cNvPr id="3" name="Chart 3" title="圖表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317499</xdr:colOff>
      <xdr:row>30</xdr:row>
      <xdr:rowOff>12700</xdr:rowOff>
    </xdr:from>
    <xdr:ext cx="4826000" cy="2794000"/>
    <xdr:graphicFrame macro="">
      <xdr:nvGraphicFramePr>
        <xdr:cNvPr id="4" name="Chart 4" title="圖表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24</xdr:col>
      <xdr:colOff>565149</xdr:colOff>
      <xdr:row>0</xdr:row>
      <xdr:rowOff>127000</xdr:rowOff>
    </xdr:from>
    <xdr:ext cx="4826000" cy="2794000"/>
    <xdr:graphicFrame macro="">
      <xdr:nvGraphicFramePr>
        <xdr:cNvPr id="5" name="Chart 5" title="圖表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38099</xdr:colOff>
      <xdr:row>15</xdr:row>
      <xdr:rowOff>120650</xdr:rowOff>
    </xdr:from>
    <xdr:ext cx="4826000" cy="2794000"/>
    <xdr:graphicFrame macro="">
      <xdr:nvGraphicFramePr>
        <xdr:cNvPr id="6" name="Chart 6" title="圖表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24</xdr:col>
      <xdr:colOff>565149</xdr:colOff>
      <xdr:row>15</xdr:row>
      <xdr:rowOff>120650</xdr:rowOff>
    </xdr:from>
    <xdr:ext cx="4826000" cy="2794000"/>
    <xdr:graphicFrame macro="">
      <xdr:nvGraphicFramePr>
        <xdr:cNvPr id="7" name="Chart 7" title="圖表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15</xdr:col>
      <xdr:colOff>38100</xdr:colOff>
      <xdr:row>60</xdr:row>
      <xdr:rowOff>0</xdr:rowOff>
    </xdr:from>
    <xdr:ext cx="4826000" cy="2794000"/>
    <xdr:pic>
      <xdr:nvPicPr>
        <xdr:cNvPr id="746988191" name="Chart8" title="圖表">
          <a:extLst>
            <a:ext uri="{FF2B5EF4-FFF2-40B4-BE49-F238E27FC236}">
              <a16:creationId xmlns:a16="http://schemas.microsoft.com/office/drawing/2014/main" id="{00000000-0008-0000-0000-00009F22862C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6662400" y="11912600"/>
          <a:ext cx="4826000" cy="279400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317500</xdr:colOff>
      <xdr:row>60</xdr:row>
      <xdr:rowOff>0</xdr:rowOff>
    </xdr:from>
    <xdr:ext cx="4826000" cy="2794000"/>
    <xdr:pic>
      <xdr:nvPicPr>
        <xdr:cNvPr id="488424579" name="Chart9" title="圖表">
          <a:extLst>
            <a:ext uri="{FF2B5EF4-FFF2-40B4-BE49-F238E27FC236}">
              <a16:creationId xmlns:a16="http://schemas.microsoft.com/office/drawing/2014/main" id="{00000000-0008-0000-0000-000083C41C1D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684000" y="11912600"/>
          <a:ext cx="4826000" cy="27940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209550</xdr:colOff>
      <xdr:row>79</xdr:row>
      <xdr:rowOff>50800</xdr:rowOff>
    </xdr:from>
    <xdr:ext cx="4826000" cy="2794000"/>
    <xdr:pic>
      <xdr:nvPicPr>
        <xdr:cNvPr id="1225238294" name="Chart10" title="圖表">
          <a:extLst>
            <a:ext uri="{FF2B5EF4-FFF2-40B4-BE49-F238E27FC236}">
              <a16:creationId xmlns:a16="http://schemas.microsoft.com/office/drawing/2014/main" id="{00000000-0008-0000-0000-000016A70749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2072600" y="15728950"/>
          <a:ext cx="4826000" cy="27940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1047750</xdr:colOff>
      <xdr:row>91</xdr:row>
      <xdr:rowOff>19050</xdr:rowOff>
    </xdr:from>
    <xdr:ext cx="5753100" cy="11915775"/>
    <xdr:graphicFrame macro="">
      <xdr:nvGraphicFramePr>
        <xdr:cNvPr id="11" name="Chart 11" title="圖表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25</xdr:col>
      <xdr:colOff>368299</xdr:colOff>
      <xdr:row>66</xdr:row>
      <xdr:rowOff>57150</xdr:rowOff>
    </xdr:from>
    <xdr:ext cx="4851402" cy="11423650"/>
    <xdr:graphicFrame macro="">
      <xdr:nvGraphicFramePr>
        <xdr:cNvPr id="12" name="Chart 12" title="圖表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19</xdr:col>
      <xdr:colOff>825500</xdr:colOff>
      <xdr:row>15</xdr:row>
      <xdr:rowOff>120650</xdr:rowOff>
    </xdr:from>
    <xdr:ext cx="4826000" cy="2794000"/>
    <xdr:pic>
      <xdr:nvPicPr>
        <xdr:cNvPr id="1657316451" name="Chart13" title="圖表">
          <a:extLst>
            <a:ext uri="{FF2B5EF4-FFF2-40B4-BE49-F238E27FC236}">
              <a16:creationId xmlns:a16="http://schemas.microsoft.com/office/drawing/2014/main" id="{00000000-0008-0000-0000-000063A4C862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1640800" y="3073400"/>
          <a:ext cx="4826000" cy="27940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38100</xdr:colOff>
      <xdr:row>0</xdr:row>
      <xdr:rowOff>127000</xdr:rowOff>
    </xdr:from>
    <xdr:ext cx="4826000" cy="2794000"/>
    <xdr:pic>
      <xdr:nvPicPr>
        <xdr:cNvPr id="673573596" name="Chart14" title="圖表">
          <a:extLst>
            <a:ext uri="{FF2B5EF4-FFF2-40B4-BE49-F238E27FC236}">
              <a16:creationId xmlns:a16="http://schemas.microsoft.com/office/drawing/2014/main" id="{00000000-0008-0000-0000-0000DCEA2528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6662400" y="127000"/>
          <a:ext cx="4826000" cy="27940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641350</xdr:colOff>
      <xdr:row>91</xdr:row>
      <xdr:rowOff>19050</xdr:rowOff>
    </xdr:from>
    <xdr:ext cx="4791075" cy="5915025"/>
    <xdr:graphicFrame macro="">
      <xdr:nvGraphicFramePr>
        <xdr:cNvPr id="15" name="Chart 15" title="圖表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 fLocksWithSheet="0"/>
  </xdr:oneCellAnchor>
  <xdr:oneCellAnchor>
    <xdr:from>
      <xdr:col>24</xdr:col>
      <xdr:colOff>565150</xdr:colOff>
      <xdr:row>45</xdr:row>
      <xdr:rowOff>6350</xdr:rowOff>
    </xdr:from>
    <xdr:ext cx="4826000" cy="2794000"/>
    <xdr:pic>
      <xdr:nvPicPr>
        <xdr:cNvPr id="1456880358" name="Chart16" title="圖表">
          <a:extLst>
            <a:ext uri="{FF2B5EF4-FFF2-40B4-BE49-F238E27FC236}">
              <a16:creationId xmlns:a16="http://schemas.microsoft.com/office/drawing/2014/main" id="{00000000-0008-0000-0000-0000E63AD656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26619200" y="8966200"/>
          <a:ext cx="4826000" cy="27940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38100</xdr:colOff>
      <xdr:row>45</xdr:row>
      <xdr:rowOff>6350</xdr:rowOff>
    </xdr:from>
    <xdr:ext cx="4826000" cy="2794000"/>
    <xdr:pic>
      <xdr:nvPicPr>
        <xdr:cNvPr id="1453886539" name="Chart17" title="圖表">
          <a:extLst>
            <a:ext uri="{FF2B5EF4-FFF2-40B4-BE49-F238E27FC236}">
              <a16:creationId xmlns:a16="http://schemas.microsoft.com/office/drawing/2014/main" id="{00000000-0008-0000-0000-00004B8CA856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6662400" y="8966200"/>
          <a:ext cx="4826000" cy="279400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317499</xdr:colOff>
      <xdr:row>74</xdr:row>
      <xdr:rowOff>165100</xdr:rowOff>
    </xdr:from>
    <xdr:ext cx="4826000" cy="2794000"/>
    <xdr:graphicFrame macro="">
      <xdr:nvGraphicFramePr>
        <xdr:cNvPr id="18" name="Chart 18" title="圖表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 fLocksWithSheet="0"/>
  </xdr:oneCellAnchor>
  <xdr:oneCellAnchor>
    <xdr:from>
      <xdr:col>19</xdr:col>
      <xdr:colOff>825499</xdr:colOff>
      <xdr:row>30</xdr:row>
      <xdr:rowOff>12700</xdr:rowOff>
    </xdr:from>
    <xdr:ext cx="4826000" cy="2794000"/>
    <xdr:graphicFrame macro="">
      <xdr:nvGraphicFramePr>
        <xdr:cNvPr id="19" name="Chart 19" title="圖表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 fLocksWithSheet="0"/>
  </xdr:oneCellAnchor>
  <xdr:oneCellAnchor>
    <xdr:from>
      <xdr:col>19</xdr:col>
      <xdr:colOff>825500</xdr:colOff>
      <xdr:row>0</xdr:row>
      <xdr:rowOff>127000</xdr:rowOff>
    </xdr:from>
    <xdr:ext cx="4826000" cy="2794000"/>
    <xdr:pic>
      <xdr:nvPicPr>
        <xdr:cNvPr id="1908271198" name="Chart20" title="圖表">
          <a:extLst>
            <a:ext uri="{FF2B5EF4-FFF2-40B4-BE49-F238E27FC236}">
              <a16:creationId xmlns:a16="http://schemas.microsoft.com/office/drawing/2014/main" id="{00000000-0008-0000-0000-00005EE8BD71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1640800" y="127000"/>
          <a:ext cx="4826000" cy="2794000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825500</xdr:colOff>
      <xdr:row>45</xdr:row>
      <xdr:rowOff>6350</xdr:rowOff>
    </xdr:from>
    <xdr:ext cx="4826000" cy="2794000"/>
    <xdr:pic>
      <xdr:nvPicPr>
        <xdr:cNvPr id="1382305275" name="Chart21" title="圖表">
          <a:extLst>
            <a:ext uri="{FF2B5EF4-FFF2-40B4-BE49-F238E27FC236}">
              <a16:creationId xmlns:a16="http://schemas.microsoft.com/office/drawing/2014/main" id="{00000000-0008-0000-0000-0000FB4D6452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21640800" y="8966200"/>
          <a:ext cx="4826000" cy="279400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317499</xdr:colOff>
      <xdr:row>45</xdr:row>
      <xdr:rowOff>6350</xdr:rowOff>
    </xdr:from>
    <xdr:ext cx="4826000" cy="2794000"/>
    <xdr:graphicFrame macro="">
      <xdr:nvGraphicFramePr>
        <xdr:cNvPr id="22" name="Chart 22" title="圖表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 fLocksWithSheet="0"/>
  </xdr:oneCellAnchor>
  <xdr:oneCellAnchor>
    <xdr:from>
      <xdr:col>24</xdr:col>
      <xdr:colOff>565150</xdr:colOff>
      <xdr:row>30</xdr:row>
      <xdr:rowOff>12700</xdr:rowOff>
    </xdr:from>
    <xdr:ext cx="4826000" cy="2794000"/>
    <xdr:graphicFrame macro="">
      <xdr:nvGraphicFramePr>
        <xdr:cNvPr id="23" name="Chart 23" title="圖表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8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5945A6-089F-47C1-9262-DBAE5E3AB579}">
  <we:reference id="wa200009404" version="1.0.0.8" store="zh-TW" storeType="OMEX"/>
  <we:alternateReferences>
    <we:reference id="wa200009404" version="1.0.0.8" store="WA200009404" storeType="OMEX"/>
  </we:alternateReferences>
  <we:properties>
    <we:property name="claude.fileId" value="&quot;4de780fa-5b02-4c1b-8f23-6f7d4dc05a3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cmoney.tw/finance/f00032.aspx?s=2330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tsmc.com/" TargetMode="External"/><Relationship Id="rId1" Type="http://schemas.openxmlformats.org/officeDocument/2006/relationships/hyperlink" Target="https://www.google.com/search?q=&#21488;&#31309;&#38651;&amp;client=firefox-b-d&amp;sca_esv=dcb7b8806130e33c&amp;tbas=0&amp;tbm=nws&amp;sxsrf=ADLYWIJsZ5Y5_2HGQdJ_-50nFMBIDFpXeQ:1721360623952&amp;source=lnt&amp;tbs=sbd:1&amp;sa=X&amp;ved=2ahUKEwiWoZWEmLKHAxX5a_UHHSD7DBkQpwV6BAgCEBo&amp;biw=1920&amp;bih=927&amp;dpr=1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fubon-ebrokerdj.fbs.com.tw/z/zc/zcp/zcpa/zcpa_2330.djhtm" TargetMode="External"/><Relationship Id="rId4" Type="http://schemas.openxmlformats.org/officeDocument/2006/relationships/hyperlink" Target="https://goodinfo.tw/tw/ShowK_ChartFlow.asp?RPT_CAT=PER&amp;STOCK_ID=2330&amp;CHT_CAT=WEE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smc.com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aifex.com.tw/cht/3/futContractsDateAhExcel" TargetMode="External"/><Relationship Id="rId1" Type="http://schemas.openxmlformats.org/officeDocument/2006/relationships/hyperlink" Target="https://www.taifex.com.tw/cht/3/futContractsDateExcel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D542-DB80-4CF2-A164-1088477FCA61}">
  <sheetPr>
    <tabColor rgb="FF262626"/>
  </sheetPr>
  <dimension ref="B2:E22"/>
  <sheetViews>
    <sheetView showGridLines="0" workbookViewId="0">
      <selection activeCell="E22" sqref="E22"/>
    </sheetView>
  </sheetViews>
  <sheetFormatPr defaultRowHeight="12.5"/>
  <cols>
    <col min="1" max="1" width="3.6328125" customWidth="1"/>
    <col min="2" max="2" width="16.36328125" customWidth="1"/>
    <col min="3" max="3" width="20" customWidth="1"/>
    <col min="4" max="4" width="76.36328125" customWidth="1"/>
    <col min="5" max="5" width="27.26953125" customWidth="1"/>
  </cols>
  <sheetData>
    <row r="2" spans="2:5" ht="23">
      <c r="B2" s="259" t="s">
        <v>160</v>
      </c>
    </row>
    <row r="4" spans="2:5" ht="18" customHeight="1">
      <c r="B4" s="260" t="s">
        <v>161</v>
      </c>
    </row>
    <row r="5" spans="2:5" ht="14">
      <c r="B5" s="261" t="s">
        <v>162</v>
      </c>
    </row>
    <row r="6" spans="2:5" ht="14">
      <c r="B6" s="262" t="s">
        <v>163</v>
      </c>
    </row>
    <row r="8" spans="2:5" ht="13">
      <c r="B8" s="264" t="s">
        <v>164</v>
      </c>
      <c r="C8" s="264" t="s">
        <v>165</v>
      </c>
      <c r="D8" s="264" t="s">
        <v>166</v>
      </c>
      <c r="E8" s="264" t="s">
        <v>167</v>
      </c>
    </row>
    <row r="9" spans="2:5">
      <c r="B9" s="265" t="s">
        <v>168</v>
      </c>
      <c r="C9" s="265" t="s">
        <v>169</v>
      </c>
      <c r="D9" s="265" t="s">
        <v>170</v>
      </c>
      <c r="E9" s="265" t="s">
        <v>171</v>
      </c>
    </row>
    <row r="10" spans="2:5">
      <c r="B10" s="266" t="s">
        <v>172</v>
      </c>
      <c r="C10" s="266" t="s">
        <v>173</v>
      </c>
      <c r="D10" s="266" t="s">
        <v>174</v>
      </c>
      <c r="E10" s="266" t="s">
        <v>175</v>
      </c>
    </row>
    <row r="11" spans="2:5">
      <c r="B11" s="266" t="s">
        <v>172</v>
      </c>
      <c r="C11" s="266" t="s">
        <v>176</v>
      </c>
      <c r="D11" s="266" t="s">
        <v>177</v>
      </c>
      <c r="E11" s="266" t="s">
        <v>175</v>
      </c>
    </row>
    <row r="12" spans="2:5">
      <c r="B12" s="266" t="s">
        <v>172</v>
      </c>
      <c r="C12" s="266" t="s">
        <v>178</v>
      </c>
      <c r="D12" s="266" t="s">
        <v>179</v>
      </c>
      <c r="E12" s="266" t="s">
        <v>175</v>
      </c>
    </row>
    <row r="13" spans="2:5">
      <c r="B13" s="266" t="s">
        <v>172</v>
      </c>
      <c r="C13" s="266" t="s">
        <v>20</v>
      </c>
      <c r="D13" s="266" t="s">
        <v>180</v>
      </c>
      <c r="E13" s="266" t="s">
        <v>181</v>
      </c>
    </row>
    <row r="14" spans="2:5">
      <c r="B14" s="266" t="s">
        <v>172</v>
      </c>
      <c r="C14" s="266" t="s">
        <v>182</v>
      </c>
      <c r="D14" s="266" t="s">
        <v>183</v>
      </c>
      <c r="E14" s="266" t="s">
        <v>175</v>
      </c>
    </row>
    <row r="15" spans="2:5">
      <c r="B15" s="266" t="s">
        <v>172</v>
      </c>
      <c r="C15" s="266" t="s">
        <v>184</v>
      </c>
      <c r="D15" s="266" t="s">
        <v>185</v>
      </c>
      <c r="E15" s="266" t="s">
        <v>186</v>
      </c>
    </row>
    <row r="16" spans="2:5">
      <c r="B16" s="266" t="s">
        <v>172</v>
      </c>
      <c r="C16" s="266" t="s">
        <v>187</v>
      </c>
      <c r="D16" s="266" t="s">
        <v>188</v>
      </c>
      <c r="E16" s="266" t="s">
        <v>189</v>
      </c>
    </row>
    <row r="17" spans="2:5">
      <c r="B17" s="266" t="s">
        <v>190</v>
      </c>
      <c r="C17" s="266" t="s">
        <v>191</v>
      </c>
      <c r="D17" s="266" t="s">
        <v>192</v>
      </c>
      <c r="E17" s="266" t="s">
        <v>193</v>
      </c>
    </row>
    <row r="18" spans="2:5">
      <c r="B18" s="266" t="s">
        <v>190</v>
      </c>
      <c r="C18" s="266" t="s">
        <v>194</v>
      </c>
      <c r="D18" s="266" t="s">
        <v>195</v>
      </c>
      <c r="E18" s="266" t="s">
        <v>196</v>
      </c>
    </row>
    <row r="19" spans="2:5">
      <c r="B19" s="266" t="s">
        <v>197</v>
      </c>
      <c r="C19" s="266" t="s">
        <v>198</v>
      </c>
      <c r="D19" s="266" t="s">
        <v>199</v>
      </c>
      <c r="E19" s="266" t="s">
        <v>175</v>
      </c>
    </row>
    <row r="20" spans="2:5">
      <c r="B20" s="266" t="s">
        <v>197</v>
      </c>
      <c r="C20" s="266" t="s">
        <v>200</v>
      </c>
      <c r="D20" s="266" t="s">
        <v>201</v>
      </c>
      <c r="E20" s="266" t="s">
        <v>202</v>
      </c>
    </row>
    <row r="21" spans="2:5">
      <c r="B21" s="266" t="s">
        <v>203</v>
      </c>
      <c r="C21" s="266" t="s">
        <v>204</v>
      </c>
      <c r="D21" s="266" t="s">
        <v>205</v>
      </c>
      <c r="E21" s="266" t="s">
        <v>206</v>
      </c>
    </row>
    <row r="22" spans="2:5">
      <c r="B22" s="266" t="s">
        <v>203</v>
      </c>
      <c r="C22" s="266" t="s">
        <v>207</v>
      </c>
      <c r="D22" s="266" t="s">
        <v>208</v>
      </c>
      <c r="E22" s="266" t="s">
        <v>209</v>
      </c>
    </row>
  </sheetData>
  <phoneticPr fontId="4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outlinePr summaryBelow="0" summaryRight="0"/>
  </sheetPr>
  <dimension ref="A1:AC1542"/>
  <sheetViews>
    <sheetView showGridLines="0" tabSelected="1" workbookViewId="0"/>
  </sheetViews>
  <sheetFormatPr defaultColWidth="12.6328125" defaultRowHeight="15.75" customHeight="1"/>
  <cols>
    <col min="1" max="3" width="15.08984375" customWidth="1"/>
    <col min="4" max="4" width="17.6328125" bestFit="1" customWidth="1"/>
    <col min="5" max="5" width="19.453125" bestFit="1" customWidth="1"/>
    <col min="6" max="6" width="20" customWidth="1"/>
    <col min="7" max="13" width="15.08984375" customWidth="1"/>
    <col min="14" max="29" width="15" customWidth="1"/>
  </cols>
  <sheetData>
    <row r="1" spans="1:29" ht="15.75" customHeight="1">
      <c r="A1" s="64" t="str">
        <f ca="1">證券編碼查詢!E2</f>
        <v>上市</v>
      </c>
      <c r="B1" s="757" t="s">
        <v>77</v>
      </c>
      <c r="C1" s="759" t="str">
        <f ca="1">證券編碼查詢!D2</f>
        <v>台積電</v>
      </c>
      <c r="D1" s="65" t="s">
        <v>78</v>
      </c>
      <c r="E1" s="761">
        <v>2330</v>
      </c>
      <c r="F1" s="741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Z1" s="66"/>
      <c r="AA1" s="66"/>
      <c r="AB1" s="66"/>
      <c r="AC1" s="66"/>
    </row>
    <row r="2" spans="1:29" ht="15.75" customHeight="1">
      <c r="A2" s="67" t="s">
        <v>79</v>
      </c>
      <c r="B2" s="758"/>
      <c r="C2" s="760"/>
      <c r="D2" s="68">
        <f ca="1">股票資訊!B14</f>
        <v>2593.2399999999998</v>
      </c>
      <c r="E2" s="762"/>
      <c r="F2" s="753"/>
      <c r="G2" s="66"/>
      <c r="H2" s="66"/>
      <c r="I2" s="69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Z2" s="66"/>
      <c r="AA2" s="66"/>
      <c r="AB2" s="66"/>
      <c r="AC2" s="66"/>
    </row>
    <row r="3" spans="1:29" ht="15.75" customHeight="1">
      <c r="A3" s="763" t="str">
        <f ca="1">股票資訊!D6/100&amp;"億"</f>
        <v>621080.26億</v>
      </c>
      <c r="B3" s="764" t="s">
        <v>80</v>
      </c>
      <c r="C3" s="766">
        <f ca="1">股票資訊!H2</f>
        <v>2395</v>
      </c>
      <c r="D3" s="70" t="str">
        <f ca="1">IF(ISBLANK(C3)," ",IF(I25&lt;0,"衰退股",IF(I25&lt;0.8,"估總報酬PE昂貴",IF(I25&lt;1.2,"估總報酬PE合理",IF(I25&gt;1.2,"估總報酬PE便宜","估總報酬PE昂貴")))))</f>
        <v>估總報酬PE便宜</v>
      </c>
      <c r="E3" s="762"/>
      <c r="F3" s="753"/>
      <c r="G3" s="66"/>
      <c r="H3" s="71"/>
      <c r="I3" s="72"/>
      <c r="J3" s="73"/>
      <c r="K3" s="73"/>
      <c r="L3" s="73"/>
      <c r="M3" s="73"/>
      <c r="N3" s="73"/>
      <c r="O3" s="66"/>
      <c r="P3" s="66"/>
      <c r="Q3" s="66"/>
      <c r="R3" s="66"/>
      <c r="S3" s="66"/>
      <c r="T3" s="66"/>
      <c r="U3" s="66"/>
      <c r="V3" s="66"/>
      <c r="W3" s="66"/>
      <c r="Z3" s="66"/>
      <c r="AA3" s="66"/>
      <c r="AB3" s="66"/>
      <c r="AC3" s="66"/>
    </row>
    <row r="4" spans="1:29" ht="15.75" customHeight="1">
      <c r="A4" s="735"/>
      <c r="B4" s="765"/>
      <c r="C4" s="760"/>
      <c r="D4" s="74" t="str">
        <f ca="1">IF(ISBLANK(C3)," ",IF(H38&lt;0,"衰退股",IF(G38&gt;1.33,"PEG估值昂貴",IF(G38&gt;0.67,"PEG估值合理",IF(G38&gt;0,"PEG估值便宜","衰退股")))))</f>
        <v>PEG估值便宜</v>
      </c>
      <c r="E4" s="760"/>
      <c r="F4" s="758"/>
      <c r="G4" s="66"/>
      <c r="H4" s="75"/>
      <c r="I4" s="73"/>
      <c r="J4" s="73"/>
      <c r="K4" s="73"/>
      <c r="L4" s="73"/>
      <c r="M4" s="73"/>
      <c r="N4" s="73"/>
      <c r="O4" s="66"/>
      <c r="P4" s="66"/>
      <c r="Q4" s="66"/>
      <c r="R4" s="66"/>
      <c r="S4" s="66"/>
      <c r="T4" s="66"/>
      <c r="U4" s="66" t="s">
        <v>81</v>
      </c>
      <c r="V4" s="66"/>
      <c r="W4" s="66"/>
      <c r="Z4" s="66"/>
    </row>
    <row r="5" spans="1:29" ht="51">
      <c r="A5" s="76" t="str">
        <f ca="1">IF(ISBLANK(C3)," ",IF(E39&lt;&gt;"",IF(E39&gt;D39,"研發費佔營收季增","研發費佔營收季減"),""))</f>
        <v>研發費佔營收季減</v>
      </c>
      <c r="B5" s="77" t="str">
        <f ca="1">IF(ISBLANK(C3)," ",IF(J45&gt;G30,"估殖利率成長","估殖利率衰退"))</f>
        <v>估殖利率衰退</v>
      </c>
      <c r="C5" s="78" t="str">
        <f ca="1">IF(ISBLANK(C3)," ",IF(營業費用!E26&gt;營業費用!E27,"存貨週轉季增","存貨週轉季減"))</f>
        <v>存貨週轉季減</v>
      </c>
      <c r="D5" s="79" t="str">
        <f ca="1">IF(ISBLANK(C3)," ",IF('毛利率&amp;業外'!E4&gt;'毛利率&amp;業外'!E5,"毛利季增","毛利季減"))</f>
        <v>毛利季增</v>
      </c>
      <c r="E5" s="79" t="str">
        <f ca="1">IF(ISBLANK(C3)," ",IF(F45&gt;F35,"估本益比河流上升","估本益比河流下滑"))</f>
        <v>估本益比河流上升</v>
      </c>
      <c r="F5" s="80" t="str">
        <f ca="1">IF(ISBLANK(C3)," ",營收!V3)</f>
        <v>長短期營收擴大</v>
      </c>
      <c r="G5" s="66"/>
      <c r="H5" s="73"/>
      <c r="I5" s="73"/>
      <c r="J5" s="73"/>
      <c r="K5" s="73"/>
      <c r="L5" s="73"/>
      <c r="M5" s="73"/>
      <c r="N5" s="73"/>
      <c r="O5" s="66"/>
      <c r="P5" s="66"/>
      <c r="Q5" s="66"/>
      <c r="R5" s="66"/>
      <c r="S5" s="66"/>
      <c r="T5" s="66"/>
      <c r="U5" s="66"/>
      <c r="V5" s="66"/>
      <c r="W5" s="66"/>
      <c r="Z5" s="66"/>
    </row>
    <row r="6" spans="1:29" ht="51">
      <c r="A6" s="76" t="str">
        <f ca="1">IF(ISBLANK(C3)," ",IF(E39&lt;&gt;"",IF(E39&gt;B39,"研發費佔營收年增","研發費佔營收年減"),""))</f>
        <v>研發費佔營收年減</v>
      </c>
      <c r="B6" s="81" t="str">
        <f ca="1">IF(ISBLANK(C3)," ",IF(F45&gt;F35,"估盈餘成長","估盈餘衰退"))</f>
        <v>估盈餘成長</v>
      </c>
      <c r="C6" s="82" t="str">
        <f ca="1">IF(ISBLANK(C3)," ",IF(營業費用!E26&gt;營業費用!E29,"估存貨週轉年增","估存貨週轉年減"))</f>
        <v>估存貨週轉年減</v>
      </c>
      <c r="D6" s="83" t="str">
        <f ca="1">IF(ISBLANK(C3)," ",IF('毛利率&amp;業外'!E4&gt;'毛利率&amp;業外'!E7,"估毛利年增","估毛利年減"))</f>
        <v>估毛利年增</v>
      </c>
      <c r="E6" s="83" t="str">
        <f ca="1">IF(ISBLANK(C3)," ",IF(營收!H3&gt;0,"累積年增率&gt;0","累積年增率&lt;0"))</f>
        <v>累積年增率&gt;0</v>
      </c>
      <c r="F6" s="84" t="str">
        <f ca="1">IF(ISBLANK(C3)," ",營收!Q3)</f>
        <v>長短期YOY擴大</v>
      </c>
      <c r="G6" s="66"/>
      <c r="H6" s="73"/>
      <c r="I6" s="73"/>
      <c r="J6" s="73"/>
      <c r="K6" s="73"/>
      <c r="L6" s="73"/>
      <c r="M6" s="73"/>
      <c r="N6" s="73"/>
      <c r="O6" s="66"/>
      <c r="P6" s="66"/>
      <c r="Q6" s="66"/>
      <c r="R6" s="66"/>
      <c r="S6" s="66"/>
      <c r="T6" s="66"/>
      <c r="U6" s="66"/>
      <c r="V6" s="66"/>
      <c r="W6" s="66"/>
      <c r="Z6" s="66"/>
    </row>
    <row r="7" spans="1:29" ht="15.75" customHeight="1">
      <c r="A7" s="66" t="str">
        <f ca="1">籌碼!S52</f>
        <v>外資賣超1天</v>
      </c>
      <c r="B7" s="752" t="s">
        <v>82</v>
      </c>
      <c r="C7" s="751"/>
      <c r="D7" s="751"/>
      <c r="E7" s="751"/>
      <c r="F7" s="753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Z7" s="66"/>
    </row>
    <row r="8" spans="1:29" ht="15.75" customHeight="1">
      <c r="A8" s="85" t="str">
        <f ca="1">籌碼!S54</f>
        <v>投信賣超1天</v>
      </c>
      <c r="B8" s="754" t="s">
        <v>83</v>
      </c>
      <c r="C8" s="738"/>
      <c r="D8" s="755" t="s">
        <v>84</v>
      </c>
      <c r="E8" s="743"/>
      <c r="F8" s="744"/>
      <c r="G8" s="66"/>
      <c r="H8" s="66"/>
      <c r="I8" s="72"/>
      <c r="J8" s="66"/>
      <c r="K8" s="66"/>
      <c r="L8" s="8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Z8" s="66"/>
    </row>
    <row r="9" spans="1:29" ht="15.75" customHeight="1">
      <c r="A9" s="67" t="str">
        <f ca="1">IF(ISBLANK(C3)," ","券資比"&amp;IF(籌碼!AG8&gt;籌碼!AG9,"上升","下降"))</f>
        <v>券資比下降</v>
      </c>
      <c r="B9" s="756">
        <f ca="1">IF(ISBLANK(營收!B3),IF(B8="近1個月營收(積極)",營收!B91,IF(B8="近12個月營收",SUM(營收!B91:B102),SUM(營收!B91:B93)))/1000,IF(B8="近1個月營收(積極)",營收!B3,IF(B8="近12個月營收",SUM(營收!B3:B14),SUM(營收!B3:B5)))/1000)</f>
        <v>467580.54399999999</v>
      </c>
      <c r="C9" s="744"/>
      <c r="D9" s="748">
        <f ca="1">IF(B8="近1個月營收(積極)",B9*3,IF(B8="近12個月營收",ABS(B9/4),B9))</f>
        <v>1402741.632</v>
      </c>
      <c r="E9" s="743"/>
      <c r="F9" s="744"/>
      <c r="G9" s="66"/>
      <c r="H9" s="66"/>
      <c r="I9" s="72"/>
      <c r="J9" s="72"/>
      <c r="K9" s="72"/>
      <c r="L9" s="72"/>
      <c r="M9" s="72"/>
      <c r="N9" s="66"/>
      <c r="O9" s="66"/>
      <c r="P9" s="66"/>
      <c r="Q9" s="66"/>
      <c r="R9" s="66"/>
      <c r="S9" s="66"/>
      <c r="T9" s="66"/>
      <c r="U9" s="66"/>
      <c r="V9" s="66"/>
      <c r="W9" s="66"/>
    </row>
    <row r="10" spans="1:29" ht="15.75" customHeight="1">
      <c r="A10" s="87">
        <f ca="1">籌碼!AG8</f>
        <v>1.2999999999999999E-3</v>
      </c>
      <c r="B10" s="66"/>
      <c r="C10" s="66"/>
      <c r="D10" s="66"/>
      <c r="E10" s="66"/>
      <c r="F10" s="66"/>
      <c r="G10" s="66"/>
      <c r="H10" s="66"/>
      <c r="I10" s="72"/>
      <c r="J10" s="72"/>
      <c r="K10" s="72"/>
      <c r="L10" s="72"/>
      <c r="M10" s="72"/>
      <c r="N10" s="66"/>
      <c r="O10" s="66"/>
      <c r="P10" s="66"/>
      <c r="Q10" s="66"/>
      <c r="R10" s="66"/>
      <c r="S10" s="66"/>
      <c r="T10" s="66"/>
      <c r="U10" s="66"/>
      <c r="V10" s="66"/>
      <c r="W10" s="66"/>
      <c r="AA10" s="66"/>
      <c r="AB10" s="66"/>
      <c r="AC10" s="66"/>
    </row>
    <row r="11" spans="1:29" ht="18.5">
      <c r="A11" s="77" t="str">
        <f ca="1">籌碼!S55</f>
        <v>融資增加1天</v>
      </c>
      <c r="B11" s="746" t="s">
        <v>85</v>
      </c>
      <c r="C11" s="743"/>
      <c r="D11" s="743"/>
      <c r="E11" s="743"/>
      <c r="F11" s="744"/>
      <c r="G11" s="66"/>
      <c r="H11" s="66"/>
      <c r="I11" s="66"/>
      <c r="J11" s="66"/>
      <c r="K11" s="72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AA11" s="66"/>
      <c r="AB11" s="66"/>
      <c r="AC11" s="66"/>
    </row>
    <row r="12" spans="1:29" ht="15.5">
      <c r="A12" s="77" t="str">
        <f ca="1">籌碼!S56</f>
        <v>融券減少2天</v>
      </c>
      <c r="B12" s="88" t="s">
        <v>86</v>
      </c>
      <c r="C12" s="89" t="s">
        <v>87</v>
      </c>
      <c r="D12" s="747" t="s">
        <v>88</v>
      </c>
      <c r="E12" s="743"/>
      <c r="F12" s="744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AA12" s="66"/>
      <c r="AB12" s="66"/>
      <c r="AC12" s="66"/>
    </row>
    <row r="13" spans="1:29" ht="15.75" customHeight="1">
      <c r="A13" s="67" t="str">
        <f ca="1">IF(ISBLANK(C3)," ","融資使用率"&amp;IF(籌碼!AA8&gt;籌碼!AA9,"上升","下降"))</f>
        <v>融資使用率下降</v>
      </c>
      <c r="B13" s="91">
        <f ca="1">D9</f>
        <v>1402741.632</v>
      </c>
      <c r="C13" s="92">
        <f ca="1">IF(C12="近1季毛利率",IF('毛利率&amp;業外'!E4=0,'毛利率&amp;業外'!E5,'毛利率&amp;業外'!E4),IF('毛利率&amp;業外'!E4=0,AVERAGEIF('毛利率&amp;業外'!E5:E8,"&gt;0"),AVERAGEIF('毛利率&amp;業外'!E4:E7,"&gt;0")))</f>
        <v>0.67720000000000002</v>
      </c>
      <c r="D13" s="748">
        <f ca="1">B13*C13</f>
        <v>949936.63319039997</v>
      </c>
      <c r="E13" s="743"/>
      <c r="F13" s="744"/>
      <c r="G13" s="66"/>
      <c r="H13" s="66"/>
      <c r="I13" s="66"/>
      <c r="J13" s="66"/>
      <c r="K13" s="93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AA13" s="66"/>
      <c r="AB13" s="66"/>
      <c r="AC13" s="66"/>
    </row>
    <row r="14" spans="1:29" ht="15.75" customHeight="1">
      <c r="A14" s="87">
        <f ca="1">籌碼!AA8</f>
        <v>4.3E-3</v>
      </c>
      <c r="B14" s="66"/>
      <c r="C14" s="66"/>
      <c r="D14" s="66"/>
      <c r="E14" s="66"/>
      <c r="F14" s="66"/>
      <c r="G14" s="66"/>
      <c r="H14" s="66"/>
      <c r="I14" s="66"/>
      <c r="J14" s="66"/>
      <c r="K14" s="94"/>
      <c r="L14" s="66"/>
      <c r="M14" s="66"/>
      <c r="N14" s="66"/>
      <c r="O14" s="66"/>
      <c r="P14" s="72"/>
      <c r="Q14" s="66"/>
      <c r="R14" s="66"/>
      <c r="S14" s="66"/>
      <c r="T14" s="66"/>
      <c r="U14" s="66"/>
      <c r="V14" s="66"/>
      <c r="W14" s="66"/>
      <c r="AA14" s="66"/>
      <c r="AB14" s="66"/>
      <c r="AC14" s="66"/>
    </row>
    <row r="15" spans="1:29" ht="15.75" customHeight="1">
      <c r="A15" s="67" t="s">
        <v>89</v>
      </c>
      <c r="B15" s="739" t="s">
        <v>90</v>
      </c>
      <c r="C15" s="740"/>
      <c r="D15" s="740"/>
      <c r="E15" s="740"/>
      <c r="F15" s="741"/>
      <c r="G15" s="66"/>
      <c r="H15" s="66"/>
      <c r="I15" s="66"/>
      <c r="J15" s="72"/>
      <c r="K15" s="66"/>
      <c r="L15" s="72"/>
      <c r="M15" s="66"/>
      <c r="N15" s="66"/>
      <c r="O15" s="66"/>
      <c r="P15" s="72"/>
      <c r="Q15" s="66"/>
      <c r="R15" s="66"/>
      <c r="S15" s="66"/>
      <c r="T15" s="66"/>
      <c r="V15" s="66"/>
      <c r="W15" s="66"/>
      <c r="X15" s="66"/>
      <c r="Y15" s="66"/>
      <c r="Z15" s="66"/>
      <c r="AA15" s="66"/>
      <c r="AB15" s="66"/>
      <c r="AC15" s="66"/>
    </row>
    <row r="16" spans="1:29" ht="15.75" customHeight="1">
      <c r="A16" s="87">
        <f ca="1">籌碼!R8</f>
        <v>3.6636761676497973E-2</v>
      </c>
      <c r="B16" s="88" t="s">
        <v>88</v>
      </c>
      <c r="C16" s="95" t="s">
        <v>91</v>
      </c>
      <c r="D16" s="742" t="s">
        <v>92</v>
      </c>
      <c r="E16" s="743"/>
      <c r="F16" s="744"/>
      <c r="G16" s="66"/>
      <c r="H16" s="66"/>
      <c r="I16" s="66"/>
      <c r="J16" s="72"/>
      <c r="K16" s="66"/>
      <c r="L16" s="96"/>
      <c r="M16" s="66"/>
      <c r="N16" s="66"/>
      <c r="O16" s="66"/>
      <c r="P16" s="72"/>
      <c r="Q16" s="66"/>
      <c r="R16" s="66"/>
      <c r="S16" s="66"/>
      <c r="T16" s="66"/>
      <c r="V16" s="66"/>
      <c r="W16" s="66"/>
      <c r="X16" s="66"/>
      <c r="Y16" s="66"/>
      <c r="Z16" s="66"/>
      <c r="AA16" s="66"/>
      <c r="AB16" s="66"/>
      <c r="AC16" s="66"/>
    </row>
    <row r="17" spans="1:29" ht="15.75" customHeight="1">
      <c r="A17" s="66" t="str">
        <f ca="1">IF(ISBLANK(C1)," ",股票資訊!H29)</f>
        <v>10檔ETF持股</v>
      </c>
      <c r="B17" s="91">
        <f ca="1">D13</f>
        <v>949936.63319039997</v>
      </c>
      <c r="C17" s="97">
        <f ca="1">IF(C16="近1季營業費",營業費用!F7,營業費用!H7)</f>
        <v>92236</v>
      </c>
      <c r="D17" s="745">
        <f ca="1">B17-C17</f>
        <v>857700.63319039997</v>
      </c>
      <c r="E17" s="743"/>
      <c r="F17" s="744"/>
      <c r="G17" s="66"/>
      <c r="H17" s="66"/>
      <c r="I17" s="69"/>
      <c r="J17" s="69"/>
      <c r="K17" s="66"/>
      <c r="L17" s="96"/>
      <c r="M17" s="66"/>
      <c r="N17" s="66"/>
      <c r="O17" s="66"/>
      <c r="P17" s="66"/>
      <c r="Q17" s="66"/>
      <c r="R17" s="66"/>
      <c r="S17" s="66"/>
      <c r="T17" s="66"/>
      <c r="V17" s="66"/>
      <c r="W17" s="66"/>
      <c r="X17" s="66"/>
      <c r="AA17" s="66"/>
      <c r="AB17" s="66"/>
      <c r="AC17" s="66"/>
    </row>
    <row r="18" spans="1:29" ht="15.75" customHeight="1">
      <c r="A18" s="67" t="s">
        <v>93</v>
      </c>
      <c r="B18" s="66"/>
      <c r="C18" s="66"/>
      <c r="D18" s="66"/>
      <c r="E18" s="66"/>
      <c r="F18" s="66"/>
      <c r="G18" s="66"/>
      <c r="H18" s="69"/>
      <c r="I18" s="69"/>
      <c r="J18" s="69"/>
      <c r="K18" s="69"/>
      <c r="L18" s="69"/>
      <c r="M18" s="66"/>
      <c r="N18" s="66"/>
      <c r="O18" s="66"/>
      <c r="P18" s="66"/>
      <c r="Q18" s="66"/>
      <c r="R18" s="66"/>
      <c r="S18" s="66"/>
      <c r="T18" s="66"/>
      <c r="V18" s="66"/>
      <c r="W18" s="66"/>
      <c r="X18" s="66"/>
      <c r="Y18" s="66"/>
      <c r="Z18" s="66"/>
      <c r="AA18" s="66"/>
      <c r="AB18" s="66"/>
      <c r="AC18" s="66"/>
    </row>
    <row r="19" spans="1:29" ht="15.75" customHeight="1">
      <c r="A19" s="98">
        <f ca="1">J43/C3</f>
        <v>1.424522294717683E-2</v>
      </c>
      <c r="B19" s="746" t="s">
        <v>94</v>
      </c>
      <c r="C19" s="743"/>
      <c r="D19" s="743"/>
      <c r="E19" s="743"/>
      <c r="F19" s="744"/>
      <c r="G19" s="66"/>
      <c r="H19" s="69"/>
      <c r="I19" s="69"/>
      <c r="J19" s="69"/>
      <c r="K19" s="69"/>
      <c r="L19" s="69"/>
      <c r="M19" s="69"/>
      <c r="N19" s="66"/>
      <c r="O19" s="66"/>
      <c r="P19" s="66"/>
      <c r="Q19" s="66"/>
      <c r="R19" s="66"/>
      <c r="S19" s="66"/>
      <c r="T19" s="66"/>
      <c r="V19" s="66"/>
      <c r="W19" s="66"/>
      <c r="X19" s="66"/>
      <c r="Y19" s="66"/>
      <c r="Z19" s="66"/>
      <c r="AA19" s="66"/>
      <c r="AB19" s="66"/>
      <c r="AC19" s="66"/>
    </row>
    <row r="20" spans="1:29" ht="15.75" customHeight="1">
      <c r="B20" s="88" t="s">
        <v>92</v>
      </c>
      <c r="C20" s="95" t="s">
        <v>95</v>
      </c>
      <c r="D20" s="747" t="s">
        <v>96</v>
      </c>
      <c r="E20" s="744"/>
      <c r="F20" s="99" t="s">
        <v>97</v>
      </c>
      <c r="G20" s="66"/>
      <c r="H20" s="69"/>
      <c r="I20" s="69"/>
      <c r="J20" s="69"/>
      <c r="K20" s="69"/>
      <c r="L20" s="69"/>
      <c r="M20" s="69"/>
      <c r="N20" s="66"/>
      <c r="O20" s="66"/>
      <c r="P20" s="66"/>
      <c r="Q20" s="66"/>
      <c r="R20" s="66"/>
      <c r="S20" s="66"/>
      <c r="T20" s="66"/>
      <c r="V20" s="66"/>
      <c r="W20" s="66"/>
      <c r="X20" s="66"/>
      <c r="Y20" s="66"/>
      <c r="Z20" s="66"/>
      <c r="AA20" s="66"/>
      <c r="AB20" s="66"/>
      <c r="AC20" s="66"/>
    </row>
    <row r="21" spans="1:29" ht="15.75" customHeight="1">
      <c r="A21" s="67" t="s">
        <v>98</v>
      </c>
      <c r="B21" s="100">
        <f ca="1">D17</f>
        <v>857700.63319039997</v>
      </c>
      <c r="C21" s="101">
        <f ca="1">IF(C20="業外收支(季均)", IFERROR(AVERAGE('毛利率&amp;業外'!H4:H7),0),0)</f>
        <v>44201.5</v>
      </c>
      <c r="D21" s="748">
        <f ca="1">B21+C21</f>
        <v>901902.13319039997</v>
      </c>
      <c r="E21" s="744"/>
      <c r="F21" s="102">
        <f ca="1">IF(F20="預估稅後淨利(季均)",D21*營業費用!H13,D21*營業費用!E13)</f>
        <v>758821.16040207725</v>
      </c>
      <c r="G21" s="66"/>
      <c r="H21" s="66"/>
      <c r="I21" s="66"/>
      <c r="J21" s="103"/>
      <c r="K21" s="72"/>
      <c r="L21" s="66"/>
      <c r="M21" s="66"/>
      <c r="N21" s="66"/>
      <c r="O21" s="66"/>
      <c r="P21" s="66"/>
      <c r="Q21" s="66"/>
      <c r="R21" s="66"/>
      <c r="S21" s="66"/>
      <c r="T21" s="66"/>
      <c r="V21" s="66"/>
      <c r="W21" s="66"/>
      <c r="X21" s="66"/>
      <c r="Y21" s="66"/>
      <c r="Z21" s="66"/>
      <c r="AA21" s="66"/>
      <c r="AB21" s="66"/>
      <c r="AC21" s="66"/>
    </row>
    <row r="22" spans="1:29" ht="15.75" customHeight="1">
      <c r="A22" s="104">
        <f ca="1">股票資訊!H8</f>
        <v>1.1000000000000001</v>
      </c>
      <c r="B22" s="66"/>
      <c r="C22" s="105">
        <f ca="1">C21/D21</f>
        <v>4.9009197753686486E-2</v>
      </c>
      <c r="D22" s="66"/>
      <c r="E22" s="66"/>
      <c r="F22" s="105">
        <f ca="1">IF(F20="預估稅後淨利(季均)",營業費用!H13,營業費用!E13)</f>
        <v>0.84135643156515627</v>
      </c>
      <c r="G22" s="66"/>
      <c r="H22" s="72"/>
      <c r="I22" s="69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V22" s="66"/>
      <c r="W22" s="66"/>
      <c r="X22" s="66"/>
      <c r="Y22" s="66"/>
      <c r="Z22" s="66"/>
      <c r="AA22" s="66"/>
      <c r="AB22" s="66"/>
      <c r="AC22" s="66"/>
    </row>
    <row r="23" spans="1:29" ht="15.75" customHeight="1">
      <c r="B23" s="739" t="s">
        <v>99</v>
      </c>
      <c r="C23" s="740"/>
      <c r="D23" s="740"/>
      <c r="E23" s="740"/>
      <c r="F23" s="741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V23" s="66"/>
      <c r="W23" s="66"/>
      <c r="X23" s="66"/>
      <c r="Y23" s="66"/>
      <c r="Z23" s="66"/>
      <c r="AA23" s="66"/>
      <c r="AB23" s="66"/>
      <c r="AC23" s="66"/>
    </row>
    <row r="24" spans="1:29" ht="15.75" customHeight="1">
      <c r="A24" s="78" t="s">
        <v>100</v>
      </c>
      <c r="B24" s="106" t="s">
        <v>101</v>
      </c>
      <c r="C24" s="107" t="s">
        <v>102</v>
      </c>
      <c r="D24" s="108" t="s">
        <v>103</v>
      </c>
      <c r="E24" s="109" t="s">
        <v>104</v>
      </c>
      <c r="F24" s="88" t="s">
        <v>105</v>
      </c>
      <c r="G24" s="66" t="str">
        <f t="shared" ref="G24:G25" si="0">H37</f>
        <v>預估盈餘成長率</v>
      </c>
      <c r="H24" s="66" t="s">
        <v>106</v>
      </c>
      <c r="I24" s="66" t="s">
        <v>107</v>
      </c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</row>
    <row r="25" spans="1:29" ht="15.75" customHeight="1">
      <c r="A25" s="110">
        <f ca="1">股票資訊!H9</f>
        <v>2.0799999999999999E-2</v>
      </c>
      <c r="B25" s="111">
        <f ca="1">營業費用!F10</f>
        <v>706561.9</v>
      </c>
      <c r="C25" s="112">
        <f ca="1">F21-營業費用!H11</f>
        <v>758905.16040207725</v>
      </c>
      <c r="D25" s="113">
        <f ca="1">E35</f>
        <v>27.25</v>
      </c>
      <c r="E25" s="114">
        <f ca="1">IF(ISBLANK(C3)," ",IF(E24="預估季EPS",C25*D25/B25,(C25*D25/B25)/(1-IF(C1="","",VLOOKUP(C1,減資一覽表!B:E,4,FALSE)))))</f>
        <v>29.268724539147389</v>
      </c>
      <c r="F25" s="105">
        <f ca="1">IF(D25&lt;0,1-(E25/D25),(E25-D45)/D45)</f>
        <v>7.4081634464124357E-2</v>
      </c>
      <c r="G25" s="115">
        <f t="shared" ca="1" si="0"/>
        <v>0.35691815202352295</v>
      </c>
      <c r="H25" s="115">
        <f ca="1">IF(H37="預估盈餘成長率",IF(E45&lt;0,0,E45*4*H29/C3),J45)</f>
        <v>1.699907968014782E-2</v>
      </c>
      <c r="I25" s="116">
        <f ca="1">IF(H37="預估盈餘成長率",IF(G47=0,0,(G25+H25)/G47*100),IF(G45=0,0,(G25+H25)/G45*100))</f>
        <v>1.8278213703841817</v>
      </c>
      <c r="K25" s="117"/>
      <c r="L25" s="118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 spans="1:29" ht="23.5">
      <c r="A26" s="119" t="str">
        <f>W56</f>
        <v>平均殖利率</v>
      </c>
      <c r="B26" s="295" t="s">
        <v>261</v>
      </c>
      <c r="C26" s="66">
        <f ca="1">營業費用!K11</f>
        <v>-84</v>
      </c>
      <c r="D26" s="120"/>
      <c r="E26" s="120"/>
      <c r="F26" s="66"/>
      <c r="G26" s="66"/>
      <c r="H26" s="121" t="s">
        <v>108</v>
      </c>
      <c r="I26" s="749" t="str">
        <f ca="1">IF(ISBLANK(證券編碼查詢!C41),證券編碼查詢!B41,證券編碼查詢!C41)</f>
        <v>115/09/10 ~ 115/09/15</v>
      </c>
      <c r="J26" s="738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 spans="1:29" ht="15.5">
      <c r="A27" s="122">
        <f ca="1">V56</f>
        <v>1.120810207901639E-2</v>
      </c>
      <c r="B27" s="65" t="str">
        <f>'股息&amp;現金流'!A1</f>
        <v>年度</v>
      </c>
      <c r="C27" s="123">
        <f ca="1">'股息&amp;現金流'!B1</f>
        <v>2022</v>
      </c>
      <c r="D27" s="123">
        <f ca="1">'股息&amp;現金流'!C1</f>
        <v>2023</v>
      </c>
      <c r="E27" s="123">
        <f ca="1">'股息&amp;現金流'!D1</f>
        <v>2024</v>
      </c>
      <c r="F27" s="124">
        <f ca="1">'股息&amp;現金流'!E1</f>
        <v>2025</v>
      </c>
      <c r="G27" s="90">
        <f ca="1">'股息&amp;現金流'!F1</f>
        <v>2026</v>
      </c>
      <c r="H27" s="125" t="str">
        <f ca="1">G27+1&amp;"預估"</f>
        <v>2027預估</v>
      </c>
      <c r="I27" s="126"/>
      <c r="K27" s="127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Z27" s="66"/>
      <c r="AA27" s="66"/>
      <c r="AB27" s="66"/>
      <c r="AC27" s="66"/>
    </row>
    <row r="28" spans="1:29" ht="15.75" customHeight="1">
      <c r="A28" s="128" t="s">
        <v>109</v>
      </c>
      <c r="B28" s="70" t="str">
        <f>'股息&amp;現金流'!A2</f>
        <v>現金股利</v>
      </c>
      <c r="C28" s="129">
        <f ca="1">'股息&amp;現金流'!B2</f>
        <v>10.974</v>
      </c>
      <c r="D28" s="129">
        <f ca="1">'股息&amp;現金流'!C2</f>
        <v>12.998699999999999</v>
      </c>
      <c r="E28" s="129">
        <f ca="1">'股息&amp;現金流'!D2</f>
        <v>17.04</v>
      </c>
      <c r="F28" s="129">
        <f ca="1">'股息&amp;現金流'!E2</f>
        <v>22.099</v>
      </c>
      <c r="G28" s="70" t="str">
        <f ca="1">'股息&amp;現金流'!F2</f>
        <v>-</v>
      </c>
      <c r="H28" s="130">
        <f ca="1">J43</f>
        <v>34.117308958488508</v>
      </c>
      <c r="I28" s="131" t="s">
        <v>110</v>
      </c>
      <c r="O28" s="132"/>
      <c r="P28" s="132"/>
      <c r="T28" s="66"/>
      <c r="V28" s="66"/>
      <c r="W28" s="66"/>
      <c r="Y28" s="66"/>
      <c r="Z28" s="66"/>
      <c r="AA28" s="66"/>
      <c r="AB28" s="66"/>
      <c r="AC28" s="66"/>
    </row>
    <row r="29" spans="1:29" ht="15.75" customHeight="1">
      <c r="A29" s="133">
        <f ca="1">IF(A28="平均配息率",IF(G29="無",AVERAGEIF(C29:F29,"&gt;=0")/100,AVERAGEIF(C29:G29,"&gt;=0")/100),IF(G29="無",F29/100,G29/100))</f>
        <v>0.34775000000000006</v>
      </c>
      <c r="B29" s="134" t="str">
        <f>'股息&amp;現金流'!A3</f>
        <v>現金股利發放率</v>
      </c>
      <c r="C29" s="85">
        <f ca="1">'股息&amp;現金流'!B3</f>
        <v>28.1</v>
      </c>
      <c r="D29" s="85">
        <f ca="1">'股息&amp;現金流'!C3</f>
        <v>40.200000000000003</v>
      </c>
      <c r="E29" s="85">
        <f ca="1">'股息&amp;現金流'!D3</f>
        <v>37.6</v>
      </c>
      <c r="F29" s="135">
        <f ca="1">'股息&amp;現金流'!E3</f>
        <v>33.200000000000003</v>
      </c>
      <c r="G29" s="123" t="str">
        <f ca="1">'股息&amp;現金流'!F3</f>
        <v>-</v>
      </c>
      <c r="H29" s="136">
        <f ca="1">A29</f>
        <v>0.34775000000000006</v>
      </c>
      <c r="I29" s="137" t="s">
        <v>111</v>
      </c>
      <c r="O29" s="132"/>
      <c r="P29" s="132"/>
      <c r="T29" s="66"/>
      <c r="U29" s="66"/>
      <c r="V29" s="66"/>
      <c r="W29" s="66"/>
      <c r="X29" s="66"/>
      <c r="Y29" s="66"/>
    </row>
    <row r="30" spans="1:29" ht="15.75" customHeight="1">
      <c r="A30" s="66"/>
      <c r="B30" s="66"/>
      <c r="C30" s="115">
        <f ca="1">'股息&amp;現金流'!B4</f>
        <v>1.8600000000000002E-2</v>
      </c>
      <c r="D30" s="115">
        <f ca="1">'股息&amp;現金流'!C4</f>
        <v>1.43E-2</v>
      </c>
      <c r="E30" s="115">
        <f ca="1">'股息&amp;現金流'!D4</f>
        <v>1.6E-2</v>
      </c>
      <c r="F30" s="115">
        <f ca="1">'股息&amp;現金流'!E4</f>
        <v>9.7999999999999997E-3</v>
      </c>
      <c r="G30" s="115" t="str">
        <f ca="1">'股息&amp;現金流'!F4</f>
        <v>-</v>
      </c>
      <c r="H30" s="138">
        <f ca="1">J45</f>
        <v>1.424522294717683E-2</v>
      </c>
      <c r="I30" s="139" t="s">
        <v>93</v>
      </c>
      <c r="O30" s="132"/>
      <c r="P30" s="132"/>
      <c r="T30" s="66"/>
      <c r="V30" s="66"/>
      <c r="W30" s="66"/>
      <c r="X30" s="66"/>
    </row>
    <row r="31" spans="1:29" ht="15.75" customHeight="1">
      <c r="A31" s="750" t="str">
        <f ca="1">股票資訊!B21</f>
        <v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
(2025年)</v>
      </c>
      <c r="B31" s="751"/>
      <c r="C31" s="751"/>
      <c r="D31" s="751"/>
      <c r="E31" s="751"/>
      <c r="F31" s="751"/>
      <c r="G31" s="126"/>
      <c r="H31" s="126"/>
      <c r="I31" s="126"/>
      <c r="J31" s="126"/>
      <c r="O31" s="132"/>
      <c r="P31" s="132"/>
      <c r="T31" s="66"/>
      <c r="U31" s="66"/>
      <c r="V31" s="66"/>
      <c r="W31" s="66"/>
      <c r="X31" s="66"/>
      <c r="Y31" s="66"/>
    </row>
    <row r="32" spans="1:29" ht="15.5">
      <c r="A32" s="751"/>
      <c r="B32" s="751"/>
      <c r="C32" s="751"/>
      <c r="D32" s="751"/>
      <c r="E32" s="751"/>
      <c r="F32" s="751"/>
      <c r="G32" s="66"/>
      <c r="H32" s="126"/>
      <c r="I32" s="140"/>
      <c r="J32" s="80" t="s">
        <v>112</v>
      </c>
      <c r="K32" s="120"/>
      <c r="L32" s="120"/>
      <c r="M32" s="120"/>
      <c r="N32" s="120"/>
      <c r="O32" s="77"/>
      <c r="T32" s="66"/>
      <c r="W32" s="66"/>
      <c r="X32" s="66"/>
      <c r="Y32" s="66"/>
    </row>
    <row r="33" spans="1:29" ht="15.5">
      <c r="A33" s="751"/>
      <c r="B33" s="751"/>
      <c r="C33" s="751"/>
      <c r="D33" s="751"/>
      <c r="E33" s="751"/>
      <c r="F33" s="751"/>
      <c r="G33" s="141"/>
      <c r="H33" s="126"/>
      <c r="I33" s="142"/>
      <c r="J33" s="143">
        <f ca="1">IF(F35&lt;0,0,F35*A29)</f>
        <v>30.003870000000006</v>
      </c>
      <c r="K33" s="120"/>
      <c r="L33" s="120"/>
      <c r="M33" s="120"/>
      <c r="N33" s="120"/>
      <c r="O33" s="77"/>
      <c r="T33" s="66"/>
      <c r="W33" s="66"/>
      <c r="X33" s="66"/>
      <c r="Y33" s="66"/>
    </row>
    <row r="34" spans="1:29" ht="15.5">
      <c r="A34" s="734" t="s">
        <v>113</v>
      </c>
      <c r="B34" s="67" t="str">
        <f ca="1">'每股盈餘(EPS)'!A6</f>
        <v>114.3Q</v>
      </c>
      <c r="C34" s="144" t="str">
        <f ca="1">'每股盈餘(EPS)'!A5</f>
        <v>114.4Q</v>
      </c>
      <c r="D34" s="145" t="str">
        <f ca="1">'每股盈餘(EPS)'!A4</f>
        <v>115.1Q</v>
      </c>
      <c r="E34" s="145" t="str">
        <f ca="1">'每股盈餘(EPS)'!A3</f>
        <v>115.2Q</v>
      </c>
      <c r="F34" s="67" t="s">
        <v>38</v>
      </c>
      <c r="G34" s="146" t="s">
        <v>44</v>
      </c>
      <c r="H34" s="79" t="s">
        <v>80</v>
      </c>
      <c r="I34" s="66" t="s">
        <v>114</v>
      </c>
      <c r="J34" s="140" t="s">
        <v>115</v>
      </c>
      <c r="K34" s="66"/>
      <c r="L34" s="120"/>
      <c r="M34" s="120"/>
      <c r="N34" s="120"/>
      <c r="O34" s="77"/>
      <c r="T34" s="66"/>
      <c r="W34" s="8"/>
      <c r="X34" s="66"/>
      <c r="Y34" s="66"/>
    </row>
    <row r="35" spans="1:29" ht="15.5">
      <c r="A35" s="735"/>
      <c r="B35" s="147">
        <f ca="1">'每股盈餘(EPS)'!H6</f>
        <v>17.440000000000001</v>
      </c>
      <c r="C35" s="85">
        <f ca="1">'每股盈餘(EPS)'!H5</f>
        <v>19.510000000000002</v>
      </c>
      <c r="D35" s="85">
        <f ca="1">'每股盈餘(EPS)'!H4</f>
        <v>22.08</v>
      </c>
      <c r="E35" s="66">
        <f ca="1">'每股盈餘(EPS)'!H3</f>
        <v>27.25</v>
      </c>
      <c r="F35" s="148">
        <f ca="1">IF(B35+C35+D35+E35=0,"",B35+C35+D35+E35)</f>
        <v>86.28</v>
      </c>
      <c r="G35" s="149">
        <f ca="1">IF(F35&lt;0,0,C3/F35)</f>
        <v>27.758460825220212</v>
      </c>
      <c r="H35" s="149">
        <f ca="1">C3</f>
        <v>2395</v>
      </c>
      <c r="I35" s="150">
        <f ca="1">(H35-C3)/C3</f>
        <v>0</v>
      </c>
      <c r="J35" s="142">
        <f ca="1">J33/C3</f>
        <v>1.2527711899791235E-2</v>
      </c>
      <c r="K35" s="66"/>
      <c r="L35" s="120"/>
      <c r="M35" s="120"/>
      <c r="N35" s="120"/>
      <c r="O35" s="77"/>
      <c r="T35" s="66"/>
      <c r="U35" s="8"/>
      <c r="V35" s="8"/>
      <c r="W35" s="8"/>
      <c r="X35" s="66"/>
      <c r="Y35" s="66"/>
    </row>
    <row r="36" spans="1:29" ht="15.5">
      <c r="A36" s="66" t="s">
        <v>13</v>
      </c>
      <c r="B36" s="151">
        <f ca="1">'毛利率&amp;業外'!L7</f>
        <v>4.6984119732987668E-2</v>
      </c>
      <c r="C36" s="126"/>
      <c r="D36" s="126"/>
      <c r="E36" s="123"/>
      <c r="F36" s="152"/>
      <c r="G36" s="66"/>
      <c r="H36" s="66"/>
      <c r="I36" s="66"/>
      <c r="J36" s="141"/>
      <c r="K36" s="66"/>
      <c r="L36" s="120"/>
      <c r="M36" s="120"/>
      <c r="N36" s="120"/>
      <c r="O36" s="77"/>
      <c r="T36" s="66"/>
      <c r="U36" s="8"/>
      <c r="V36" s="8"/>
      <c r="W36" s="8"/>
      <c r="X36" s="66"/>
      <c r="Y36" s="66"/>
    </row>
    <row r="37" spans="1:29" ht="15.5">
      <c r="A37" s="66" t="s">
        <v>33</v>
      </c>
      <c r="B37" s="151">
        <f ca="1">營業費用!B13</f>
        <v>0.85988199193845505</v>
      </c>
      <c r="C37" s="126"/>
      <c r="D37" s="153"/>
      <c r="E37" s="154" t="str">
        <f>IF(D37="","",(D37/F45)-1)</f>
        <v/>
      </c>
      <c r="G37" s="155" t="s">
        <v>116</v>
      </c>
      <c r="H37" s="156" t="s">
        <v>117</v>
      </c>
      <c r="I37" s="141"/>
      <c r="J37" s="157" t="str">
        <f>IF(H37="近1年盈餘成長率","預估盈餘成長率","近1年盈餘成長率")</f>
        <v>近1年盈餘成長率</v>
      </c>
      <c r="K37" s="66"/>
      <c r="L37" s="120"/>
      <c r="M37" s="120"/>
      <c r="N37" s="120"/>
      <c r="O37" s="77"/>
      <c r="V37" s="8"/>
      <c r="W37" s="8"/>
      <c r="X37" s="66"/>
      <c r="AB37" s="66"/>
      <c r="AC37" s="66"/>
    </row>
    <row r="38" spans="1:29" ht="15.5">
      <c r="A38" s="66" t="s">
        <v>118</v>
      </c>
      <c r="B38" s="158">
        <f ca="1">'毛利率&amp;業外'!E7</f>
        <v>0.59450000000000003</v>
      </c>
      <c r="C38" s="126"/>
      <c r="F38" s="115"/>
      <c r="G38" s="159">
        <f ca="1">IF(H37="預估盈餘成長率",G47/H38/100,G45/H38/100)</f>
        <v>0.57315633026820367</v>
      </c>
      <c r="H38" s="160">
        <f ca="1">IF(D37&gt;0,E37,IF(H37="近1年盈餘成長率",'每股盈餘(EPS)'!P3,IF(H37="近3年盈餘成長率",'每股盈餘(EPS)'!Q3,IF(H37="近4年盈餘成長率",'每股盈餘(EPS)'!R3,IF(F35&lt;0,1-(E45*4/F35),(E45*4/F35)-1)))))</f>
        <v>0.35691815202352295</v>
      </c>
      <c r="I38" s="126"/>
      <c r="J38" s="161">
        <f ca="1">IF(H37="近1年盈餘成長率",(E45*4-F35)/F35,'每股盈餘(EPS)'!P3)</f>
        <v>0.60308373429979389</v>
      </c>
      <c r="K38" s="66"/>
      <c r="L38" s="120"/>
      <c r="M38" s="120"/>
      <c r="N38" s="120"/>
      <c r="O38" s="77"/>
      <c r="W38" s="8"/>
      <c r="X38" s="66"/>
      <c r="AB38" s="66"/>
      <c r="AC38" s="66"/>
    </row>
    <row r="39" spans="1:29" ht="15.5">
      <c r="A39" s="162" t="str">
        <f>營業費用!A17</f>
        <v>研發費用/營收</v>
      </c>
      <c r="B39" s="163">
        <f ca="1">營業費用!B17</f>
        <v>6.4391418807950573E-2</v>
      </c>
      <c r="C39" s="164">
        <f ca="1">營業費用!C17</f>
        <v>6.2000192046496143E-2</v>
      </c>
      <c r="D39" s="164">
        <f ca="1">營業費用!D17</f>
        <v>5.974471340991612E-2</v>
      </c>
      <c r="E39" s="165">
        <f ca="1">營業費用!E17</f>
        <v>5.757814481136652E-2</v>
      </c>
      <c r="F39" s="115"/>
      <c r="G39" s="126"/>
      <c r="H39" s="126"/>
      <c r="I39" s="126"/>
      <c r="J39" s="126"/>
      <c r="K39" s="66"/>
      <c r="L39" s="120"/>
      <c r="M39" s="120"/>
      <c r="N39" s="120"/>
      <c r="O39" s="77"/>
      <c r="W39" s="8"/>
      <c r="X39" s="66"/>
      <c r="AB39" s="66"/>
      <c r="AC39" s="66"/>
    </row>
    <row r="40" spans="1:29" ht="16.5">
      <c r="A40" s="166"/>
      <c r="B40" s="126"/>
      <c r="C40" s="126"/>
      <c r="D40" s="126"/>
      <c r="E40" s="126"/>
      <c r="F40" s="126"/>
      <c r="G40" s="167" t="str">
        <f ca="1">"營收發布剩"&amp;股票資訊!L8&amp;"天"</f>
        <v>營收發布剩19天</v>
      </c>
      <c r="H40" s="168" t="str">
        <f ca="1">"財報發布剩"&amp;股票資訊!L7&amp;"天"</f>
        <v>財報發布剩65天</v>
      </c>
      <c r="I40" s="169" t="s">
        <v>119</v>
      </c>
      <c r="J40" s="170" t="str">
        <f>證券編碼查詢!C37</f>
        <v>115/09/16</v>
      </c>
      <c r="K40" s="66"/>
      <c r="L40" s="120"/>
      <c r="M40" s="120"/>
      <c r="N40" s="120"/>
      <c r="O40" s="77"/>
      <c r="W40" s="8"/>
      <c r="AB40" s="66"/>
      <c r="AC40" s="66"/>
    </row>
    <row r="41" spans="1:29" ht="15.5">
      <c r="A41" s="171" t="s">
        <v>120</v>
      </c>
      <c r="B41" s="123" t="s">
        <v>41</v>
      </c>
      <c r="C41" s="67" t="s">
        <v>121</v>
      </c>
      <c r="D41" s="123" t="s">
        <v>43</v>
      </c>
      <c r="E41" s="146" t="s">
        <v>44</v>
      </c>
      <c r="F41" s="734" t="str">
        <f ca="1">IF(ISBLANK(C3)," ",IF(F45&gt;F35,"預估成長","預估衰退"))</f>
        <v>預估成長</v>
      </c>
      <c r="G41" s="152"/>
      <c r="H41" s="152"/>
      <c r="I41" s="152"/>
      <c r="J41" s="152"/>
      <c r="K41" s="66"/>
      <c r="L41" s="120"/>
      <c r="M41" s="120"/>
      <c r="N41" s="120"/>
      <c r="O41" s="77"/>
      <c r="V41" s="8"/>
      <c r="W41" s="8"/>
    </row>
    <row r="42" spans="1:29" ht="15.5">
      <c r="A42" s="172">
        <f ca="1">股票資訊!D12</f>
        <v>9.59</v>
      </c>
      <c r="B42" s="173">
        <f ca="1">'每股盈餘(EPS)'!B45</f>
        <v>40.80585621322065</v>
      </c>
      <c r="C42" s="174">
        <f ca="1">'每股盈餘(EPS)'!E45</f>
        <v>23.107384615384614</v>
      </c>
      <c r="D42" s="175">
        <f ca="1">'每股盈餘(EPS)'!H45</f>
        <v>5.4089130175485813</v>
      </c>
      <c r="E42" s="176">
        <f ca="1">IF(F35&lt;0,0,C3/F35)</f>
        <v>27.758460825220212</v>
      </c>
      <c r="F42" s="735"/>
      <c r="G42" s="66"/>
      <c r="H42" s="66"/>
      <c r="I42" s="140"/>
      <c r="J42" s="80" t="s">
        <v>122</v>
      </c>
      <c r="K42" s="66"/>
      <c r="L42" s="120"/>
      <c r="M42" s="120"/>
      <c r="N42" s="120"/>
      <c r="O42" s="77"/>
      <c r="V42" s="8"/>
      <c r="W42" s="8"/>
    </row>
    <row r="43" spans="1:29" ht="15.5">
      <c r="A43" s="177"/>
      <c r="B43" s="178"/>
      <c r="C43" s="178"/>
      <c r="D43" s="178"/>
      <c r="E43" s="178"/>
      <c r="F43" s="126"/>
      <c r="G43" s="141"/>
      <c r="H43" s="179"/>
      <c r="I43" s="180"/>
      <c r="J43" s="116">
        <f ca="1">IF(F45&lt;0,0,F45*A29)</f>
        <v>34.117308958488508</v>
      </c>
      <c r="K43" s="181"/>
      <c r="M43" s="120"/>
      <c r="N43" s="120"/>
      <c r="O43" s="77"/>
      <c r="V43" s="8"/>
      <c r="W43" s="8"/>
    </row>
    <row r="44" spans="1:29" ht="15.75" customHeight="1">
      <c r="A44" s="734" t="s">
        <v>16</v>
      </c>
      <c r="B44" s="144" t="str">
        <f ca="1">'每股盈餘(EPS)'!A5</f>
        <v>114.4Q</v>
      </c>
      <c r="C44" s="145" t="str">
        <f ca="1">'每股盈餘(EPS)'!A4</f>
        <v>115.1Q</v>
      </c>
      <c r="D44" s="145" t="str">
        <f ca="1">'每股盈餘(EPS)'!A3</f>
        <v>115.2Q</v>
      </c>
      <c r="E44" s="67" t="s">
        <v>16</v>
      </c>
      <c r="F44" s="80" t="s">
        <v>123</v>
      </c>
      <c r="G44" s="182" t="s">
        <v>45</v>
      </c>
      <c r="H44" s="79" t="s">
        <v>124</v>
      </c>
      <c r="I44" s="79" t="s">
        <v>114</v>
      </c>
      <c r="J44" s="140" t="s">
        <v>93</v>
      </c>
      <c r="K44" s="66"/>
      <c r="L44" s="66"/>
      <c r="M44" s="66"/>
      <c r="N44" s="66"/>
      <c r="V44" s="8"/>
      <c r="W44" s="8"/>
    </row>
    <row r="45" spans="1:29" ht="15.75" customHeight="1">
      <c r="A45" s="735"/>
      <c r="B45" s="66">
        <f ca="1">'每股盈餘(EPS)'!H5</f>
        <v>19.510000000000002</v>
      </c>
      <c r="C45" s="66">
        <f ca="1">'每股盈餘(EPS)'!H4</f>
        <v>22.08</v>
      </c>
      <c r="D45" s="66">
        <f ca="1">'每股盈餘(EPS)'!H3</f>
        <v>27.25</v>
      </c>
      <c r="E45" s="183">
        <f ca="1">E25</f>
        <v>29.268724539147389</v>
      </c>
      <c r="F45" s="183">
        <f ca="1">IFERROR(F35+E25-B35,"")</f>
        <v>98.108724539147389</v>
      </c>
      <c r="G45" s="184">
        <f ca="1">IF(F45&lt;0,0,C3/F45)</f>
        <v>24.411692346936444</v>
      </c>
      <c r="H45" s="149">
        <f ca="1">IF(F45&lt;0,H35,F45*G35)</f>
        <v>2723.3471867322437</v>
      </c>
      <c r="I45" s="150">
        <f ca="1">(H45-C3)/C3</f>
        <v>0.13709694644352555</v>
      </c>
      <c r="J45" s="185">
        <f ca="1">J43/C3</f>
        <v>1.424522294717683E-2</v>
      </c>
      <c r="K45" s="66"/>
      <c r="L45" s="66"/>
      <c r="N45" s="66"/>
      <c r="O45" s="66"/>
      <c r="S45" s="66"/>
      <c r="V45" s="66"/>
      <c r="W45" s="66"/>
    </row>
    <row r="46" spans="1:29" ht="15.75" customHeight="1">
      <c r="A46" s="79" t="s">
        <v>13</v>
      </c>
      <c r="B46" s="186">
        <f ca="1">'毛利率&amp;業外'!L6</f>
        <v>4.6358398482011877E-2</v>
      </c>
      <c r="C46" s="187">
        <f ca="1">'毛利率&amp;業外'!L5</f>
        <v>4.19220703692934E-2</v>
      </c>
      <c r="D46" s="187">
        <f ca="1">'毛利率&amp;業外'!L4</f>
        <v>0.11111278596523776</v>
      </c>
      <c r="E46" s="188">
        <f ca="1">C22</f>
        <v>4.9009197753686486E-2</v>
      </c>
      <c r="F46" s="654" t="s">
        <v>272</v>
      </c>
      <c r="G46" s="655" t="s">
        <v>273</v>
      </c>
      <c r="H46" s="655" t="s">
        <v>274</v>
      </c>
      <c r="I46" s="655" t="s">
        <v>114</v>
      </c>
      <c r="J46" s="126"/>
      <c r="M46" s="66"/>
      <c r="O46" s="66"/>
      <c r="S46" s="66"/>
      <c r="V46" s="66"/>
      <c r="W46" s="66"/>
    </row>
    <row r="47" spans="1:29" ht="15.5">
      <c r="A47" s="66" t="s">
        <v>33</v>
      </c>
      <c r="B47" s="189">
        <f ca="1">營業費用!C13</f>
        <v>0.85321865393863316</v>
      </c>
      <c r="C47" s="115">
        <f ca="1">營業費用!D13</f>
        <v>0.83280250751262697</v>
      </c>
      <c r="D47" s="115">
        <f ca="1">營業費用!E13</f>
        <v>0.81952257287090979</v>
      </c>
      <c r="E47" s="151">
        <f ca="1">F22</f>
        <v>0.84135643156515627</v>
      </c>
      <c r="F47" s="190">
        <f ca="1">E45*4</f>
        <v>117.07489815658955</v>
      </c>
      <c r="G47" s="179">
        <f ca="1">IF(E45&lt;0,0,(C3/(E45*4)))</f>
        <v>20.456989821991126</v>
      </c>
      <c r="H47" s="190">
        <f ca="1">IF(F47&lt;0,H35,F47*G35)</f>
        <v>3249.8189740963371</v>
      </c>
      <c r="I47" s="154">
        <f ca="1">(H47-C3)/C3</f>
        <v>0.35691815202352278</v>
      </c>
      <c r="J47" s="126"/>
      <c r="M47" s="141"/>
      <c r="N47" s="66"/>
      <c r="O47" s="66"/>
      <c r="S47" s="66"/>
      <c r="V47" s="66"/>
      <c r="W47" s="66"/>
    </row>
    <row r="48" spans="1:29" ht="15.75" customHeight="1">
      <c r="A48" s="66" t="s">
        <v>118</v>
      </c>
      <c r="B48" s="191">
        <f ca="1">'毛利率&amp;業外'!E6</f>
        <v>0.62329999999999997</v>
      </c>
      <c r="C48" s="192">
        <f ca="1">'毛利率&amp;業外'!E5</f>
        <v>0.66249999999999998</v>
      </c>
      <c r="D48" s="192">
        <f ca="1">'毛利率&amp;業外'!E4</f>
        <v>0.67720000000000002</v>
      </c>
      <c r="E48" s="160">
        <f ca="1">C13</f>
        <v>0.67720000000000002</v>
      </c>
      <c r="F48" s="126"/>
      <c r="G48" s="152"/>
      <c r="H48" s="152"/>
      <c r="M48" s="141"/>
      <c r="N48" s="66"/>
      <c r="O48" s="66"/>
    </row>
    <row r="49" spans="1:29" ht="15.5">
      <c r="A49" s="66"/>
      <c r="B49" s="193" t="s">
        <v>125</v>
      </c>
      <c r="C49" s="652" t="s">
        <v>267</v>
      </c>
      <c r="D49" s="120"/>
      <c r="E49" s="193" t="s">
        <v>126</v>
      </c>
      <c r="F49" s="653" t="s">
        <v>269</v>
      </c>
      <c r="G49" s="120"/>
      <c r="H49" s="194" t="s">
        <v>127</v>
      </c>
      <c r="I49" s="652" t="s">
        <v>271</v>
      </c>
      <c r="K49" s="66"/>
      <c r="L49" s="66" t="str">
        <f>"+1"</f>
        <v>+1</v>
      </c>
      <c r="M49" s="141" t="str">
        <f>"+2"</f>
        <v>+2</v>
      </c>
      <c r="N49" s="66" t="str">
        <f>"+3"</f>
        <v>+3</v>
      </c>
      <c r="O49" s="66"/>
    </row>
    <row r="50" spans="1:29" ht="15.5">
      <c r="A50" s="66"/>
      <c r="B50" s="88" t="s">
        <v>128</v>
      </c>
      <c r="C50" s="652" t="s">
        <v>268</v>
      </c>
      <c r="D50" s="120"/>
      <c r="E50" s="88" t="s">
        <v>126</v>
      </c>
      <c r="F50" s="652" t="s">
        <v>270</v>
      </c>
      <c r="G50" s="120"/>
      <c r="J50" s="120"/>
      <c r="L50" s="141">
        <v>34.1</v>
      </c>
      <c r="M50" s="8">
        <v>47.7</v>
      </c>
      <c r="N50" s="8">
        <v>49.8</v>
      </c>
      <c r="O50" s="8"/>
      <c r="T50" s="66"/>
      <c r="U50" s="141"/>
      <c r="V50" s="66"/>
      <c r="W50" s="66"/>
    </row>
    <row r="51" spans="1:29" ht="15.5">
      <c r="A51" s="66"/>
      <c r="D51" s="120"/>
      <c r="E51" s="120"/>
      <c r="F51" s="120"/>
      <c r="G51" s="120"/>
      <c r="H51" s="120"/>
      <c r="I51" s="120"/>
      <c r="J51" s="120"/>
      <c r="K51" s="66"/>
      <c r="L51" s="66"/>
      <c r="M51" s="195"/>
      <c r="N51" s="66"/>
      <c r="O51" s="66"/>
      <c r="P51" s="118"/>
      <c r="Q51" s="66"/>
      <c r="V51" s="78" t="s">
        <v>129</v>
      </c>
      <c r="W51" s="80"/>
      <c r="Y51" s="78" t="s">
        <v>130</v>
      </c>
      <c r="Z51" s="80"/>
    </row>
    <row r="52" spans="1:29" ht="15.5">
      <c r="M52" s="196"/>
      <c r="N52" s="66"/>
      <c r="O52" s="66"/>
      <c r="P52" s="118"/>
      <c r="Q52" s="66"/>
      <c r="R52" s="66"/>
      <c r="S52" s="66"/>
      <c r="T52" s="141"/>
      <c r="V52" s="197">
        <f ca="1">AVERAGE(E28:G28)</f>
        <v>19.569499999999998</v>
      </c>
      <c r="W52" s="140" t="s">
        <v>131</v>
      </c>
      <c r="Y52" s="188">
        <f ca="1">營收!D3</f>
        <v>5.6000000000000001E-2</v>
      </c>
      <c r="Z52" s="140" t="s">
        <v>132</v>
      </c>
    </row>
    <row r="53" spans="1:29" ht="15.75" customHeight="1">
      <c r="M53" s="198"/>
      <c r="N53" s="66"/>
      <c r="O53" s="66"/>
      <c r="P53" s="118"/>
      <c r="Q53" s="66"/>
      <c r="R53" s="66"/>
      <c r="S53" s="66"/>
      <c r="T53" s="141"/>
      <c r="U53" s="66"/>
      <c r="V53" s="181" t="str">
        <f ca="1">G28</f>
        <v>-</v>
      </c>
      <c r="W53" s="140" t="s">
        <v>133</v>
      </c>
      <c r="Y53" s="188">
        <f ca="1">營收!D4</f>
        <v>6.2E-2</v>
      </c>
      <c r="Z53" s="140" t="s">
        <v>134</v>
      </c>
    </row>
    <row r="54" spans="1:29" ht="15.5">
      <c r="M54" s="198"/>
      <c r="N54" s="199"/>
      <c r="O54" s="141"/>
      <c r="P54" s="200"/>
      <c r="Q54" s="141"/>
      <c r="R54" s="141"/>
      <c r="S54" s="66"/>
      <c r="T54" s="141"/>
      <c r="U54" s="66"/>
      <c r="V54" s="197">
        <f ca="1">H28</f>
        <v>34.117308958488508</v>
      </c>
      <c r="W54" s="140" t="s">
        <v>16</v>
      </c>
      <c r="Y54" s="188">
        <f ca="1">營收!D5</f>
        <v>1.4999999999999999E-2</v>
      </c>
      <c r="Z54" s="140" t="s">
        <v>135</v>
      </c>
    </row>
    <row r="55" spans="1:29" ht="15.75" customHeight="1">
      <c r="M55" s="198"/>
      <c r="N55" s="141"/>
      <c r="O55" s="141"/>
      <c r="P55" s="200"/>
      <c r="Q55" s="141"/>
      <c r="R55" s="141"/>
      <c r="S55" s="141"/>
      <c r="T55" s="141"/>
      <c r="U55" s="66"/>
      <c r="V55" s="201">
        <f ca="1">AVERAGE(V52:V54)</f>
        <v>26.843404479244253</v>
      </c>
      <c r="W55" s="80" t="s">
        <v>136</v>
      </c>
      <c r="Y55" s="191">
        <f ca="1">AVERAGE(Y52:Y54)</f>
        <v>4.4333333333333336E-2</v>
      </c>
      <c r="Z55" s="168" t="s">
        <v>137</v>
      </c>
    </row>
    <row r="56" spans="1:29" ht="15.5">
      <c r="M56" s="198"/>
      <c r="N56" s="199"/>
      <c r="O56" s="199"/>
      <c r="P56" s="202"/>
      <c r="Q56" s="66"/>
      <c r="R56" s="141"/>
      <c r="S56" s="199"/>
      <c r="T56" s="141"/>
      <c r="U56" s="66"/>
      <c r="V56" s="203">
        <f ca="1">V55/C3</f>
        <v>1.120810207901639E-2</v>
      </c>
      <c r="W56" s="84" t="s">
        <v>138</v>
      </c>
    </row>
    <row r="57" spans="1:29" ht="15.5">
      <c r="M57" s="196"/>
      <c r="N57" s="199"/>
      <c r="O57" s="199"/>
      <c r="P57" s="202"/>
      <c r="Q57" s="66"/>
      <c r="R57" s="141"/>
      <c r="S57" s="141"/>
      <c r="T57" s="141"/>
      <c r="U57" s="66"/>
    </row>
    <row r="58" spans="1:29" ht="15.5">
      <c r="M58" s="196"/>
      <c r="N58" s="204"/>
      <c r="O58" s="199"/>
      <c r="P58" s="199"/>
      <c r="Q58" s="199"/>
      <c r="R58" s="199"/>
      <c r="S58" s="141"/>
      <c r="T58" s="141"/>
      <c r="U58" s="66"/>
      <c r="V58" s="205" t="str">
        <f ca="1">籌碼!F51</f>
        <v>券商名稱</v>
      </c>
      <c r="W58" s="206" t="str">
        <f ca="1">籌碼!I51</f>
        <v>買超</v>
      </c>
      <c r="X58" s="207" t="str">
        <f ca="1">籌碼!J51</f>
        <v>均價</v>
      </c>
      <c r="AA58" s="65" t="str">
        <f ca="1">籌碼!A51</f>
        <v>券商名稱</v>
      </c>
      <c r="AB58" s="206" t="str">
        <f ca="1">籌碼!D51</f>
        <v>賣超</v>
      </c>
      <c r="AC58" s="207" t="str">
        <f ca="1">籌碼!E51</f>
        <v>均價</v>
      </c>
    </row>
    <row r="59" spans="1:29" ht="15.5">
      <c r="M59" s="196"/>
      <c r="N59" s="199"/>
      <c r="O59" s="199"/>
      <c r="P59" s="200"/>
      <c r="Q59" s="141"/>
      <c r="R59" s="208"/>
      <c r="S59" s="141"/>
      <c r="T59" s="141"/>
      <c r="U59" s="66"/>
      <c r="V59" s="209" t="str">
        <f ca="1">籌碼!F52</f>
        <v>港商麥格理</v>
      </c>
      <c r="W59" s="210">
        <f ca="1">籌碼!I52</f>
        <v>1810</v>
      </c>
      <c r="X59" s="211">
        <f ca="1">籌碼!J52</f>
        <v>2425.79</v>
      </c>
      <c r="Y59" s="4" t="str">
        <f ca="1">IFERROR(__xludf.DUMMYFUNCTION("SPARKLINE(W59*X59,{""color1"",""red"";""charttype"",""bar""; ""max"", 199999})"),"")</f>
        <v/>
      </c>
      <c r="Z59" s="4" t="str">
        <f ca="1">IFERROR(__xludf.DUMMYFUNCTION("SPARKLINE(AB59*AC59,{""color1"",""green"";""charttype"",""bar""; ""max"", 199999})"),"")</f>
        <v/>
      </c>
      <c r="AA59" s="70" t="str">
        <f ca="1">籌碼!A52</f>
        <v>台灣摩根士丹利</v>
      </c>
      <c r="AB59" s="210">
        <f ca="1">籌碼!D52</f>
        <v>-1332</v>
      </c>
      <c r="AC59" s="211">
        <f ca="1">籌碼!E52</f>
        <v>2416.31</v>
      </c>
    </row>
    <row r="60" spans="1:29" ht="15.5">
      <c r="M60" s="196"/>
      <c r="N60" s="199"/>
      <c r="O60" s="199"/>
      <c r="P60" s="200"/>
      <c r="Q60" s="66"/>
      <c r="R60" s="141"/>
      <c r="S60" s="141"/>
      <c r="T60" s="198"/>
      <c r="U60" s="212"/>
      <c r="V60" s="209" t="str">
        <f ca="1">籌碼!F53</f>
        <v>國泰</v>
      </c>
      <c r="W60" s="119">
        <f ca="1">籌碼!I53</f>
        <v>757</v>
      </c>
      <c r="X60" s="211">
        <f ca="1">籌碼!J53</f>
        <v>2420</v>
      </c>
      <c r="Y60" s="4" t="str">
        <f ca="1">IFERROR(__xludf.DUMMYFUNCTION("SPARKLINE(W60*X60,{""color1"",""red"";""charttype"",""bar""; ""max"", 199999})"),"")</f>
        <v/>
      </c>
      <c r="Z60" s="4" t="str">
        <f ca="1">IFERROR(__xludf.DUMMYFUNCTION("SPARKLINE(AB60*AC60,{""color1"",""green"";""charttype"",""bar""; ""max"", 199999})"),"")</f>
        <v/>
      </c>
      <c r="AA60" s="70" t="str">
        <f ca="1">籌碼!A53</f>
        <v>美商高盛</v>
      </c>
      <c r="AB60" s="210">
        <f ca="1">籌碼!D53</f>
        <v>-1064</v>
      </c>
      <c r="AC60" s="211">
        <f ca="1">籌碼!E53</f>
        <v>2413.21</v>
      </c>
    </row>
    <row r="61" spans="1:29" ht="15.5">
      <c r="M61" s="196"/>
      <c r="N61" s="199"/>
      <c r="O61" s="199"/>
      <c r="P61" s="200"/>
      <c r="Q61" s="141"/>
      <c r="R61" s="208"/>
      <c r="S61" s="141"/>
      <c r="T61" s="198"/>
      <c r="U61" s="212"/>
      <c r="V61" s="209" t="str">
        <f ca="1">籌碼!F54</f>
        <v>中國信託</v>
      </c>
      <c r="W61" s="119">
        <f ca="1">籌碼!I54</f>
        <v>490</v>
      </c>
      <c r="X61" s="211">
        <f ca="1">籌碼!J54</f>
        <v>2421.5100000000002</v>
      </c>
      <c r="Y61" s="4" t="str">
        <f ca="1">IFERROR(__xludf.DUMMYFUNCTION("SPARKLINE(W61*X61,{""color1"",""red"";""charttype"",""bar""; ""max"", 199999})"),"")</f>
        <v/>
      </c>
      <c r="Z61" s="4" t="str">
        <f ca="1">IFERROR(__xludf.DUMMYFUNCTION("SPARKLINE(AB61*AC61,{""color1"",""green"";""charttype"",""bar""; ""max"", 199999})"),"")</f>
        <v/>
      </c>
      <c r="AA61" s="70" t="str">
        <f ca="1">籌碼!A54</f>
        <v>法銀巴黎</v>
      </c>
      <c r="AB61" s="119">
        <f ca="1">籌碼!D54</f>
        <v>-918</v>
      </c>
      <c r="AC61" s="211">
        <f ca="1">籌碼!E54</f>
        <v>2405.9499999999998</v>
      </c>
    </row>
    <row r="62" spans="1:29" ht="15.5">
      <c r="M62" s="196"/>
      <c r="N62" s="141"/>
      <c r="O62" s="141"/>
      <c r="P62" s="202"/>
      <c r="Q62" s="66"/>
      <c r="R62" s="199"/>
      <c r="S62" s="141"/>
      <c r="T62" s="198"/>
      <c r="U62" s="212"/>
      <c r="V62" s="209" t="str">
        <f ca="1">籌碼!F55</f>
        <v>新加坡商瑞銀</v>
      </c>
      <c r="W62" s="119">
        <f ca="1">籌碼!I55</f>
        <v>402</v>
      </c>
      <c r="X62" s="211">
        <f ca="1">籌碼!J55</f>
        <v>2414.16</v>
      </c>
      <c r="Y62" s="4" t="str">
        <f ca="1">IFERROR(__xludf.DUMMYFUNCTION("SPARKLINE(W62*X62,{""color1"",""red"";""charttype"",""bar""; ""max"", 199999})"),"")</f>
        <v/>
      </c>
      <c r="Z62" s="4" t="str">
        <f ca="1">IFERROR(__xludf.DUMMYFUNCTION("SPARKLINE(AB62*AC62,{""color1"",""green"";""charttype"",""bar""; ""max"", 199999})"),"")</f>
        <v/>
      </c>
      <c r="AA62" s="70" t="str">
        <f ca="1">籌碼!A55</f>
        <v>永豐金</v>
      </c>
      <c r="AB62" s="119">
        <f ca="1">籌碼!D55</f>
        <v>-908</v>
      </c>
      <c r="AC62" s="211">
        <f ca="1">籌碼!E55</f>
        <v>2422.69</v>
      </c>
    </row>
    <row r="63" spans="1:29" ht="15.5">
      <c r="M63" s="196"/>
      <c r="N63" s="199"/>
      <c r="O63" s="199"/>
      <c r="P63" s="200"/>
      <c r="Q63" s="66"/>
      <c r="R63" s="66"/>
      <c r="S63" s="141"/>
      <c r="T63" s="198"/>
      <c r="U63" s="212"/>
      <c r="V63" s="213" t="str">
        <f ca="1">籌碼!F56</f>
        <v>群益金鼎-北高雄</v>
      </c>
      <c r="W63" s="214">
        <f ca="1">籌碼!I56</f>
        <v>203</v>
      </c>
      <c r="X63" s="215">
        <f ca="1">籌碼!J56</f>
        <v>2395.37</v>
      </c>
      <c r="Y63" s="4" t="str">
        <f ca="1">IFERROR(__xludf.DUMMYFUNCTION("SPARKLINE(W63*X63,{""color1"",""red"";""charttype"",""bar""; ""max"", 199999})"),"")</f>
        <v/>
      </c>
      <c r="Z63" s="4" t="str">
        <f ca="1">IFERROR(__xludf.DUMMYFUNCTION("SPARKLINE(AB63*AC63,{""color1"",""green"";""charttype"",""bar""; ""max"", 199999})"),"")</f>
        <v/>
      </c>
      <c r="AA63" s="134" t="str">
        <f ca="1">籌碼!A56</f>
        <v>元大</v>
      </c>
      <c r="AB63" s="214">
        <f ca="1">籌碼!D56</f>
        <v>-841</v>
      </c>
      <c r="AC63" s="215">
        <f ca="1">籌碼!E56</f>
        <v>2416.38</v>
      </c>
    </row>
    <row r="64" spans="1:29" ht="15.5">
      <c r="N64" s="199"/>
      <c r="O64" s="199"/>
      <c r="P64" s="200"/>
      <c r="Q64" s="141"/>
    </row>
    <row r="65" spans="1:29" ht="15.5">
      <c r="M65" s="196"/>
      <c r="N65" s="199"/>
      <c r="O65" s="199"/>
      <c r="P65" s="200"/>
      <c r="Q65" s="141"/>
    </row>
    <row r="66" spans="1:29" ht="15.5">
      <c r="A66" s="216">
        <f ca="1">TODAY()</f>
        <v>46251</v>
      </c>
      <c r="B66" s="217" t="s">
        <v>139</v>
      </c>
      <c r="C66" s="217"/>
      <c r="D66" s="217" t="s">
        <v>140</v>
      </c>
      <c r="E66" s="217"/>
      <c r="F66" s="216">
        <f ca="1">TODAY()</f>
        <v>46251</v>
      </c>
      <c r="G66" s="217" t="s">
        <v>141</v>
      </c>
      <c r="H66" s="217"/>
      <c r="I66" s="217"/>
      <c r="J66" s="217" t="s">
        <v>142</v>
      </c>
      <c r="K66" s="217"/>
      <c r="L66" s="217"/>
      <c r="M66" s="196"/>
      <c r="N66" s="141"/>
      <c r="O66" s="141"/>
      <c r="P66" s="200"/>
      <c r="Q66" s="66"/>
      <c r="S66" s="162" t="s">
        <v>100</v>
      </c>
      <c r="Y66" s="119"/>
      <c r="Z66" s="119"/>
      <c r="AA66" s="119"/>
      <c r="AB66" s="212"/>
      <c r="AC66" s="212"/>
    </row>
    <row r="67" spans="1:29" ht="15.5">
      <c r="A67" s="218">
        <v>1</v>
      </c>
      <c r="B67" s="217" t="str">
        <f ca="1">排行榜!B3</f>
        <v>2408 南亞科</v>
      </c>
      <c r="C67" s="219">
        <f ca="1">排行榜!G3</f>
        <v>-3.8910505836575876E-3</v>
      </c>
      <c r="D67" s="217" t="str">
        <f ca="1">排行榜!I3</f>
        <v>8299 群聯</v>
      </c>
      <c r="E67" s="219">
        <f ca="1">排行榜!N3</f>
        <v>-8.771929824561403E-2</v>
      </c>
      <c r="F67" s="218">
        <v>1</v>
      </c>
      <c r="G67" s="217" t="str">
        <f ca="1">排行榜!B56</f>
        <v>8039 台虹</v>
      </c>
      <c r="H67" s="219">
        <f ca="1">排行榜!H56</f>
        <v>9.2184368737474945E-2</v>
      </c>
      <c r="I67" s="219">
        <f ca="1">排行榜!G56</f>
        <v>0.21210000000000001</v>
      </c>
      <c r="J67" s="217" t="str">
        <f ca="1">排行榜!J56</f>
        <v>4541 晟田</v>
      </c>
      <c r="K67" s="219">
        <f>排行榜!P56</f>
        <v>1.7906336088154267E-2</v>
      </c>
      <c r="L67" s="219">
        <f ca="1">排行榜!O56</f>
        <v>0.26090000000000002</v>
      </c>
      <c r="M67" s="196"/>
      <c r="N67" s="141"/>
      <c r="O67" s="198"/>
      <c r="Q67" s="212"/>
      <c r="S67" s="220">
        <f ca="1">'每股盈餘(EPS)'!E94</f>
        <v>5.8994905326120106</v>
      </c>
      <c r="Y67" s="119"/>
      <c r="Z67" s="119"/>
      <c r="AA67" s="119"/>
      <c r="AB67" s="212"/>
      <c r="AC67" s="212"/>
    </row>
    <row r="68" spans="1:29" ht="17.5">
      <c r="A68" s="218">
        <v>2</v>
      </c>
      <c r="B68" s="217" t="str">
        <f ca="1">排行榜!B4</f>
        <v>2330 台積電</v>
      </c>
      <c r="C68" s="219">
        <f ca="1">排行榜!G4</f>
        <v>-1.6427104722792608E-2</v>
      </c>
      <c r="D68" s="217" t="str">
        <f ca="1">排行榜!I4</f>
        <v>8358 金居</v>
      </c>
      <c r="E68" s="219">
        <f ca="1">排行榜!N4</f>
        <v>1.7814726840855107E-2</v>
      </c>
      <c r="F68" s="218">
        <v>2</v>
      </c>
      <c r="G68" s="217" t="str">
        <f ca="1">排行榜!B57</f>
        <v>6155 鈞寶</v>
      </c>
      <c r="H68" s="219">
        <f ca="1">排行榜!H57</f>
        <v>3.1496062992125988E-3</v>
      </c>
      <c r="I68" s="219">
        <f ca="1">排行榜!G57</f>
        <v>0.15939999999999999</v>
      </c>
      <c r="J68" s="217" t="str">
        <f ca="1">排行榜!J57</f>
        <v>3441 聯一光</v>
      </c>
      <c r="K68" s="219">
        <f>排行榜!P57</f>
        <v>-1.4117647058823528E-2</v>
      </c>
      <c r="L68" s="219">
        <f ca="1">排行榜!O57</f>
        <v>0.25240000000000001</v>
      </c>
      <c r="M68" s="196"/>
      <c r="N68" s="141"/>
      <c r="O68" s="198"/>
      <c r="Q68" s="212"/>
      <c r="R68" s="736" t="s">
        <v>143</v>
      </c>
      <c r="S68" s="737"/>
      <c r="T68" s="738"/>
      <c r="V68" s="221" t="str">
        <f>'每股盈餘(EPS)'!P2</f>
        <v>近1年EPS成長率</v>
      </c>
      <c r="W68" s="222" t="str">
        <f>'每股盈餘(EPS)'!Q2</f>
        <v>近3年平均EPS成長率</v>
      </c>
      <c r="X68" s="223" t="str">
        <f>'每股盈餘(EPS)'!R2</f>
        <v>近4年平均EPS成長率</v>
      </c>
      <c r="Y68" s="119"/>
      <c r="Z68" s="119"/>
      <c r="AA68" s="119"/>
      <c r="AB68" s="212"/>
      <c r="AC68" s="212"/>
    </row>
    <row r="69" spans="1:29" ht="15.5">
      <c r="A69" s="218">
        <v>3</v>
      </c>
      <c r="B69" s="217" t="str">
        <f ca="1">排行榜!B5</f>
        <v>2327 國巨*</v>
      </c>
      <c r="C69" s="219">
        <f ca="1">排行榜!G5</f>
        <v>-6.0422960725075532E-2</v>
      </c>
      <c r="D69" s="217" t="str">
        <f ca="1">排行榜!I5</f>
        <v>6488 環球晶</v>
      </c>
      <c r="E69" s="219">
        <f ca="1">排行榜!N5</f>
        <v>-1.4634146341463415E-2</v>
      </c>
      <c r="F69" s="218">
        <v>3</v>
      </c>
      <c r="G69" s="217" t="str">
        <f ca="1">排行榜!B58</f>
        <v>2359 所羅門</v>
      </c>
      <c r="H69" s="219">
        <f ca="1">排行榜!H58</f>
        <v>1.5923566878980892E-2</v>
      </c>
      <c r="I69" s="219">
        <f ca="1">排行榜!G58</f>
        <v>0.15329999999999999</v>
      </c>
      <c r="J69" s="217" t="str">
        <f ca="1">排行榜!J58</f>
        <v>3490 單井</v>
      </c>
      <c r="K69" s="219">
        <f>排行榜!P58</f>
        <v>7.5983717774762538E-2</v>
      </c>
      <c r="L69" s="219">
        <f ca="1">排行榜!O58</f>
        <v>0.23180000000000001</v>
      </c>
      <c r="M69" s="196"/>
      <c r="N69" s="141"/>
      <c r="O69" s="198"/>
      <c r="Q69" s="212"/>
      <c r="R69" s="224" t="s">
        <v>144</v>
      </c>
      <c r="S69" s="225"/>
      <c r="T69" s="80" t="s">
        <v>145</v>
      </c>
      <c r="V69" s="226">
        <f ca="1">'每股盈餘(EPS)'!P3</f>
        <v>0.60308373429979389</v>
      </c>
      <c r="W69" s="227">
        <f ca="1">'每股盈餘(EPS)'!Q3</f>
        <v>0.43032524886761636</v>
      </c>
      <c r="X69" s="228">
        <f ca="1">'每股盈餘(EPS)'!R3</f>
        <v>0.32522931676767136</v>
      </c>
      <c r="Y69" s="119"/>
      <c r="Z69" s="119"/>
      <c r="AA69" s="119"/>
      <c r="AB69" s="212"/>
      <c r="AC69" s="212"/>
    </row>
    <row r="70" spans="1:29" ht="15.5">
      <c r="A70" s="218">
        <v>4</v>
      </c>
      <c r="B70" s="217" t="str">
        <f ca="1">排行榜!B6</f>
        <v>2454 聯發科</v>
      </c>
      <c r="C70" s="219">
        <f ca="1">排行榜!G6</f>
        <v>-3.5502958579881655E-3</v>
      </c>
      <c r="D70" s="217" t="str">
        <f ca="1">排行榜!I6</f>
        <v>6182 合晶</v>
      </c>
      <c r="E70" s="219">
        <f ca="1">排行榜!N6</f>
        <v>-1.3274336283185841E-2</v>
      </c>
      <c r="F70" s="218">
        <v>4</v>
      </c>
      <c r="G70" s="217" t="str">
        <f ca="1">排行榜!B59</f>
        <v>6243 迅杰</v>
      </c>
      <c r="H70" s="219">
        <f ca="1">排行榜!H59</f>
        <v>6.6059225512528477E-2</v>
      </c>
      <c r="I70" s="219">
        <f ca="1">排行榜!G59</f>
        <v>0.11550000000000001</v>
      </c>
      <c r="J70" s="217" t="str">
        <f ca="1">排行榜!J59</f>
        <v>5475 德宏</v>
      </c>
      <c r="K70" s="219">
        <f>排行榜!P59</f>
        <v>4.6012269938650305E-2</v>
      </c>
      <c r="L70" s="219">
        <f ca="1">排行榜!O59</f>
        <v>0.219</v>
      </c>
      <c r="M70" s="196"/>
      <c r="O70" s="198"/>
      <c r="Q70" s="212"/>
      <c r="R70" s="229">
        <f ca="1">'每股盈餘(EPS)'!B45</f>
        <v>40.80585621322065</v>
      </c>
      <c r="S70" s="66" t="s">
        <v>41</v>
      </c>
      <c r="T70" s="230">
        <f ca="1">'每股盈餘(EPS)'!B46</f>
        <v>4003.4105068069207</v>
      </c>
      <c r="V70" s="231" t="s">
        <v>146</v>
      </c>
      <c r="W70" s="206"/>
      <c r="X70" s="232" t="s">
        <v>147</v>
      </c>
      <c r="Y70" s="119"/>
      <c r="Z70" s="119"/>
      <c r="AA70" s="119"/>
      <c r="AB70" s="212"/>
      <c r="AC70" s="212"/>
    </row>
    <row r="71" spans="1:29" ht="15.5">
      <c r="A71" s="218">
        <v>5</v>
      </c>
      <c r="B71" s="217" t="str">
        <f ca="1">排行榜!B7</f>
        <v>2344 華邦電</v>
      </c>
      <c r="C71" s="219">
        <f ca="1">排行榜!G7</f>
        <v>3.6723163841807911E-2</v>
      </c>
      <c r="D71" s="217" t="str">
        <f ca="1">排行榜!I7</f>
        <v>3374 精材</v>
      </c>
      <c r="E71" s="219">
        <f ca="1">排行榜!N7</f>
        <v>0</v>
      </c>
      <c r="F71" s="218">
        <v>5</v>
      </c>
      <c r="G71" s="217" t="str">
        <f ca="1">排行榜!B60</f>
        <v>6770 力積電</v>
      </c>
      <c r="H71" s="219">
        <f ca="1">排行榜!H60</f>
        <v>4.6728971962616821E-2</v>
      </c>
      <c r="I71" s="219">
        <f ca="1">排行榜!G60</f>
        <v>0.1132</v>
      </c>
      <c r="J71" s="217" t="str">
        <f ca="1">排行榜!J60</f>
        <v>4939 亞電</v>
      </c>
      <c r="K71" s="219">
        <f>排行榜!P60</f>
        <v>-3.912363067292645E-2</v>
      </c>
      <c r="L71" s="219">
        <f ca="1">排行榜!O60</f>
        <v>0.20280000000000001</v>
      </c>
      <c r="M71" s="198"/>
      <c r="O71" s="212"/>
      <c r="Q71" s="212"/>
      <c r="R71" s="229">
        <f ca="1">'每股盈餘(EPS)'!C45</f>
        <v>34.906365680608637</v>
      </c>
      <c r="S71" s="233"/>
      <c r="T71" s="234">
        <f ca="1">'每股盈餘(EPS)'!C46</f>
        <v>3424.6190152215809</v>
      </c>
      <c r="V71" s="235">
        <f ca="1">'每股盈餘(EPS)'!H96</f>
        <v>40.80585621322065</v>
      </c>
      <c r="W71" s="220" t="str">
        <f>'每股盈餘(EPS)'!H95</f>
        <v>3倍標準差</v>
      </c>
      <c r="X71" s="236"/>
      <c r="Y71" s="119"/>
      <c r="Z71" s="119"/>
      <c r="AA71" s="119"/>
      <c r="AB71" s="212"/>
      <c r="AC71" s="212"/>
    </row>
    <row r="72" spans="1:29" ht="15.5">
      <c r="A72" s="218">
        <v>6</v>
      </c>
      <c r="B72" s="217" t="str">
        <f ca="1">排行榜!B8</f>
        <v>6770 力積電</v>
      </c>
      <c r="C72" s="219">
        <f ca="1">排行榜!G8</f>
        <v>4.6728971962616821E-2</v>
      </c>
      <c r="D72" s="217" t="str">
        <f ca="1">排行榜!I8</f>
        <v>6187 萬潤</v>
      </c>
      <c r="E72" s="219">
        <f ca="1">排行榜!N8</f>
        <v>3.937007874015748E-3</v>
      </c>
      <c r="F72" s="218">
        <v>6</v>
      </c>
      <c r="G72" s="217" t="str">
        <f ca="1">排行榜!B61</f>
        <v>3605 宏致</v>
      </c>
      <c r="H72" s="219">
        <f ca="1">排行榜!H61</f>
        <v>-3.787878787878788E-3</v>
      </c>
      <c r="I72" s="219">
        <f ca="1">排行榜!G61</f>
        <v>0.1077</v>
      </c>
      <c r="J72" s="217" t="str">
        <f ca="1">排行榜!J61</f>
        <v>6182 合晶</v>
      </c>
      <c r="K72" s="219">
        <f>排行榜!P61</f>
        <v>-1.3274336283185841E-2</v>
      </c>
      <c r="L72" s="219">
        <f ca="1">排行榜!O61</f>
        <v>0.19800000000000001</v>
      </c>
      <c r="M72" s="141"/>
      <c r="N72" s="199"/>
      <c r="O72" s="212"/>
      <c r="Q72" s="212"/>
      <c r="R72" s="229">
        <f ca="1">'每股盈餘(EPS)'!D45</f>
        <v>29.006875147996624</v>
      </c>
      <c r="S72" s="237"/>
      <c r="T72" s="238">
        <f ca="1">'每股盈餘(EPS)'!D46</f>
        <v>2845.827523636241</v>
      </c>
      <c r="V72" s="235">
        <f ca="1">'每股盈餘(EPS)'!G96</f>
        <v>34.906365680608637</v>
      </c>
      <c r="W72" s="220" t="str">
        <f>'每股盈餘(EPS)'!G95</f>
        <v>2倍標準差</v>
      </c>
      <c r="X72" s="239"/>
      <c r="Y72" s="119"/>
      <c r="Z72" s="119"/>
      <c r="AA72" s="119"/>
      <c r="AB72" s="212"/>
      <c r="AC72" s="212"/>
    </row>
    <row r="73" spans="1:29" ht="15.5">
      <c r="A73" s="218">
        <v>7</v>
      </c>
      <c r="B73" s="217" t="str">
        <f ca="1">排行榜!B9</f>
        <v>1303 南亞</v>
      </c>
      <c r="C73" s="219">
        <f ca="1">排行榜!G9</f>
        <v>9.7883597883597878E-2</v>
      </c>
      <c r="D73" s="217" t="str">
        <f ca="1">排行榜!I9</f>
        <v>6274 台燿</v>
      </c>
      <c r="E73" s="219">
        <f ca="1">排行榜!N9</f>
        <v>4.6875E-2</v>
      </c>
      <c r="F73" s="218">
        <v>7</v>
      </c>
      <c r="G73" s="217" t="str">
        <f ca="1">排行榜!B62</f>
        <v>2375 凱美</v>
      </c>
      <c r="H73" s="219">
        <f ca="1">排行榜!H62</f>
        <v>-6.4516129032258063E-2</v>
      </c>
      <c r="I73" s="219">
        <f ca="1">排行榜!G62</f>
        <v>0.1062</v>
      </c>
      <c r="J73" s="217" t="str">
        <f ca="1">排行榜!J62</f>
        <v>8358 金居</v>
      </c>
      <c r="K73" s="219">
        <f>排行榜!P62</f>
        <v>1.7814726840855107E-2</v>
      </c>
      <c r="L73" s="219">
        <f ca="1">排行榜!O62</f>
        <v>0.1787</v>
      </c>
      <c r="M73" s="10"/>
      <c r="N73" s="199"/>
      <c r="O73" s="212"/>
      <c r="Q73" s="212"/>
      <c r="R73" s="229">
        <f ca="1">'每股盈餘(EPS)'!E45</f>
        <v>23.107384615384614</v>
      </c>
      <c r="S73" s="240" t="s">
        <v>121</v>
      </c>
      <c r="T73" s="241">
        <f ca="1">'每股盈餘(EPS)'!E46</f>
        <v>2267.0360320509012</v>
      </c>
      <c r="V73" s="235">
        <f ca="1">'每股盈餘(EPS)'!F96</f>
        <v>29.006875147996624</v>
      </c>
      <c r="W73" s="220" t="str">
        <f>'每股盈餘(EPS)'!F95</f>
        <v>1倍標準差</v>
      </c>
      <c r="X73" s="239"/>
      <c r="Y73" s="119"/>
      <c r="Z73" s="119"/>
      <c r="AA73" s="119"/>
      <c r="AB73" s="212"/>
      <c r="AC73" s="212"/>
    </row>
    <row r="74" spans="1:29" ht="15.5">
      <c r="A74" s="218">
        <v>8</v>
      </c>
      <c r="B74" s="217" t="str">
        <f ca="1">排行榜!B10</f>
        <v>4958 臻鼎-KY</v>
      </c>
      <c r="C74" s="219">
        <f ca="1">排行榜!G10</f>
        <v>2.5130890052356022E-2</v>
      </c>
      <c r="D74" s="217" t="str">
        <f ca="1">排行榜!I10</f>
        <v>3105 穩懋</v>
      </c>
      <c r="E74" s="219">
        <f ca="1">排行榜!N10</f>
        <v>-2.3255813953488372E-2</v>
      </c>
      <c r="F74" s="218">
        <v>8</v>
      </c>
      <c r="G74" s="217" t="str">
        <f ca="1">排行榜!B63</f>
        <v>8261 富鼎</v>
      </c>
      <c r="H74" s="219">
        <f ca="1">排行榜!H63</f>
        <v>-8.4158415841584164E-2</v>
      </c>
      <c r="I74" s="219">
        <f ca="1">排行榜!G63</f>
        <v>0.10290000000000001</v>
      </c>
      <c r="J74" s="217" t="str">
        <f ca="1">排行榜!J63</f>
        <v>6538 倉和</v>
      </c>
      <c r="K74" s="219">
        <f>排行榜!P63</f>
        <v>3.6619718309859155E-2</v>
      </c>
      <c r="L74" s="219">
        <f ca="1">排行榜!O63</f>
        <v>0.14929999999999999</v>
      </c>
      <c r="M74" s="10"/>
      <c r="N74" s="141"/>
      <c r="O74" s="212"/>
      <c r="P74" s="212"/>
      <c r="Q74" s="212"/>
      <c r="R74" s="229">
        <f ca="1">'每股盈餘(EPS)'!J45</f>
        <v>27.758460825220212</v>
      </c>
      <c r="S74" s="242" t="s">
        <v>44</v>
      </c>
      <c r="T74" s="143">
        <f ca="1">'每股盈餘(EPS)'!J46</f>
        <v>2723.3471867322437</v>
      </c>
      <c r="V74" s="235">
        <f ca="1">'每股盈餘(EPS)'!J96</f>
        <v>24.411692346936444</v>
      </c>
      <c r="W74" s="243" t="str">
        <f>'每股盈餘(EPS)'!J95</f>
        <v>預估本益比</v>
      </c>
      <c r="X74" s="244">
        <f ca="1">'每股盈餘(EPS)'!J99</f>
        <v>0.22108819809807298</v>
      </c>
      <c r="Y74" s="119"/>
      <c r="Z74" s="119"/>
      <c r="AA74" s="119"/>
      <c r="AB74" s="212"/>
      <c r="AC74" s="212"/>
    </row>
    <row r="75" spans="1:29" ht="15.5">
      <c r="A75" s="218">
        <v>9</v>
      </c>
      <c r="B75" s="217" t="str">
        <f ca="1">排行榜!B11</f>
        <v>8046 南電</v>
      </c>
      <c r="C75" s="219">
        <f ca="1">排行榜!G11</f>
        <v>7.407407407407407E-2</v>
      </c>
      <c r="D75" s="217" t="str">
        <f ca="1">排行榜!I11</f>
        <v>5274 信驊</v>
      </c>
      <c r="E75" s="219">
        <f ca="1">排行榜!N11</f>
        <v>1.1435105774728416E-2</v>
      </c>
      <c r="F75" s="218">
        <v>9</v>
      </c>
      <c r="G75" s="217" t="str">
        <f ca="1">排行榜!B64</f>
        <v>8033 雷虎</v>
      </c>
      <c r="H75" s="219">
        <f ca="1">排行榜!H64</f>
        <v>9.8092643051771122E-2</v>
      </c>
      <c r="I75" s="219">
        <f ca="1">排行榜!G64</f>
        <v>0.1026</v>
      </c>
      <c r="J75" s="217" t="str">
        <f ca="1">排行榜!J64</f>
        <v>00989B台新美國非投等債</v>
      </c>
      <c r="K75" s="219">
        <f>排行榜!P64</f>
        <v>-1.9417475728155341E-3</v>
      </c>
      <c r="L75" s="219">
        <f ca="1">排行榜!O64</f>
        <v>0.1295</v>
      </c>
      <c r="M75" s="10"/>
      <c r="N75" s="199"/>
      <c r="O75" s="212"/>
      <c r="P75" s="212"/>
      <c r="Q75" s="212"/>
      <c r="R75" s="229">
        <f ca="1">'每股盈餘(EPS)'!K45</f>
        <v>24.411692346936444</v>
      </c>
      <c r="S75" s="245" t="s">
        <v>45</v>
      </c>
      <c r="T75" s="246">
        <f ca="1">'每股盈餘(EPS)'!K46</f>
        <v>2395</v>
      </c>
      <c r="V75" s="235">
        <f ca="1">'每股盈餘(EPS)'!I96</f>
        <v>27.758460825220212</v>
      </c>
      <c r="W75" s="247" t="str">
        <f>'每股盈餘(EPS)'!I95</f>
        <v>目前本益比</v>
      </c>
      <c r="X75" s="244">
        <f ca="1">'每股盈餘(EPS)'!I99</f>
        <v>0.78838607912407732</v>
      </c>
      <c r="Y75" s="119"/>
      <c r="Z75" s="119"/>
      <c r="AA75" s="119"/>
      <c r="AB75" s="212"/>
      <c r="AC75" s="212"/>
    </row>
    <row r="76" spans="1:29" ht="15.5">
      <c r="A76" s="218">
        <v>10</v>
      </c>
      <c r="B76" s="217" t="str">
        <f ca="1">排行榜!B12</f>
        <v>2308 台達電</v>
      </c>
      <c r="C76" s="219">
        <f ca="1">排行榜!G12</f>
        <v>0</v>
      </c>
      <c r="D76" s="217" t="str">
        <f ca="1">排行榜!I12</f>
        <v>5483 中美晶</v>
      </c>
      <c r="E76" s="219">
        <f ca="1">排行榜!N12</f>
        <v>2.6666666666666666E-3</v>
      </c>
      <c r="F76" s="218">
        <v>10</v>
      </c>
      <c r="G76" s="217" t="str">
        <f ca="1">排行榜!B65</f>
        <v>2492 華新科</v>
      </c>
      <c r="H76" s="219">
        <f ca="1">排行榜!H65</f>
        <v>-4.4233807266982623E-2</v>
      </c>
      <c r="I76" s="219">
        <f ca="1">排行榜!G65</f>
        <v>0.1017</v>
      </c>
      <c r="J76" s="217" t="str">
        <f ca="1">排行榜!J65</f>
        <v>00859B群益0-1年美債</v>
      </c>
      <c r="K76" s="219">
        <f>排行榜!P65</f>
        <v>-4.5761078998073227E-3</v>
      </c>
      <c r="L76" s="219">
        <f ca="1">排行榜!O65</f>
        <v>0.12809999999999999</v>
      </c>
      <c r="M76" s="10"/>
      <c r="N76" s="199"/>
      <c r="O76" s="199"/>
      <c r="P76" s="199"/>
      <c r="Q76" s="199"/>
      <c r="R76" s="229">
        <f ca="1">'每股盈餘(EPS)'!F45</f>
        <v>17.207894082772604</v>
      </c>
      <c r="S76" s="237"/>
      <c r="T76" s="248">
        <f ca="1">'每股盈餘(EPS)'!F46</f>
        <v>1688.2445404655618</v>
      </c>
      <c r="V76" s="235">
        <f ca="1">'每股盈餘(EPS)'!E96</f>
        <v>23.107384615384614</v>
      </c>
      <c r="W76" s="249" t="s">
        <v>148</v>
      </c>
      <c r="X76" s="239">
        <v>0</v>
      </c>
      <c r="Y76" s="119"/>
      <c r="Z76" s="119"/>
      <c r="AA76" s="119"/>
      <c r="AB76" s="212"/>
      <c r="AC76" s="212"/>
    </row>
    <row r="77" spans="1:29" ht="15.5">
      <c r="A77" s="218">
        <v>11</v>
      </c>
      <c r="B77" s="217" t="str">
        <f ca="1">排行榜!B13</f>
        <v>3017 奇鋐</v>
      </c>
      <c r="C77" s="219">
        <f ca="1">排行榜!G13</f>
        <v>1.0937499999999999E-2</v>
      </c>
      <c r="D77" s="217" t="str">
        <f ca="1">排行榜!I13</f>
        <v>5475 德宏</v>
      </c>
      <c r="E77" s="219">
        <f ca="1">排行榜!N13</f>
        <v>4.6012269938650305E-2</v>
      </c>
      <c r="F77" s="218">
        <v>11</v>
      </c>
      <c r="G77" s="217" t="str">
        <f ca="1">排行榜!B66</f>
        <v>00657K國泰日經225+U</v>
      </c>
      <c r="H77" s="219">
        <f ca="1">排行榜!H66</f>
        <v>1.976284584980237E-3</v>
      </c>
      <c r="I77" s="219">
        <f ca="1">排行榜!G66</f>
        <v>0.1</v>
      </c>
      <c r="J77" s="217" t="str">
        <f ca="1">排行榜!J66</f>
        <v>6265 方土昶</v>
      </c>
      <c r="K77" s="219">
        <f>排行榜!P66</f>
        <v>6.1120543293718167E-2</v>
      </c>
      <c r="L77" s="219">
        <f ca="1">排行榜!O66</f>
        <v>0.12670000000000001</v>
      </c>
      <c r="M77" s="10"/>
      <c r="N77" s="141"/>
      <c r="O77" s="141"/>
      <c r="P77" s="27"/>
      <c r="Q77" s="27"/>
      <c r="R77" s="229">
        <f ca="1">'每股盈餘(EPS)'!G45</f>
        <v>11.308403550160593</v>
      </c>
      <c r="S77" s="237"/>
      <c r="T77" s="250">
        <f ca="1">'每股盈餘(EPS)'!G46</f>
        <v>1109.453048880222</v>
      </c>
      <c r="V77" s="235">
        <f ca="1">'每股盈餘(EPS)'!D96</f>
        <v>17.207894082772604</v>
      </c>
      <c r="W77" s="220" t="str">
        <f>'每股盈餘(EPS)'!D95</f>
        <v>-1倍標準差</v>
      </c>
      <c r="X77" s="239"/>
      <c r="Y77" s="119"/>
      <c r="Z77" s="119"/>
      <c r="AA77" s="119"/>
      <c r="AB77" s="212"/>
      <c r="AC77" s="212"/>
    </row>
    <row r="78" spans="1:29" ht="15.5">
      <c r="A78" s="218">
        <v>12</v>
      </c>
      <c r="B78" s="217" t="str">
        <f ca="1">排行榜!B14</f>
        <v>3231 緯創</v>
      </c>
      <c r="C78" s="219">
        <f ca="1">排行榜!G14</f>
        <v>-1.7766497461928935E-2</v>
      </c>
      <c r="D78" s="217" t="str">
        <f ca="1">排行榜!I14</f>
        <v>5289 宜鼎</v>
      </c>
      <c r="E78" s="219">
        <f ca="1">排行榜!N14</f>
        <v>-3.9087947882736153E-2</v>
      </c>
      <c r="F78" s="218">
        <v>12</v>
      </c>
      <c r="G78" s="217" t="str">
        <f ca="1">排行榜!B67</f>
        <v>2465 麗臺</v>
      </c>
      <c r="H78" s="219">
        <f ca="1">排行榜!H67</f>
        <v>-8.666666666666667E-2</v>
      </c>
      <c r="I78" s="219">
        <f ca="1">排行榜!G67</f>
        <v>9.4600000000000004E-2</v>
      </c>
      <c r="J78" s="217" t="str">
        <f ca="1">排行榜!J67</f>
        <v>00847B中信美國市政債</v>
      </c>
      <c r="K78" s="219">
        <f>排行榜!P67</f>
        <v>-4.7524752475247524E-3</v>
      </c>
      <c r="L78" s="219">
        <f ca="1">排行榜!O67</f>
        <v>0.1215</v>
      </c>
      <c r="M78" s="10"/>
      <c r="N78" s="27"/>
      <c r="O78" s="27"/>
      <c r="P78" s="27"/>
      <c r="Q78" s="27"/>
      <c r="R78" s="251">
        <f ca="1">'每股盈餘(EPS)'!H45</f>
        <v>5.4089130175485813</v>
      </c>
      <c r="S78" s="83" t="s">
        <v>43</v>
      </c>
      <c r="T78" s="252">
        <f ca="1">'每股盈餘(EPS)'!H46</f>
        <v>530.6615572948823</v>
      </c>
      <c r="V78" s="235">
        <f ca="1">'每股盈餘(EPS)'!C96</f>
        <v>11.308403550160593</v>
      </c>
      <c r="W78" s="220" t="str">
        <f>'每股盈餘(EPS)'!C95</f>
        <v>-2倍標準差</v>
      </c>
      <c r="X78" s="239"/>
      <c r="Y78" s="119"/>
      <c r="Z78" s="119"/>
      <c r="AA78" s="119"/>
      <c r="AB78" s="212"/>
      <c r="AC78" s="212"/>
    </row>
    <row r="79" spans="1:29" ht="15.5">
      <c r="A79" s="218">
        <v>13</v>
      </c>
      <c r="B79" s="217" t="str">
        <f ca="1">排行榜!B15</f>
        <v>2383 台光電</v>
      </c>
      <c r="C79" s="219">
        <f ca="1">排行榜!G15</f>
        <v>8.347978910369068E-2</v>
      </c>
      <c r="D79" s="217" t="str">
        <f ca="1">排行榜!I15</f>
        <v>3260 威剛</v>
      </c>
      <c r="E79" s="219">
        <f ca="1">排行榜!N15</f>
        <v>-1.7114914425427872E-2</v>
      </c>
      <c r="F79" s="218">
        <v>13</v>
      </c>
      <c r="G79" s="217" t="str">
        <f ca="1">排行榜!B68</f>
        <v>2324 仁寶</v>
      </c>
      <c r="H79" s="219">
        <f ca="1">排行榜!H68</f>
        <v>9.9236641221374031E-2</v>
      </c>
      <c r="I79" s="219">
        <f ca="1">排行榜!G68</f>
        <v>9.1300000000000006E-2</v>
      </c>
      <c r="J79" s="217" t="str">
        <f ca="1">排行榜!J68</f>
        <v>6173 信昌電</v>
      </c>
      <c r="K79" s="219">
        <f>排行榜!P68</f>
        <v>-6.0402684563758392E-2</v>
      </c>
      <c r="L79" s="219">
        <f ca="1">排行榜!O68</f>
        <v>0.1116</v>
      </c>
      <c r="M79" s="10"/>
      <c r="N79" s="27"/>
      <c r="O79" s="27"/>
      <c r="P79" s="27"/>
      <c r="Q79" s="27"/>
      <c r="V79" s="253">
        <f ca="1">'每股盈餘(EPS)'!B96</f>
        <v>5.4089130175485813</v>
      </c>
      <c r="W79" s="254" t="str">
        <f>'每股盈餘(EPS)'!B95</f>
        <v>-3倍標準差</v>
      </c>
      <c r="X79" s="255"/>
      <c r="Y79" s="119"/>
      <c r="Z79" s="119"/>
      <c r="AA79" s="119"/>
      <c r="AB79" s="212"/>
      <c r="AC79" s="212"/>
    </row>
    <row r="80" spans="1:29" ht="15.5">
      <c r="A80" s="218">
        <v>14</v>
      </c>
      <c r="B80" s="217" t="str">
        <f ca="1">排行榜!B16</f>
        <v>2324 仁寶</v>
      </c>
      <c r="C80" s="219">
        <f ca="1">排行榜!G16</f>
        <v>9.9236641221374031E-2</v>
      </c>
      <c r="D80" s="217" t="str">
        <f ca="1">排行榜!I16</f>
        <v>6173 信昌電</v>
      </c>
      <c r="E80" s="219">
        <f ca="1">排行榜!N16</f>
        <v>-6.0402684563758392E-2</v>
      </c>
      <c r="F80" s="218">
        <v>14</v>
      </c>
      <c r="G80" s="217" t="str">
        <f ca="1">排行榜!B69</f>
        <v>2634 漢翔</v>
      </c>
      <c r="H80" s="219">
        <f ca="1">排行榜!H69</f>
        <v>9.9688473520249246E-2</v>
      </c>
      <c r="I80" s="219">
        <f ca="1">排行榜!G69</f>
        <v>8.43E-2</v>
      </c>
      <c r="J80" s="217" t="str">
        <f ca="1">排行榜!J69</f>
        <v>3498 陽程</v>
      </c>
      <c r="K80" s="219">
        <f>排行榜!P69</f>
        <v>9.7222222222222224E-2</v>
      </c>
      <c r="L80" s="219">
        <f ca="1">排行榜!O69</f>
        <v>0.1033</v>
      </c>
      <c r="M80" s="10"/>
      <c r="N80" s="27"/>
      <c r="O80" s="27"/>
      <c r="P80" s="27"/>
      <c r="Q80" s="27"/>
      <c r="Y80" s="119"/>
      <c r="Z80" s="119"/>
      <c r="AA80" s="119"/>
      <c r="AB80" s="212"/>
      <c r="AC80" s="212"/>
    </row>
    <row r="81" spans="1:29" ht="15.5">
      <c r="A81" s="218">
        <v>15</v>
      </c>
      <c r="B81" s="217" t="str">
        <f ca="1">排行榜!B17</f>
        <v>6669 緯穎</v>
      </c>
      <c r="C81" s="219">
        <f ca="1">排行榜!G17</f>
        <v>6.0131795716639208E-2</v>
      </c>
      <c r="D81" s="217" t="str">
        <f ca="1">排行榜!I17</f>
        <v>5347 世界</v>
      </c>
      <c r="E81" s="219">
        <f ca="1">排行榜!N17</f>
        <v>-1.5337423312883436E-2</v>
      </c>
      <c r="F81" s="218">
        <v>15</v>
      </c>
      <c r="G81" s="217" t="str">
        <f ca="1">排行榜!B70</f>
        <v>2484 希華</v>
      </c>
      <c r="H81" s="219">
        <f ca="1">排行榜!H70</f>
        <v>-4.0843214756258239E-2</v>
      </c>
      <c r="I81" s="219">
        <f ca="1">排行榜!G70</f>
        <v>8.3599999999999994E-2</v>
      </c>
      <c r="J81" s="217" t="str">
        <f ca="1">排行榜!J70</f>
        <v>3624 光頡</v>
      </c>
      <c r="K81" s="219">
        <f>排行榜!P70</f>
        <v>-5.8885383806519455E-2</v>
      </c>
      <c r="L81" s="219">
        <f ca="1">排行榜!O70</f>
        <v>9.5899999999999999E-2</v>
      </c>
      <c r="N81" s="8"/>
      <c r="O81" s="66"/>
      <c r="P81" s="66"/>
      <c r="Q81" s="66"/>
      <c r="AA81" s="119"/>
      <c r="AB81" s="212"/>
      <c r="AC81" s="212"/>
    </row>
    <row r="82" spans="1:29" ht="15.5">
      <c r="A82" s="218">
        <v>16</v>
      </c>
      <c r="B82" s="217" t="str">
        <f ca="1">排行榜!B18</f>
        <v>2357 華碩</v>
      </c>
      <c r="C82" s="219">
        <f ca="1">排行榜!G18</f>
        <v>6.2966915688367125E-2</v>
      </c>
      <c r="D82" s="217" t="str">
        <f ca="1">排行榜!I18</f>
        <v>3081 聯亞</v>
      </c>
      <c r="E82" s="219">
        <f ca="1">排行榜!N18</f>
        <v>-4.6904315196998121E-2</v>
      </c>
      <c r="F82" s="218">
        <v>16</v>
      </c>
      <c r="G82" s="217" t="str">
        <f ca="1">排行榜!B71</f>
        <v>00686R群益臺灣加權反1</v>
      </c>
      <c r="H82" s="219">
        <f ca="1">排行榜!H71</f>
        <v>0</v>
      </c>
      <c r="I82" s="219">
        <f ca="1">排行榜!G71</f>
        <v>8.3400000000000002E-2</v>
      </c>
      <c r="J82" s="217" t="str">
        <f ca="1">排行榜!J71</f>
        <v>5371 中光電</v>
      </c>
      <c r="K82" s="219">
        <f>排行榜!P71</f>
        <v>4.4032444959443799E-2</v>
      </c>
      <c r="L82" s="219">
        <f ca="1">排行榜!O71</f>
        <v>9.4200000000000006E-2</v>
      </c>
      <c r="O82" s="66"/>
      <c r="P82" s="66"/>
      <c r="Q82" s="66"/>
      <c r="AA82" s="119"/>
      <c r="AB82" s="212"/>
      <c r="AC82" s="212"/>
    </row>
    <row r="83" spans="1:29" ht="15.5">
      <c r="A83" s="218">
        <v>17</v>
      </c>
      <c r="B83" s="217" t="str">
        <f ca="1">排行榜!B19</f>
        <v>3661 世芯-KY</v>
      </c>
      <c r="C83" s="219">
        <f ca="1">排行榜!G19</f>
        <v>4.7732696897374704E-3</v>
      </c>
      <c r="D83" s="217" t="str">
        <f ca="1">排行榜!I19</f>
        <v>3491 昇達科</v>
      </c>
      <c r="E83" s="219">
        <f ca="1">排行榜!N19</f>
        <v>2.2304832713754646E-2</v>
      </c>
      <c r="F83" s="218">
        <v>17</v>
      </c>
      <c r="G83" s="217" t="str">
        <f ca="1">排行榜!B72</f>
        <v>00961 FT臺灣永續高息</v>
      </c>
      <c r="H83" s="219">
        <f ca="1">排行榜!H72</f>
        <v>9.7670924117205116E-3</v>
      </c>
      <c r="I83" s="219">
        <f ca="1">排行榜!G72</f>
        <v>8.1500000000000003E-2</v>
      </c>
      <c r="J83" s="217" t="str">
        <f ca="1">排行榜!J72</f>
        <v>5328 華容</v>
      </c>
      <c r="K83" s="219">
        <f>排行榜!P72</f>
        <v>-2.3255813953488375E-2</v>
      </c>
      <c r="L83" s="219">
        <f ca="1">排行榜!O72</f>
        <v>8.6599999999999996E-2</v>
      </c>
      <c r="O83" s="66"/>
      <c r="P83" s="66"/>
      <c r="Q83" s="66"/>
      <c r="AA83" s="119"/>
      <c r="AB83" s="212"/>
      <c r="AC83" s="212"/>
    </row>
    <row r="84" spans="1:29" ht="15.5">
      <c r="A84" s="218">
        <v>18</v>
      </c>
      <c r="B84" s="217" t="str">
        <f ca="1">排行榜!B20</f>
        <v>2492 華新科</v>
      </c>
      <c r="C84" s="219">
        <f ca="1">排行榜!G20</f>
        <v>-4.4233807266982623E-2</v>
      </c>
      <c r="D84" s="217" t="str">
        <f ca="1">排行榜!I20</f>
        <v>6147 頎邦</v>
      </c>
      <c r="E84" s="219">
        <f ca="1">排行榜!N20</f>
        <v>-4.2553191489361701E-2</v>
      </c>
      <c r="F84" s="218">
        <v>18</v>
      </c>
      <c r="G84" s="217" t="str">
        <f ca="1">排行榜!B73</f>
        <v>1810 和成</v>
      </c>
      <c r="H84" s="219">
        <f ca="1">排行榜!H73</f>
        <v>9.9800399201596807E-2</v>
      </c>
      <c r="I84" s="219">
        <f ca="1">排行榜!G73</f>
        <v>8.0500000000000002E-2</v>
      </c>
      <c r="J84" s="217" t="str">
        <f ca="1">排行榜!J73</f>
        <v>2061 風青</v>
      </c>
      <c r="K84" s="219">
        <f>排行榜!P73</f>
        <v>-9.9467140319715791E-2</v>
      </c>
      <c r="L84" s="219">
        <f ca="1">排行榜!O73</f>
        <v>8.4599999999999995E-2</v>
      </c>
      <c r="O84" s="256"/>
      <c r="AA84" s="119"/>
      <c r="AB84" s="212"/>
      <c r="AC84" s="212"/>
    </row>
    <row r="85" spans="1:29" ht="15.5">
      <c r="A85" s="218">
        <v>19</v>
      </c>
      <c r="B85" s="217" t="str">
        <f ca="1">排行榜!B21</f>
        <v>3443 創意</v>
      </c>
      <c r="C85" s="219">
        <f ca="1">排行榜!G21</f>
        <v>-1.3537906137184115E-2</v>
      </c>
      <c r="D85" s="217" t="str">
        <f ca="1">排行榜!I21</f>
        <v>5371 中光電</v>
      </c>
      <c r="E85" s="219">
        <f ca="1">排行榜!N21</f>
        <v>4.4032444959443799E-2</v>
      </c>
      <c r="F85" s="218">
        <v>19</v>
      </c>
      <c r="G85" s="217" t="str">
        <f ca="1">排行榜!B74</f>
        <v>6672 騰輝電子-KY</v>
      </c>
      <c r="H85" s="219">
        <f ca="1">排行榜!H74</f>
        <v>2.0793950850661626E-2</v>
      </c>
      <c r="I85" s="219">
        <f ca="1">排行榜!G74</f>
        <v>7.7100000000000002E-2</v>
      </c>
      <c r="J85" s="217" t="str">
        <f ca="1">排行榜!J74</f>
        <v>8299 群聯</v>
      </c>
      <c r="K85" s="219">
        <f>排行榜!P74</f>
        <v>-8.771929824561403E-2</v>
      </c>
      <c r="L85" s="219">
        <f ca="1">排行榜!O74</f>
        <v>7.5200000000000003E-2</v>
      </c>
      <c r="AA85" s="119"/>
      <c r="AB85" s="212"/>
      <c r="AC85" s="212"/>
    </row>
    <row r="86" spans="1:29" ht="15.5">
      <c r="A86" s="218">
        <v>20</v>
      </c>
      <c r="B86" s="217" t="str">
        <f ca="1">排行榜!B22</f>
        <v>8039 台虹</v>
      </c>
      <c r="C86" s="219">
        <f ca="1">排行榜!G22</f>
        <v>9.2184368737474945E-2</v>
      </c>
      <c r="D86" s="217" t="str">
        <f ca="1">排行榜!I22</f>
        <v>8069 元太</v>
      </c>
      <c r="E86" s="219">
        <f ca="1">排行榜!N22</f>
        <v>-3.2163742690058478E-2</v>
      </c>
      <c r="F86" s="218">
        <v>20</v>
      </c>
      <c r="G86" s="217" t="str">
        <f ca="1">排行榜!B75</f>
        <v>00668 國泰美國道瓊</v>
      </c>
      <c r="H86" s="219">
        <f ca="1">排行榜!H75</f>
        <v>-1.5847860538827259E-3</v>
      </c>
      <c r="I86" s="219">
        <f ca="1">排行榜!G75</f>
        <v>7.4999999999999997E-2</v>
      </c>
      <c r="J86" s="217" t="str">
        <f ca="1">排行榜!J75</f>
        <v>6840 東研信超</v>
      </c>
      <c r="K86" s="219">
        <f>排行榜!P75</f>
        <v>7.1428571428571438E-2</v>
      </c>
      <c r="L86" s="219">
        <f ca="1">排行榜!O75</f>
        <v>7.51E-2</v>
      </c>
      <c r="S86" s="66" t="str">
        <f ca="1">股票資訊!C8</f>
        <v>每股淨值(元)</v>
      </c>
      <c r="W86" s="212"/>
      <c r="X86" s="212"/>
      <c r="AA86" s="119"/>
      <c r="AB86" s="212"/>
      <c r="AC86" s="212"/>
    </row>
    <row r="87" spans="1:29" ht="15.5">
      <c r="A87" s="218">
        <v>21</v>
      </c>
      <c r="B87" s="217" t="str">
        <f ca="1">排行榜!B23</f>
        <v>2382 廣達</v>
      </c>
      <c r="C87" s="219">
        <f ca="1">排行榜!G23</f>
        <v>7.6923076923076927E-3</v>
      </c>
      <c r="D87" s="217" t="str">
        <f ca="1">排行榜!I23</f>
        <v>6223 旺矽</v>
      </c>
      <c r="E87" s="219">
        <f ca="1">排行榜!N23</f>
        <v>-8.4680523479599683E-3</v>
      </c>
      <c r="F87" s="218">
        <v>21</v>
      </c>
      <c r="G87" s="217" t="str">
        <f ca="1">排行榜!B76</f>
        <v>8222 寶一</v>
      </c>
      <c r="H87" s="219">
        <f ca="1">排行榜!H76</f>
        <v>4.4247787610619475E-2</v>
      </c>
      <c r="I87" s="219">
        <f ca="1">排行榜!G76</f>
        <v>7.1499999999999994E-2</v>
      </c>
      <c r="J87" s="217" t="str">
        <f ca="1">排行榜!J76</f>
        <v>6727 亞泰金屬</v>
      </c>
      <c r="K87" s="219">
        <f>排行榜!P76</f>
        <v>9.9236641221374045E-2</v>
      </c>
      <c r="L87" s="219">
        <f ca="1">排行榜!O76</f>
        <v>7.2400000000000006E-2</v>
      </c>
      <c r="S87" s="66">
        <f>股票資訊!D8</f>
        <v>249.67</v>
      </c>
      <c r="W87" s="212"/>
      <c r="X87" s="212"/>
      <c r="AA87" s="119"/>
      <c r="AB87" s="212"/>
      <c r="AC87" s="212"/>
    </row>
    <row r="88" spans="1:29" ht="15.5">
      <c r="A88" s="218">
        <v>22</v>
      </c>
      <c r="B88" s="217" t="str">
        <f ca="1">排行榜!B24</f>
        <v>2303 聯電</v>
      </c>
      <c r="C88" s="219">
        <f ca="1">排行榜!G24</f>
        <v>-2.8112449799196786E-2</v>
      </c>
      <c r="D88" s="217" t="str">
        <f ca="1">排行榜!I24</f>
        <v>3211 順達</v>
      </c>
      <c r="E88" s="219">
        <f ca="1">排行榜!N24</f>
        <v>-3.8130381303813035E-2</v>
      </c>
      <c r="F88" s="218">
        <v>22</v>
      </c>
      <c r="G88" s="217" t="str">
        <f ca="1">排行榜!B77</f>
        <v>6753 龍德造船</v>
      </c>
      <c r="H88" s="219">
        <f ca="1">排行榜!H77</f>
        <v>9.7222222222222224E-2</v>
      </c>
      <c r="I88" s="219">
        <f ca="1">排行榜!G77</f>
        <v>6.9500000000000006E-2</v>
      </c>
      <c r="J88" s="217" t="str">
        <f ca="1">排行榜!J77</f>
        <v>009825聯邦美國金融創新</v>
      </c>
      <c r="K88" s="219">
        <f>排行榜!P77</f>
        <v>1.3861386138613863E-2</v>
      </c>
      <c r="L88" s="219">
        <f ca="1">排行榜!O77</f>
        <v>6.8699999999999997E-2</v>
      </c>
      <c r="X88" s="212"/>
      <c r="AA88" s="119"/>
      <c r="AB88" s="212"/>
      <c r="AC88" s="212"/>
    </row>
    <row r="89" spans="1:29" ht="15.5">
      <c r="A89" s="218">
        <v>23</v>
      </c>
      <c r="B89" s="217" t="str">
        <f ca="1">排行榜!B25</f>
        <v>2317 鴻海</v>
      </c>
      <c r="C89" s="219">
        <f ca="1">排行榜!G25</f>
        <v>-9.5419847328244278E-3</v>
      </c>
      <c r="D89" s="217" t="str">
        <f ca="1">排行榜!I25</f>
        <v>3529 力旺</v>
      </c>
      <c r="E89" s="219">
        <f ca="1">排行榜!N25</f>
        <v>-1.6666666666666666E-2</v>
      </c>
      <c r="F89" s="218">
        <v>23</v>
      </c>
      <c r="G89" s="217" t="str">
        <f ca="1">排行榜!B78</f>
        <v>8271 宇瞻</v>
      </c>
      <c r="H89" s="219">
        <f ca="1">排行榜!H78</f>
        <v>1.5250544662309368E-2</v>
      </c>
      <c r="I89" s="219">
        <f ca="1">排行榜!G78</f>
        <v>6.8599999999999994E-2</v>
      </c>
      <c r="J89" s="217" t="str">
        <f ca="1">排行榜!J78</f>
        <v>6716 應廣</v>
      </c>
      <c r="K89" s="219">
        <f>排行榜!P78</f>
        <v>5.106382978723404E-2</v>
      </c>
      <c r="L89" s="219">
        <f ca="1">排行榜!O78</f>
        <v>6.8699999999999997E-2</v>
      </c>
      <c r="X89" s="212"/>
      <c r="AA89" s="119"/>
      <c r="AB89" s="212"/>
      <c r="AC89" s="212"/>
    </row>
    <row r="90" spans="1:29" ht="15.5">
      <c r="A90" s="218">
        <v>24</v>
      </c>
      <c r="B90" s="217" t="str">
        <f ca="1">排行榜!B26</f>
        <v>2337 旺宏</v>
      </c>
      <c r="C90" s="219">
        <f ca="1">排行榜!G26</f>
        <v>3.663003663003663E-3</v>
      </c>
      <c r="D90" s="217" t="str">
        <f ca="1">排行榜!I26</f>
        <v>6510 精測</v>
      </c>
      <c r="E90" s="219">
        <f ca="1">排行榜!N26</f>
        <v>6.0283687943262408E-2</v>
      </c>
      <c r="F90" s="218">
        <v>24</v>
      </c>
      <c r="G90" s="217" t="str">
        <f ca="1">排行榜!B79</f>
        <v>4989 榮科</v>
      </c>
      <c r="H90" s="219">
        <f ca="1">排行榜!H79</f>
        <v>-6.4935064935064943E-2</v>
      </c>
      <c r="I90" s="219">
        <f ca="1">排行榜!G79</f>
        <v>6.7500000000000004E-2</v>
      </c>
      <c r="J90" s="217" t="str">
        <f ca="1">排行榜!J79</f>
        <v>3374 精材</v>
      </c>
      <c r="K90" s="219">
        <f>排行榜!P79</f>
        <v>0</v>
      </c>
      <c r="L90" s="219">
        <f ca="1">排行榜!O79</f>
        <v>6.83E-2</v>
      </c>
      <c r="X90" s="212"/>
      <c r="AA90" s="119"/>
      <c r="AB90" s="212"/>
      <c r="AC90" s="212"/>
    </row>
    <row r="91" spans="1:29" ht="15.5">
      <c r="A91" s="218">
        <v>25</v>
      </c>
      <c r="B91" s="217" t="str">
        <f ca="1">排行榜!B27</f>
        <v>3481 群創</v>
      </c>
      <c r="C91" s="219">
        <f ca="1">排行榜!G27</f>
        <v>1.417004048582996E-2</v>
      </c>
      <c r="D91" s="217" t="str">
        <f ca="1">排行榜!I27</f>
        <v>3324 雙鴻</v>
      </c>
      <c r="E91" s="219">
        <f ca="1">排行榜!N27</f>
        <v>-2.4154589371980676E-2</v>
      </c>
      <c r="F91" s="218">
        <v>25</v>
      </c>
      <c r="G91" s="217" t="str">
        <f ca="1">排行榜!B80</f>
        <v>8996 高力</v>
      </c>
      <c r="H91" s="219">
        <f ca="1">排行榜!H80</f>
        <v>-3.8910505836575876E-3</v>
      </c>
      <c r="I91" s="219">
        <f ca="1">排行榜!G80</f>
        <v>6.6299999999999998E-2</v>
      </c>
      <c r="J91" s="217" t="str">
        <f ca="1">排行榜!J80</f>
        <v>3287 廣寰科</v>
      </c>
      <c r="K91" s="219">
        <f>排行榜!P80</f>
        <v>5.0420168067226885E-2</v>
      </c>
      <c r="L91" s="219">
        <f ca="1">排行榜!O80</f>
        <v>6.4100000000000004E-2</v>
      </c>
      <c r="X91" s="212"/>
      <c r="AA91" s="119"/>
      <c r="AB91" s="212"/>
      <c r="AC91" s="212"/>
    </row>
    <row r="92" spans="1:29" ht="15.5">
      <c r="A92" s="218">
        <v>26</v>
      </c>
      <c r="B92" s="217" t="str">
        <f ca="1">排行榜!B28</f>
        <v>3711 日月光投控</v>
      </c>
      <c r="C92" s="219">
        <f ca="1">排行榜!G28</f>
        <v>-1.5974440894568689E-2</v>
      </c>
      <c r="D92" s="217" t="str">
        <f ca="1">排行榜!I28</f>
        <v>4979 華星光</v>
      </c>
      <c r="E92" s="219">
        <f ca="1">排行榜!N28</f>
        <v>-7.4468085106382975E-2</v>
      </c>
      <c r="F92" s="218">
        <v>26</v>
      </c>
      <c r="G92" s="217" t="str">
        <f ca="1">排行榜!B81</f>
        <v>2399 映泰</v>
      </c>
      <c r="H92" s="219">
        <f ca="1">排行榜!H81</f>
        <v>3.4909909909909907E-2</v>
      </c>
      <c r="I92" s="219">
        <f ca="1">排行榜!G81</f>
        <v>6.4299999999999996E-2</v>
      </c>
      <c r="J92" s="217" t="str">
        <f ca="1">排行榜!J81</f>
        <v>6432 今展科</v>
      </c>
      <c r="K92" s="219">
        <f>排行榜!P81</f>
        <v>-7.9487179487179496E-2</v>
      </c>
      <c r="L92" s="219">
        <f ca="1">排行榜!O81</f>
        <v>6.2799999999999995E-2</v>
      </c>
      <c r="X92" s="212"/>
      <c r="AA92" s="119"/>
      <c r="AB92" s="212"/>
      <c r="AC92" s="212"/>
    </row>
    <row r="93" spans="1:29" ht="15.5">
      <c r="A93" s="218">
        <v>27</v>
      </c>
      <c r="B93" s="217" t="str">
        <f ca="1">排行榜!B29</f>
        <v>3037 欣興</v>
      </c>
      <c r="C93" s="219">
        <f ca="1">排行榜!G29</f>
        <v>0.02</v>
      </c>
      <c r="D93" s="217" t="str">
        <f ca="1">排行榜!I29</f>
        <v>6584 南俊國際</v>
      </c>
      <c r="E93" s="219">
        <f ca="1">排行榜!N29</f>
        <v>1.340033500837521E-2</v>
      </c>
      <c r="F93" s="218">
        <v>27</v>
      </c>
      <c r="G93" s="217" t="str">
        <f ca="1">排行榜!B82</f>
        <v>4916 事欣科</v>
      </c>
      <c r="H93" s="219">
        <f ca="1">排行榜!H82</f>
        <v>4.4334975369458129E-2</v>
      </c>
      <c r="I93" s="219">
        <f ca="1">排行榜!G82</f>
        <v>6.1899999999999997E-2</v>
      </c>
      <c r="J93" s="217" t="str">
        <f ca="1">排行榜!J82</f>
        <v>7584 樂意</v>
      </c>
      <c r="K93" s="219">
        <f>排行榜!P82</f>
        <v>9.433962264150943E-3</v>
      </c>
      <c r="L93" s="219">
        <f ca="1">排行榜!O82</f>
        <v>6.1800000000000001E-2</v>
      </c>
      <c r="X93" s="212"/>
      <c r="Y93" s="119"/>
      <c r="Z93" s="119"/>
      <c r="AA93" s="119"/>
      <c r="AB93" s="212"/>
      <c r="AC93" s="212"/>
    </row>
    <row r="94" spans="1:29" ht="15.5">
      <c r="A94" s="218">
        <v>28</v>
      </c>
      <c r="B94" s="217" t="str">
        <f ca="1">排行榜!B30</f>
        <v>2368 金像電</v>
      </c>
      <c r="C94" s="219">
        <f ca="1">排行榜!G30</f>
        <v>4.9504950495049506E-3</v>
      </c>
      <c r="D94" s="217" t="str">
        <f ca="1">排行榜!I30</f>
        <v>6683 雍智科技</v>
      </c>
      <c r="E94" s="219">
        <f ca="1">排行榜!N30</f>
        <v>-1.7921146953405017E-2</v>
      </c>
      <c r="F94" s="218">
        <v>28</v>
      </c>
      <c r="G94" s="217" t="str">
        <f ca="1">排行榜!B83</f>
        <v>00632R元大台灣50反1</v>
      </c>
      <c r="H94" s="219">
        <f ca="1">排行榜!H83</f>
        <v>6.0301507537688448E-3</v>
      </c>
      <c r="I94" s="219">
        <f ca="1">排行榜!G83</f>
        <v>0.06</v>
      </c>
      <c r="J94" s="217" t="str">
        <f ca="1">排行榜!J83</f>
        <v>4127 天良</v>
      </c>
      <c r="K94" s="219">
        <f>排行榜!P83</f>
        <v>3.6144578313253009E-3</v>
      </c>
      <c r="L94" s="219">
        <f ca="1">排行榜!O83</f>
        <v>6.1699999999999998E-2</v>
      </c>
      <c r="X94" s="212"/>
      <c r="Y94" s="119"/>
      <c r="Z94" s="119"/>
      <c r="AA94" s="119"/>
      <c r="AB94" s="212"/>
      <c r="AC94" s="212"/>
    </row>
    <row r="95" spans="1:29" ht="15.5">
      <c r="A95" s="218">
        <v>29</v>
      </c>
      <c r="B95" s="217" t="str">
        <f ca="1">排行榜!B31</f>
        <v>00981A主動統一台股增長</v>
      </c>
      <c r="C95" s="219">
        <f ca="1">排行榜!G31</f>
        <v>9.0150250417362285E-3</v>
      </c>
      <c r="D95" s="217" t="str">
        <f ca="1">排行榜!I31</f>
        <v>3363 上詮</v>
      </c>
      <c r="E95" s="219">
        <f ca="1">排行榜!N31</f>
        <v>-2.3333333333333334E-2</v>
      </c>
      <c r="F95" s="218">
        <v>29</v>
      </c>
      <c r="G95" s="217" t="str">
        <f ca="1">排行榜!B84</f>
        <v>00984D主動聯博全球非投</v>
      </c>
      <c r="H95" s="219">
        <f ca="1">排行榜!H84</f>
        <v>-2.9556650246305421E-3</v>
      </c>
      <c r="I95" s="219">
        <f ca="1">排行榜!G84</f>
        <v>5.8599999999999999E-2</v>
      </c>
      <c r="J95" s="217" t="str">
        <f ca="1">排行榜!J84</f>
        <v>00860B群益1-5Y投資級債</v>
      </c>
      <c r="K95" s="219">
        <f>排行榜!P84</f>
        <v>-4.1269022440030955E-3</v>
      </c>
      <c r="L95" s="219">
        <f ca="1">排行榜!O84</f>
        <v>5.8799999999999998E-2</v>
      </c>
      <c r="X95" s="212"/>
      <c r="Y95" s="119"/>
      <c r="Z95" s="119"/>
      <c r="AA95" s="119"/>
      <c r="AB95" s="212"/>
      <c r="AC95" s="212"/>
    </row>
    <row r="96" spans="1:29" ht="15.5">
      <c r="A96" s="218">
        <v>30</v>
      </c>
      <c r="B96" s="217" t="str">
        <f ca="1">排行榜!B32</f>
        <v>0050 元大台灣50</v>
      </c>
      <c r="C96" s="219">
        <f ca="1">排行榜!G32</f>
        <v>-2.8116213683223989E-3</v>
      </c>
      <c r="D96" s="217" t="str">
        <f ca="1">排行榜!I32</f>
        <v>5351 鈺創</v>
      </c>
      <c r="E96" s="219">
        <f ca="1">排行榜!N32</f>
        <v>3.1007751937984496E-2</v>
      </c>
      <c r="F96" s="218">
        <v>30</v>
      </c>
      <c r="G96" s="217" t="str">
        <f ca="1">排行榜!B85</f>
        <v>00715L期街口布蘭特正2</v>
      </c>
      <c r="H96" s="219">
        <f ca="1">排行榜!H85</f>
        <v>-3.4403669724770637E-2</v>
      </c>
      <c r="I96" s="219">
        <f ca="1">排行榜!G85</f>
        <v>5.7500000000000002E-2</v>
      </c>
      <c r="J96" s="217" t="str">
        <f ca="1">排行榜!J85</f>
        <v>4760 勤凱</v>
      </c>
      <c r="K96" s="219">
        <f>排行榜!P85</f>
        <v>-7.7738515901060068E-2</v>
      </c>
      <c r="L96" s="219">
        <f ca="1">排行榜!O85</f>
        <v>5.7200000000000001E-2</v>
      </c>
      <c r="V96" s="4" t="s">
        <v>149</v>
      </c>
      <c r="X96" s="212"/>
      <c r="Y96" s="66" t="s">
        <v>150</v>
      </c>
      <c r="Z96" s="119"/>
      <c r="AA96" s="119"/>
      <c r="AB96" s="212"/>
      <c r="AC96" s="212"/>
    </row>
    <row r="97" spans="1:29" ht="15.5">
      <c r="A97" s="218">
        <v>31</v>
      </c>
      <c r="B97" s="217" t="str">
        <f ca="1">排行榜!B33</f>
        <v>3008 大立光</v>
      </c>
      <c r="C97" s="219">
        <f ca="1">排行榜!G33</f>
        <v>-1.0729613733905579E-2</v>
      </c>
      <c r="D97" s="217" t="str">
        <f ca="1">排行榜!I33</f>
        <v>3131 弘塑</v>
      </c>
      <c r="E97" s="219">
        <f ca="1">排行榜!N33</f>
        <v>-3.7950664136622389E-2</v>
      </c>
      <c r="F97" s="218">
        <v>31</v>
      </c>
      <c r="G97" s="217" t="str">
        <f ca="1">排行榜!B86</f>
        <v>8150 南茂</v>
      </c>
      <c r="H97" s="219">
        <f ca="1">排行榜!H86</f>
        <v>-1.076426264800861E-2</v>
      </c>
      <c r="I97" s="219">
        <f ca="1">排行榜!G86</f>
        <v>5.6800000000000003E-2</v>
      </c>
      <c r="J97" s="217" t="str">
        <f ca="1">排行榜!J86</f>
        <v>3693 營邦</v>
      </c>
      <c r="K97" s="219">
        <f>排行榜!P86</f>
        <v>-2.8985507246376812E-2</v>
      </c>
      <c r="L97" s="219">
        <f ca="1">排行榜!O86</f>
        <v>5.57E-2</v>
      </c>
      <c r="X97" s="212"/>
      <c r="Y97" s="66" t="s">
        <v>151</v>
      </c>
      <c r="Z97" s="119"/>
      <c r="AA97" s="119"/>
      <c r="AB97" s="212"/>
      <c r="AC97" s="212"/>
    </row>
    <row r="98" spans="1:29" ht="15.5">
      <c r="A98" s="218">
        <v>32</v>
      </c>
      <c r="B98" s="217" t="str">
        <f ca="1">排行榜!B34</f>
        <v>3533 嘉澤</v>
      </c>
      <c r="C98" s="219">
        <f ca="1">排行榜!G34</f>
        <v>-4.9723756906077346E-2</v>
      </c>
      <c r="D98" s="217" t="str">
        <f ca="1">排行榜!I34</f>
        <v>3264 欣銓</v>
      </c>
      <c r="E98" s="219">
        <f ca="1">排行榜!N34</f>
        <v>-2.1691973969631236E-2</v>
      </c>
      <c r="F98" s="218">
        <v>32</v>
      </c>
      <c r="G98" s="217" t="str">
        <f ca="1">排行榜!B87</f>
        <v>4958 臻鼎-KY</v>
      </c>
      <c r="H98" s="219">
        <f ca="1">排行榜!H87</f>
        <v>2.5130890052356022E-2</v>
      </c>
      <c r="I98" s="219">
        <f ca="1">排行榜!G87</f>
        <v>5.6500000000000002E-2</v>
      </c>
      <c r="J98" s="217" t="str">
        <f ca="1">排行榜!J87</f>
        <v>8096 擎亞</v>
      </c>
      <c r="K98" s="219">
        <f>排行榜!P87</f>
        <v>-7.1713147410358571E-2</v>
      </c>
      <c r="L98" s="219">
        <f ca="1">排行榜!O87</f>
        <v>5.5399999999999998E-2</v>
      </c>
      <c r="X98" s="212"/>
      <c r="Y98" s="66" t="s">
        <v>152</v>
      </c>
      <c r="Z98" s="119"/>
      <c r="AA98" s="119"/>
      <c r="AB98" s="212"/>
      <c r="AC98" s="212"/>
    </row>
    <row r="99" spans="1:29" ht="15.5">
      <c r="A99" s="218">
        <v>33</v>
      </c>
      <c r="B99" s="217" t="str">
        <f ca="1">排行榜!B35</f>
        <v>8996 高力</v>
      </c>
      <c r="C99" s="219">
        <f ca="1">排行榜!G35</f>
        <v>-3.8910505836575876E-3</v>
      </c>
      <c r="D99" s="217" t="str">
        <f ca="1">排行榜!I35</f>
        <v>3693 營邦</v>
      </c>
      <c r="E99" s="219">
        <f ca="1">排行榜!N35</f>
        <v>-2.8985507246376812E-2</v>
      </c>
      <c r="F99" s="218">
        <v>33</v>
      </c>
      <c r="G99" s="217" t="str">
        <f ca="1">排行榜!B88</f>
        <v>00643K群益深証中小+R</v>
      </c>
      <c r="H99" s="219">
        <f ca="1">排行榜!H88</f>
        <v>-7.3891625615763535E-3</v>
      </c>
      <c r="I99" s="219">
        <f ca="1">排行榜!G88</f>
        <v>5.5800000000000002E-2</v>
      </c>
      <c r="J99" s="217" t="str">
        <f ca="1">排行榜!J88</f>
        <v>00988B玉山嚴選非投債</v>
      </c>
      <c r="K99" s="219">
        <f>排行榜!P88</f>
        <v>-1.002004008016032E-3</v>
      </c>
      <c r="L99" s="219">
        <f ca="1">排行榜!O88</f>
        <v>5.3499999999999999E-2</v>
      </c>
      <c r="O99" s="256"/>
      <c r="T99" s="212"/>
      <c r="U99" s="212"/>
      <c r="V99" s="212"/>
      <c r="W99" s="212"/>
      <c r="X99" s="212"/>
      <c r="Y99" s="66" t="s">
        <v>153</v>
      </c>
      <c r="Z99" s="119"/>
      <c r="AA99" s="119"/>
      <c r="AB99" s="212"/>
      <c r="AC99" s="212"/>
    </row>
    <row r="100" spans="1:29" ht="15.5">
      <c r="A100" s="218">
        <v>34</v>
      </c>
      <c r="B100" s="217" t="str">
        <f ca="1">排行榜!B36</f>
        <v>2345 智邦</v>
      </c>
      <c r="C100" s="219">
        <f ca="1">排行榜!G36</f>
        <v>1.3215859030837005E-2</v>
      </c>
      <c r="D100" s="217" t="str">
        <f ca="1">排行榜!I36</f>
        <v>4541 晟田</v>
      </c>
      <c r="E100" s="219">
        <f ca="1">排行榜!N36</f>
        <v>1.7906336088154267E-2</v>
      </c>
      <c r="F100" s="218">
        <v>34</v>
      </c>
      <c r="G100" s="217" t="str">
        <f ca="1">排行榜!B89</f>
        <v>00676R富邦臺灣加權反1</v>
      </c>
      <c r="H100" s="219">
        <f ca="1">排行榜!H89</f>
        <v>5.4545454545454541E-3</v>
      </c>
      <c r="I100" s="219">
        <f ca="1">排行榜!G89</f>
        <v>5.4899999999999997E-2</v>
      </c>
      <c r="J100" s="217" t="str">
        <f ca="1">排行榜!J89</f>
        <v>5439 高技</v>
      </c>
      <c r="K100" s="219">
        <f>排行榜!P89</f>
        <v>-1.2E-2</v>
      </c>
      <c r="L100" s="219">
        <f ca="1">排行榜!O89</f>
        <v>5.2499999999999998E-2</v>
      </c>
      <c r="O100" s="233"/>
      <c r="X100" s="212"/>
      <c r="Y100" s="66" t="s">
        <v>154</v>
      </c>
      <c r="Z100" s="119"/>
      <c r="AA100" s="119"/>
      <c r="AB100" s="212"/>
      <c r="AC100" s="212"/>
    </row>
    <row r="101" spans="1:29" ht="15.5">
      <c r="A101" s="218">
        <v>35</v>
      </c>
      <c r="B101" s="217" t="str">
        <f ca="1">排行榜!B37</f>
        <v>00631L元大台灣50正2</v>
      </c>
      <c r="C101" s="219">
        <f ca="1">排行榜!G37</f>
        <v>-1.6533480297602644E-2</v>
      </c>
      <c r="D101" s="217" t="str">
        <f ca="1">排行榜!I37</f>
        <v>5904 寶雅*</v>
      </c>
      <c r="E101" s="219">
        <f ca="1">排行榜!N37</f>
        <v>-3.4229828850855744E-2</v>
      </c>
      <c r="F101" s="218">
        <v>35</v>
      </c>
      <c r="G101" s="217" t="str">
        <f ca="1">排行榜!B90</f>
        <v>4967 十銓</v>
      </c>
      <c r="H101" s="219">
        <f ca="1">排行榜!H90</f>
        <v>-1.9607843137254902E-2</v>
      </c>
      <c r="I101" s="219">
        <f ca="1">排行榜!G90</f>
        <v>5.4800000000000001E-2</v>
      </c>
      <c r="J101" s="217" t="str">
        <f ca="1">排行榜!J90</f>
        <v>8383 千附</v>
      </c>
      <c r="K101" s="219">
        <f>排行榜!P90</f>
        <v>6.0734463276836161E-2</v>
      </c>
      <c r="L101" s="219">
        <f ca="1">排行榜!O90</f>
        <v>5.2299999999999999E-2</v>
      </c>
      <c r="O101" s="233"/>
      <c r="X101" s="212"/>
      <c r="Y101" s="66" t="s">
        <v>155</v>
      </c>
      <c r="Z101" s="119"/>
      <c r="AA101" s="119"/>
      <c r="AB101" s="212"/>
      <c r="AC101" s="212"/>
    </row>
    <row r="102" spans="1:29" ht="15.5">
      <c r="A102" s="218">
        <v>36</v>
      </c>
      <c r="B102" s="217" t="str">
        <f ca="1">排行榜!B38</f>
        <v>3653 健策</v>
      </c>
      <c r="C102" s="219">
        <f ca="1">排行榜!G38</f>
        <v>4.7464940668824167E-2</v>
      </c>
      <c r="D102" s="217" t="str">
        <f ca="1">排行榜!I38</f>
        <v>4939 亞電</v>
      </c>
      <c r="E102" s="219">
        <f ca="1">排行榜!N38</f>
        <v>-3.912363067292645E-2</v>
      </c>
      <c r="F102" s="218">
        <v>36</v>
      </c>
      <c r="G102" s="217" t="str">
        <f ca="1">排行榜!B91</f>
        <v>2483 百容</v>
      </c>
      <c r="H102" s="219">
        <f ca="1">排行榜!H91</f>
        <v>-4.868913857677902E-2</v>
      </c>
      <c r="I102" s="219">
        <f ca="1">排行榜!G91</f>
        <v>5.4100000000000002E-2</v>
      </c>
      <c r="J102" s="217" t="str">
        <f ca="1">排行榜!J91</f>
        <v>4510 高鋒</v>
      </c>
      <c r="K102" s="219">
        <f>排行榜!P91</f>
        <v>1.6411378555798686E-2</v>
      </c>
      <c r="L102" s="219">
        <f ca="1">排行榜!O91</f>
        <v>5.2200000000000003E-2</v>
      </c>
      <c r="X102" s="212"/>
      <c r="Y102" s="119"/>
      <c r="Z102" s="119"/>
      <c r="AA102" s="119"/>
      <c r="AB102" s="212"/>
      <c r="AC102" s="212"/>
    </row>
    <row r="103" spans="1:29" ht="15.5">
      <c r="A103" s="218">
        <v>37</v>
      </c>
      <c r="B103" s="217" t="str">
        <f ca="1">排行榜!B39</f>
        <v>6446 藥華藥</v>
      </c>
      <c r="C103" s="219">
        <f ca="1">排行榜!G39</f>
        <v>3.8062283737024222E-2</v>
      </c>
      <c r="D103" s="217" t="str">
        <f ca="1">排行榜!I39</f>
        <v>5439 高技</v>
      </c>
      <c r="E103" s="219">
        <f ca="1">排行榜!N39</f>
        <v>-1.2E-2</v>
      </c>
      <c r="F103" s="218">
        <v>37</v>
      </c>
      <c r="G103" s="217" t="str">
        <f ca="1">排行榜!B92</f>
        <v>2344 華邦電</v>
      </c>
      <c r="H103" s="219">
        <f ca="1">排行榜!H92</f>
        <v>3.6723163841807911E-2</v>
      </c>
      <c r="I103" s="219">
        <f ca="1">排行榜!G92</f>
        <v>5.3600000000000002E-2</v>
      </c>
      <c r="J103" s="217" t="str">
        <f ca="1">排行榜!J92</f>
        <v>6419 京晨科</v>
      </c>
      <c r="K103" s="219">
        <f>排行榜!P92</f>
        <v>2.9850746268656717E-3</v>
      </c>
      <c r="L103" s="219">
        <f ca="1">排行榜!O92</f>
        <v>5.1499999999999997E-2</v>
      </c>
      <c r="X103" s="257"/>
      <c r="Y103" s="119"/>
      <c r="Z103" s="119"/>
      <c r="AA103" s="119"/>
      <c r="AB103" s="257"/>
      <c r="AC103" s="257"/>
    </row>
    <row r="104" spans="1:29" ht="15.5">
      <c r="A104" s="218">
        <v>38</v>
      </c>
      <c r="B104" s="217" t="str">
        <f ca="1">排行榜!B40</f>
        <v>2301 光寶科</v>
      </c>
      <c r="C104" s="219">
        <f ca="1">排行榜!G40</f>
        <v>-9.2764378478664197E-3</v>
      </c>
      <c r="D104" s="217" t="str">
        <f ca="1">排行榜!I40</f>
        <v>5536 聖暉*</v>
      </c>
      <c r="E104" s="219">
        <f ca="1">排行榜!N40</f>
        <v>2.4363233665559248E-2</v>
      </c>
      <c r="F104" s="218">
        <v>38</v>
      </c>
      <c r="G104" s="217" t="str">
        <f ca="1">排行榜!B93</f>
        <v>00708L期元大S＆P黃金正2</v>
      </c>
      <c r="H104" s="219">
        <f ca="1">排行榜!H93</f>
        <v>-4.1945288753799395E-2</v>
      </c>
      <c r="I104" s="219">
        <f ca="1">排行榜!G93</f>
        <v>5.1400000000000001E-2</v>
      </c>
      <c r="J104" s="217" t="str">
        <f ca="1">排行榜!J93</f>
        <v>6259 百徽</v>
      </c>
      <c r="K104" s="219">
        <f>排行榜!P93</f>
        <v>4.5312499999999999E-2</v>
      </c>
      <c r="L104" s="219">
        <f ca="1">排行榜!O93</f>
        <v>5.0799999999999998E-2</v>
      </c>
      <c r="X104" s="257"/>
      <c r="Y104" s="119"/>
      <c r="Z104" s="119"/>
      <c r="AA104" s="119"/>
      <c r="AB104" s="257"/>
      <c r="AC104" s="257"/>
    </row>
    <row r="105" spans="1:29" ht="15.5">
      <c r="A105" s="218">
        <v>39</v>
      </c>
      <c r="B105" s="217" t="str">
        <f ca="1">排行榜!B41</f>
        <v>2376 技嘉</v>
      </c>
      <c r="C105" s="219">
        <f ca="1">排行榜!G41</f>
        <v>1.0165184243964422E-2</v>
      </c>
      <c r="D105" s="217" t="str">
        <f ca="1">排行榜!I41</f>
        <v>3357 臺慶科</v>
      </c>
      <c r="E105" s="219">
        <f ca="1">排行榜!N41</f>
        <v>-9.8619329388560162E-2</v>
      </c>
      <c r="F105" s="218">
        <v>39</v>
      </c>
      <c r="G105" s="217" t="str">
        <f ca="1">排行榜!B94</f>
        <v>2478 大毅</v>
      </c>
      <c r="H105" s="219">
        <f ca="1">排行榜!H94</f>
        <v>-1.5384615384615385E-2</v>
      </c>
      <c r="I105" s="219">
        <f ca="1">排行榜!G94</f>
        <v>4.9700000000000001E-2</v>
      </c>
      <c r="J105" s="217" t="str">
        <f ca="1">排行榜!J94</f>
        <v>00980T平衡凱基美國TOP</v>
      </c>
      <c r="K105" s="219">
        <f>排行榜!P94</f>
        <v>4.1841004184100423E-3</v>
      </c>
      <c r="L105" s="219">
        <f ca="1">排行榜!O94</f>
        <v>4.8399999999999999E-2</v>
      </c>
      <c r="M105" s="233"/>
      <c r="X105" s="257"/>
      <c r="Y105" s="119"/>
      <c r="Z105" s="119"/>
      <c r="AA105" s="119"/>
      <c r="AB105" s="257"/>
      <c r="AC105" s="257"/>
    </row>
    <row r="106" spans="1:29" ht="15.5">
      <c r="A106" s="218">
        <v>40</v>
      </c>
      <c r="B106" s="217" t="str">
        <f ca="1">排行榜!B42</f>
        <v>2313 華通</v>
      </c>
      <c r="C106" s="219">
        <f ca="1">排行榜!G42</f>
        <v>1.6509433962264151E-2</v>
      </c>
      <c r="D106" s="217" t="str">
        <f ca="1">排行榜!I42</f>
        <v>6538 倉和</v>
      </c>
      <c r="E106" s="219">
        <f ca="1">排行榜!N42</f>
        <v>3.6619718309859155E-2</v>
      </c>
      <c r="F106" s="218">
        <v>40</v>
      </c>
      <c r="G106" s="217" t="str">
        <f ca="1">排行榜!B95</f>
        <v>2305 全友</v>
      </c>
      <c r="H106" s="219">
        <f ca="1">排行榜!H95</f>
        <v>-3.927986906710311E-2</v>
      </c>
      <c r="I106" s="219">
        <f ca="1">排行榜!G95</f>
        <v>4.9500000000000002E-2</v>
      </c>
      <c r="J106" s="217" t="str">
        <f ca="1">排行榜!J95</f>
        <v>8043 蜜望實</v>
      </c>
      <c r="K106" s="219">
        <f>排行榜!P95</f>
        <v>-5.1948051948051951E-2</v>
      </c>
      <c r="L106" s="219">
        <f ca="1">排行榜!O95</f>
        <v>4.7800000000000002E-2</v>
      </c>
      <c r="M106" s="233"/>
      <c r="X106" s="257"/>
      <c r="Y106" s="119"/>
      <c r="Z106" s="119"/>
      <c r="AA106" s="119"/>
      <c r="AB106" s="257"/>
      <c r="AC106" s="257"/>
    </row>
    <row r="107" spans="1:29" ht="15.5">
      <c r="A107" s="218">
        <v>41</v>
      </c>
      <c r="B107" s="217" t="str">
        <f ca="1">排行榜!B43</f>
        <v>2634 漢翔</v>
      </c>
      <c r="C107" s="219">
        <f ca="1">排行榜!G43</f>
        <v>9.9688473520249246E-2</v>
      </c>
      <c r="D107" s="217" t="str">
        <f ca="1">排行榜!I43</f>
        <v>3362 先進光</v>
      </c>
      <c r="E107" s="219">
        <f ca="1">排行榜!N43</f>
        <v>-4.9723756906077346E-2</v>
      </c>
      <c r="F107" s="218">
        <v>41</v>
      </c>
      <c r="G107" s="217" t="str">
        <f ca="1">排行榜!B96</f>
        <v>3094 聯傑</v>
      </c>
      <c r="H107" s="219">
        <f ca="1">排行榜!H96</f>
        <v>-2.7061855670103097E-2</v>
      </c>
      <c r="I107" s="219">
        <f ca="1">排行榜!G96</f>
        <v>4.9099999999999998E-2</v>
      </c>
      <c r="J107" s="217" t="str">
        <f ca="1">排行榜!J96</f>
        <v>6187 萬潤</v>
      </c>
      <c r="K107" s="219">
        <f>排行榜!P96</f>
        <v>3.937007874015748E-3</v>
      </c>
      <c r="L107" s="219">
        <f ca="1">排行榜!O96</f>
        <v>4.7699999999999999E-2</v>
      </c>
      <c r="M107" s="233"/>
      <c r="X107" s="257"/>
      <c r="Y107" s="119"/>
      <c r="Z107" s="119"/>
      <c r="AA107" s="119"/>
      <c r="AB107" s="257"/>
      <c r="AC107" s="257"/>
    </row>
    <row r="108" spans="1:29" ht="15.5">
      <c r="A108" s="218">
        <v>42</v>
      </c>
      <c r="B108" s="217" t="str">
        <f ca="1">排行榜!B44</f>
        <v>3532 台勝科</v>
      </c>
      <c r="C108" s="219">
        <f ca="1">排行榜!G44</f>
        <v>3.7900874635568516E-2</v>
      </c>
      <c r="D108" s="217" t="str">
        <f ca="1">排行榜!I44</f>
        <v>3624 光頡</v>
      </c>
      <c r="E108" s="219">
        <f ca="1">排行榜!N44</f>
        <v>-5.8885383806519455E-2</v>
      </c>
      <c r="F108" s="218">
        <v>42</v>
      </c>
      <c r="G108" s="217" t="str">
        <f ca="1">排行榜!B97</f>
        <v>2332 友訊</v>
      </c>
      <c r="H108" s="219">
        <f ca="1">排行榜!H97</f>
        <v>-2.2075055187637969E-3</v>
      </c>
      <c r="I108" s="219">
        <f ca="1">排行榜!G97</f>
        <v>4.8800000000000003E-2</v>
      </c>
      <c r="J108" s="217" t="str">
        <f ca="1">排行榜!J97</f>
        <v>6829 千附精密</v>
      </c>
      <c r="K108" s="219">
        <f>排行榜!P97</f>
        <v>9.90990990990991E-2</v>
      </c>
      <c r="L108" s="219">
        <f ca="1">排行榜!O97</f>
        <v>4.7600000000000003E-2</v>
      </c>
      <c r="M108" s="233"/>
      <c r="X108" s="257"/>
      <c r="Y108" s="119"/>
      <c r="Z108" s="119"/>
      <c r="AA108" s="119"/>
      <c r="AB108" s="257"/>
      <c r="AC108" s="257"/>
    </row>
    <row r="109" spans="1:29" ht="15.5">
      <c r="A109" s="218">
        <v>43</v>
      </c>
      <c r="B109" s="217" t="str">
        <f ca="1">排行榜!B45</f>
        <v>00881 國泰台灣科技龍頭</v>
      </c>
      <c r="C109" s="219">
        <f ca="1">排行榜!G45</f>
        <v>-3.6363636363636364E-3</v>
      </c>
      <c r="D109" s="217" t="str">
        <f ca="1">排行榜!I45</f>
        <v>5328 華容</v>
      </c>
      <c r="E109" s="219">
        <f ca="1">排行榜!N45</f>
        <v>-2.3255813953488375E-2</v>
      </c>
      <c r="F109" s="218">
        <v>43</v>
      </c>
      <c r="G109" s="217" t="str">
        <f ca="1">排行榜!B98</f>
        <v>6834 天二科技</v>
      </c>
      <c r="H109" s="219">
        <f ca="1">排行榜!H98</f>
        <v>-6.0465116279069767E-2</v>
      </c>
      <c r="I109" s="219">
        <f ca="1">排行榜!G98</f>
        <v>4.8599999999999997E-2</v>
      </c>
      <c r="J109" s="217" t="str">
        <f ca="1">排行榜!J98</f>
        <v>6761 穩得</v>
      </c>
      <c r="K109" s="219">
        <f>排行榜!P98</f>
        <v>2.2222222222222223E-2</v>
      </c>
      <c r="L109" s="219">
        <f ca="1">排行榜!O98</f>
        <v>4.6399999999999997E-2</v>
      </c>
      <c r="M109" s="66"/>
      <c r="X109" s="66"/>
      <c r="Y109" s="119"/>
      <c r="Z109" s="119"/>
      <c r="AA109" s="119"/>
      <c r="AB109" s="66"/>
      <c r="AC109" s="66"/>
    </row>
    <row r="110" spans="1:29" ht="15.5">
      <c r="A110" s="218">
        <v>44</v>
      </c>
      <c r="B110" s="217" t="str">
        <f ca="1">排行榜!B46</f>
        <v>2449 京元電子</v>
      </c>
      <c r="C110" s="219">
        <f ca="1">排行榜!G46</f>
        <v>-2.564102564102564E-2</v>
      </c>
      <c r="D110" s="217" t="str">
        <f ca="1">排行榜!I46</f>
        <v>3498 陽程</v>
      </c>
      <c r="E110" s="219">
        <f ca="1">排行榜!N46</f>
        <v>9.7222222222222224E-2</v>
      </c>
      <c r="F110" s="218">
        <v>44</v>
      </c>
      <c r="G110" s="217" t="str">
        <f ca="1">排行榜!B99</f>
        <v>00962 台新AI優息動能</v>
      </c>
      <c r="H110" s="219">
        <f ca="1">排行榜!H99</f>
        <v>6.3938618925831196E-4</v>
      </c>
      <c r="I110" s="219">
        <f ca="1">排行榜!G99</f>
        <v>4.7699999999999999E-2</v>
      </c>
      <c r="J110" s="217" t="str">
        <f ca="1">排行榜!J99</f>
        <v>4973 廣穎</v>
      </c>
      <c r="K110" s="219">
        <f>排行榜!P99</f>
        <v>-2.4464831804281346E-2</v>
      </c>
      <c r="L110" s="219">
        <f ca="1">排行榜!O99</f>
        <v>4.5600000000000002E-2</v>
      </c>
      <c r="M110" s="66"/>
      <c r="X110" s="66"/>
      <c r="AB110" s="66"/>
      <c r="AC110" s="66"/>
    </row>
    <row r="111" spans="1:29" ht="15.5">
      <c r="A111" s="218">
        <v>45</v>
      </c>
      <c r="B111" s="217" t="str">
        <f ca="1">排行榜!B47</f>
        <v>6515 穎崴</v>
      </c>
      <c r="C111" s="219">
        <f ca="1">排行榜!G47</f>
        <v>7.4128984432913266E-4</v>
      </c>
      <c r="D111" s="217" t="str">
        <f ca="1">排行榜!I47</f>
        <v>8096 擎亞</v>
      </c>
      <c r="E111" s="219">
        <f ca="1">排行榜!N47</f>
        <v>-7.1713147410358571E-2</v>
      </c>
      <c r="F111" s="218">
        <v>45</v>
      </c>
      <c r="G111" s="217" t="str">
        <f ca="1">排行榜!B100</f>
        <v>2337 旺宏</v>
      </c>
      <c r="H111" s="219">
        <f ca="1">排行榜!H100</f>
        <v>3.663003663003663E-3</v>
      </c>
      <c r="I111" s="219">
        <f ca="1">排行榜!G100</f>
        <v>4.7500000000000001E-2</v>
      </c>
      <c r="J111" s="217" t="str">
        <f ca="1">排行榜!J100</f>
        <v>6683 雍智科技</v>
      </c>
      <c r="K111" s="219">
        <f>排行榜!P100</f>
        <v>-1.7921146953405017E-2</v>
      </c>
      <c r="L111" s="219">
        <f ca="1">排行榜!O100</f>
        <v>4.53E-2</v>
      </c>
      <c r="M111" s="66"/>
      <c r="S111" s="66"/>
      <c r="T111" s="66"/>
      <c r="U111" s="212"/>
      <c r="V111" s="66"/>
      <c r="W111" s="66"/>
      <c r="X111" s="66"/>
      <c r="AB111" s="66"/>
      <c r="AC111" s="66"/>
    </row>
    <row r="112" spans="1:29" ht="15.5">
      <c r="A112" s="218">
        <v>46</v>
      </c>
      <c r="B112" s="217" t="str">
        <f ca="1">排行榜!B48</f>
        <v>2359 所羅門</v>
      </c>
      <c r="C112" s="219">
        <f ca="1">排行榜!G48</f>
        <v>1.5923566878980892E-2</v>
      </c>
      <c r="D112" s="217" t="str">
        <f ca="1">排行榜!I48</f>
        <v>1785 光洋科</v>
      </c>
      <c r="E112" s="219">
        <f ca="1">排行榜!N48</f>
        <v>-4.1284403669724773E-2</v>
      </c>
      <c r="F112" s="218">
        <v>46</v>
      </c>
      <c r="G112" s="217" t="str">
        <f ca="1">排行榜!B101</f>
        <v>00678 群益那斯達克生技</v>
      </c>
      <c r="H112" s="219">
        <f ca="1">排行榜!H101</f>
        <v>-1.2264150943396225E-2</v>
      </c>
      <c r="I112" s="219">
        <f ca="1">排行榜!G101</f>
        <v>4.7E-2</v>
      </c>
      <c r="J112" s="217" t="str">
        <f ca="1">排行榜!J101</f>
        <v>1336 台翰</v>
      </c>
      <c r="K112" s="219">
        <f>排行榜!P101</f>
        <v>9.9688473520249246E-2</v>
      </c>
      <c r="L112" s="219">
        <f ca="1">排行榜!O101</f>
        <v>4.4999999999999998E-2</v>
      </c>
      <c r="M112" s="66"/>
      <c r="S112" s="66"/>
      <c r="T112" s="66"/>
      <c r="U112" s="212"/>
      <c r="V112" s="66"/>
      <c r="W112" s="66"/>
      <c r="X112" s="66"/>
      <c r="AB112" s="66"/>
      <c r="AC112" s="66"/>
    </row>
    <row r="113" spans="1:29" ht="15.5">
      <c r="A113" s="218">
        <v>47</v>
      </c>
      <c r="B113" s="217" t="str">
        <f ca="1">排行榜!B49</f>
        <v>2356 英業達</v>
      </c>
      <c r="C113" s="219">
        <f ca="1">排行榜!G49</f>
        <v>1.5988372093023253E-2</v>
      </c>
      <c r="D113" s="217" t="str">
        <f ca="1">排行榜!I49</f>
        <v>3293 鈊象</v>
      </c>
      <c r="E113" s="219">
        <f ca="1">排行榜!N49</f>
        <v>-1.5748031496062992E-2</v>
      </c>
      <c r="F113" s="218">
        <v>47</v>
      </c>
      <c r="G113" s="217" t="str">
        <f ca="1">排行榜!B102</f>
        <v>2464 盟立</v>
      </c>
      <c r="H113" s="219">
        <f ca="1">排行榜!H102</f>
        <v>-2.0408163265306121E-2</v>
      </c>
      <c r="I113" s="219">
        <f ca="1">排行榜!G102</f>
        <v>4.6199999999999998E-2</v>
      </c>
      <c r="J113" s="217" t="str">
        <f ca="1">排行榜!J102</f>
        <v>3211 順達</v>
      </c>
      <c r="K113" s="219">
        <f>排行榜!P102</f>
        <v>-3.8130381303813035E-2</v>
      </c>
      <c r="L113" s="219">
        <f ca="1">排行榜!O102</f>
        <v>4.4900000000000002E-2</v>
      </c>
      <c r="M113" s="66"/>
      <c r="S113" s="66"/>
      <c r="T113" s="66"/>
      <c r="U113" s="212"/>
      <c r="V113" s="66"/>
      <c r="W113" s="66"/>
      <c r="X113" s="66"/>
      <c r="AB113" s="66"/>
      <c r="AC113" s="66"/>
    </row>
    <row r="114" spans="1:29" ht="15.5">
      <c r="A114" s="218">
        <v>48</v>
      </c>
      <c r="B114" s="217" t="str">
        <f ca="1">排行榜!B50</f>
        <v>6239 力成</v>
      </c>
      <c r="C114" s="219">
        <f ca="1">排行榜!G50</f>
        <v>-1.7667844522968199E-2</v>
      </c>
      <c r="D114" s="217" t="str">
        <f ca="1">排行榜!I50</f>
        <v>6265 方土昶</v>
      </c>
      <c r="E114" s="219">
        <f ca="1">排行榜!N50</f>
        <v>6.1120543293718167E-2</v>
      </c>
      <c r="F114" s="218">
        <v>48</v>
      </c>
      <c r="G114" s="217" t="str">
        <f ca="1">排行榜!B103</f>
        <v>00410A主動永豐科技趨勢</v>
      </c>
      <c r="H114" s="219">
        <f ca="1">排行榜!H103</f>
        <v>1.0610079575596816E-2</v>
      </c>
      <c r="I114" s="219">
        <f ca="1">排行榜!G103</f>
        <v>4.48E-2</v>
      </c>
      <c r="J114" s="217" t="str">
        <f ca="1">排行榜!J103</f>
        <v>3430 奇鈦科</v>
      </c>
      <c r="K114" s="219">
        <f>排行榜!P103</f>
        <v>-8.4033613445378148E-3</v>
      </c>
      <c r="L114" s="219">
        <f ca="1">排行榜!O103</f>
        <v>4.4699999999999997E-2</v>
      </c>
      <c r="M114" s="66"/>
      <c r="S114" s="66"/>
      <c r="T114" s="66"/>
      <c r="U114" s="212"/>
      <c r="V114" s="66"/>
      <c r="W114" s="66"/>
      <c r="X114" s="66"/>
      <c r="AB114" s="66"/>
      <c r="AC114" s="66"/>
    </row>
    <row r="115" spans="1:29" ht="15.5">
      <c r="A115" s="218">
        <v>49</v>
      </c>
      <c r="B115" s="217" t="str">
        <f ca="1">排行榜!B51</f>
        <v>7769 鴻勁</v>
      </c>
      <c r="C115" s="219">
        <f ca="1">排行榜!G51</f>
        <v>-2.6587887740029542E-2</v>
      </c>
      <c r="D115" s="217" t="str">
        <f ca="1">排行榜!I51</f>
        <v>3163 波若威</v>
      </c>
      <c r="E115" s="219">
        <f ca="1">排行榜!N51</f>
        <v>-2.0920502092050208E-2</v>
      </c>
      <c r="F115" s="218">
        <v>49</v>
      </c>
      <c r="G115" s="217" t="str">
        <f ca="1">排行榜!B104</f>
        <v>3090 日電貿</v>
      </c>
      <c r="H115" s="219">
        <f ca="1">排行榜!H104</f>
        <v>-2.8571428571428571E-3</v>
      </c>
      <c r="I115" s="219">
        <f ca="1">排行榜!G104</f>
        <v>4.48E-2</v>
      </c>
      <c r="J115" s="217" t="str">
        <f ca="1">排行榜!J104</f>
        <v>3357 臺慶科</v>
      </c>
      <c r="K115" s="219">
        <f>排行榜!P104</f>
        <v>-9.8619329388560162E-2</v>
      </c>
      <c r="L115" s="219">
        <f ca="1">排行榜!O104</f>
        <v>4.4499999999999998E-2</v>
      </c>
      <c r="M115" s="66"/>
      <c r="S115" s="66"/>
      <c r="T115" s="66"/>
      <c r="U115" s="212"/>
      <c r="V115" s="66"/>
      <c r="W115" s="66"/>
      <c r="X115" s="66"/>
      <c r="AB115" s="66"/>
      <c r="AC115" s="66"/>
    </row>
    <row r="116" spans="1:29" ht="15.5">
      <c r="A116" s="218">
        <v>50</v>
      </c>
      <c r="B116" s="217" t="str">
        <f ca="1">排行榜!B52</f>
        <v>6442 光聖</v>
      </c>
      <c r="C116" s="219">
        <f ca="1">排行榜!G52</f>
        <v>-3.1948881789137379E-3</v>
      </c>
      <c r="D116" s="217" t="str">
        <f ca="1">排行榜!I52</f>
        <v>3441 聯一光</v>
      </c>
      <c r="E116" s="219">
        <f ca="1">排行榜!N52</f>
        <v>-1.4117647058823528E-2</v>
      </c>
      <c r="F116" s="218">
        <v>50</v>
      </c>
      <c r="G116" s="217" t="str">
        <f ca="1">排行榜!B105</f>
        <v>009826貝萊德世界股票</v>
      </c>
      <c r="H116" s="219">
        <f ca="1">排行榜!H105</f>
        <v>-9.6993210475266732E-4</v>
      </c>
      <c r="I116" s="219">
        <f ca="1">排行榜!G105</f>
        <v>4.4299999999999999E-2</v>
      </c>
      <c r="J116" s="217" t="str">
        <f ca="1">排行榜!J105</f>
        <v>6174 安��</v>
      </c>
      <c r="K116" s="219">
        <f>排行榜!P105</f>
        <v>-6.7368421052631577E-2</v>
      </c>
      <c r="L116" s="219">
        <f ca="1">排行榜!O105</f>
        <v>4.2999999999999997E-2</v>
      </c>
      <c r="M116" s="66"/>
      <c r="S116" s="66"/>
      <c r="T116" s="66"/>
      <c r="U116" s="66"/>
      <c r="V116" s="66"/>
      <c r="W116" s="66"/>
      <c r="X116" s="66"/>
      <c r="AB116" s="66"/>
      <c r="AC116" s="66"/>
    </row>
    <row r="117" spans="1:29" ht="15.5">
      <c r="M117" s="66"/>
      <c r="S117" s="66"/>
      <c r="T117" s="66"/>
      <c r="U117" s="66"/>
      <c r="V117" s="66"/>
      <c r="W117" s="66"/>
      <c r="X117" s="66"/>
      <c r="AB117" s="66"/>
      <c r="AC117" s="66"/>
    </row>
    <row r="118" spans="1:29" ht="15.5">
      <c r="M118" s="66">
        <f ca="1">IF(ISBLANK(營收!B3)," ",IF(B8="近1個月營收(積極)",B9*3,IF(B8="近12個月營收",ABS(B9/4),B9)))</f>
        <v>1402741.632</v>
      </c>
      <c r="S118" s="66"/>
      <c r="T118" s="66"/>
      <c r="U118" s="66"/>
      <c r="V118" s="66"/>
      <c r="W118" s="66"/>
      <c r="X118" s="66"/>
      <c r="AB118" s="66"/>
      <c r="AC118" s="66"/>
    </row>
    <row r="119" spans="1:29" ht="15.5">
      <c r="M119" s="66"/>
      <c r="X119" s="66"/>
      <c r="AB119" s="66"/>
      <c r="AC119" s="66"/>
    </row>
    <row r="120" spans="1:29" ht="15.5">
      <c r="M120" s="66"/>
      <c r="X120" s="66"/>
      <c r="AB120" s="66"/>
      <c r="AC120" s="66"/>
    </row>
    <row r="121" spans="1:29" ht="15.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X121" s="66"/>
      <c r="AB121" s="66"/>
      <c r="AC121" s="66"/>
    </row>
    <row r="122" spans="1:29" ht="15.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X122" s="66"/>
      <c r="AB122" s="66"/>
      <c r="AC122" s="66"/>
    </row>
    <row r="123" spans="1:29" ht="15.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X123" s="66"/>
      <c r="AB123" s="66"/>
      <c r="AC123" s="66"/>
    </row>
    <row r="124" spans="1:29" ht="15.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X124" s="66"/>
      <c r="AB124" s="66"/>
      <c r="AC124" s="66"/>
    </row>
    <row r="125" spans="1:29" ht="15.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AB125" s="66"/>
      <c r="AC125" s="66"/>
    </row>
    <row r="126" spans="1:29" ht="15.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AB126" s="66"/>
      <c r="AC126" s="66"/>
    </row>
    <row r="127" spans="1:29" ht="15.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AB127" s="66"/>
      <c r="AC127" s="66"/>
    </row>
    <row r="128" spans="1:29" ht="15.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</row>
    <row r="129" spans="1:29" ht="15.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</row>
    <row r="130" spans="1:29" ht="15.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</row>
    <row r="131" spans="1:29" ht="15.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</row>
    <row r="132" spans="1:29" ht="15.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</row>
    <row r="133" spans="1:29" ht="15.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</row>
    <row r="134" spans="1:29" ht="15.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</row>
    <row r="135" spans="1:29" ht="15.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</row>
    <row r="136" spans="1:29" ht="15.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</row>
    <row r="137" spans="1:29" ht="15.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>
        <f ca="1">IF(ISBLANK(營收!B3)," ",IF(B8="近1個月營收(積極)",B9*3,IF(B8="近12個月營收",ABS(B9/4),B9)))</f>
        <v>1402741.632</v>
      </c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</row>
    <row r="138" spans="1:29" ht="15.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</row>
    <row r="139" spans="1:29" ht="15.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</row>
    <row r="140" spans="1:29" ht="15.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</row>
    <row r="141" spans="1:29" ht="15.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</row>
    <row r="142" spans="1:29" ht="15.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</row>
    <row r="143" spans="1:29" ht="15.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</row>
    <row r="144" spans="1:29" ht="15.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</row>
    <row r="145" spans="1:29" ht="15.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</row>
    <row r="146" spans="1:29" ht="15.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</row>
    <row r="147" spans="1:29" ht="15.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</row>
    <row r="148" spans="1:29" ht="15.5">
      <c r="A148" s="66"/>
      <c r="B148" s="66"/>
      <c r="C148" s="66"/>
      <c r="D148" s="66"/>
      <c r="E148" s="66"/>
      <c r="F148" s="66"/>
      <c r="G148" s="258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</row>
    <row r="149" spans="1:29" ht="15.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</row>
    <row r="150" spans="1:29" ht="15.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</row>
    <row r="151" spans="1:29" ht="15.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</row>
    <row r="152" spans="1:29" ht="15.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</row>
    <row r="153" spans="1:29" ht="15.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</row>
    <row r="154" spans="1:29" ht="15.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</row>
    <row r="155" spans="1:29" ht="15.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</row>
    <row r="156" spans="1:29" ht="15.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</row>
    <row r="157" spans="1:29" ht="15.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</row>
    <row r="158" spans="1:29" ht="15.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</row>
    <row r="159" spans="1:29" ht="15.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</row>
    <row r="160" spans="1:29" ht="15.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</row>
    <row r="161" spans="1:29" ht="15.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</row>
    <row r="162" spans="1:29" ht="15.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</row>
    <row r="163" spans="1:29" ht="15.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</row>
    <row r="164" spans="1:29" ht="15.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</row>
    <row r="165" spans="1:29" ht="15.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</row>
    <row r="166" spans="1:29" ht="15.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</row>
    <row r="167" spans="1:29" ht="15.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</row>
    <row r="168" spans="1:29" ht="15.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</row>
    <row r="169" spans="1:29" ht="15.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</row>
    <row r="170" spans="1:29" ht="15.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</row>
    <row r="171" spans="1:29" ht="15.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</row>
    <row r="172" spans="1:29" ht="15.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</row>
    <row r="173" spans="1:29" ht="15.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</row>
    <row r="174" spans="1:29" ht="15.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</row>
    <row r="175" spans="1:29" ht="15.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</row>
    <row r="176" spans="1:29" ht="15.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</row>
    <row r="177" spans="1:29" ht="15.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</row>
    <row r="178" spans="1:29" ht="15.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</row>
    <row r="179" spans="1:29" ht="15.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</row>
    <row r="180" spans="1:29" ht="15.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</row>
    <row r="181" spans="1:29" ht="15.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</row>
    <row r="182" spans="1:29" ht="15.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</row>
    <row r="183" spans="1:29" ht="15.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</row>
    <row r="184" spans="1:29" ht="15.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</row>
    <row r="185" spans="1:29" ht="15.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</row>
    <row r="186" spans="1:29" ht="15.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</row>
    <row r="187" spans="1:29" ht="15.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</row>
    <row r="188" spans="1:29" ht="15.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</row>
    <row r="189" spans="1:29" ht="15.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</row>
    <row r="190" spans="1:29" ht="15.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</row>
    <row r="191" spans="1:29" ht="15.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</row>
    <row r="192" spans="1:29" ht="15.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</row>
    <row r="193" spans="1:29" ht="15.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</row>
    <row r="194" spans="1:29" ht="15.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</row>
    <row r="195" spans="1:29" ht="15.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</row>
    <row r="196" spans="1:29" ht="15.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</row>
    <row r="197" spans="1:29" ht="15.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</row>
    <row r="198" spans="1:29" ht="15.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</row>
    <row r="199" spans="1:29" ht="15.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</row>
    <row r="200" spans="1:29" ht="15.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</row>
    <row r="201" spans="1:29" ht="15.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</row>
    <row r="202" spans="1:29" ht="15.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</row>
    <row r="203" spans="1:29" ht="15.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</row>
    <row r="204" spans="1:29" ht="15.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</row>
    <row r="205" spans="1:29" ht="15.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</row>
    <row r="206" spans="1:29" ht="15.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</row>
    <row r="207" spans="1:29" ht="15.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</row>
    <row r="208" spans="1:29" ht="15.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</row>
    <row r="209" spans="1:29" ht="15.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</row>
    <row r="210" spans="1:29" ht="15.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</row>
    <row r="211" spans="1:29" ht="15.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</row>
    <row r="212" spans="1:29" ht="15.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</row>
    <row r="213" spans="1:29" ht="15.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</row>
    <row r="214" spans="1:29" ht="15.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</row>
    <row r="215" spans="1:29" ht="15.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</row>
    <row r="216" spans="1:29" ht="15.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</row>
    <row r="217" spans="1:29" ht="15.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</row>
    <row r="218" spans="1:29" ht="15.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</row>
    <row r="219" spans="1:29" ht="15.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</row>
    <row r="220" spans="1:29" ht="15.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</row>
    <row r="221" spans="1:29" ht="15.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</row>
    <row r="222" spans="1:29" ht="15.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</row>
    <row r="223" spans="1:29" ht="15.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</row>
    <row r="224" spans="1:29" ht="15.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</row>
    <row r="225" spans="1:29" ht="15.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</row>
    <row r="226" spans="1:29" ht="15.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</row>
    <row r="227" spans="1:29" ht="15.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</row>
    <row r="228" spans="1:29" ht="15.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</row>
    <row r="229" spans="1:29" ht="15.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</row>
    <row r="230" spans="1:29" ht="15.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</row>
    <row r="231" spans="1:29" ht="15.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</row>
    <row r="232" spans="1:29" ht="15.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</row>
    <row r="233" spans="1:29" ht="15.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</row>
    <row r="234" spans="1:29" ht="15.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</row>
    <row r="235" spans="1:29" ht="15.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</row>
    <row r="236" spans="1:29" ht="15.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</row>
    <row r="237" spans="1:29" ht="15.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</row>
    <row r="238" spans="1:29" ht="15.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</row>
    <row r="239" spans="1:29" ht="15.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</row>
    <row r="240" spans="1:29" ht="15.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</row>
    <row r="241" spans="1:29" ht="15.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</row>
    <row r="242" spans="1:29" ht="15.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</row>
    <row r="243" spans="1:29" ht="15.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</row>
    <row r="244" spans="1:29" ht="15.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</row>
    <row r="245" spans="1:29" ht="15.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</row>
    <row r="246" spans="1:29" ht="15.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</row>
    <row r="247" spans="1:29" ht="15.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</row>
    <row r="248" spans="1:29" ht="15.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</row>
    <row r="249" spans="1:29" ht="15.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</row>
    <row r="250" spans="1:29" ht="15.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</row>
    <row r="251" spans="1:29" ht="15.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</row>
    <row r="252" spans="1:29" ht="15.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</row>
    <row r="253" spans="1:29" ht="15.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</row>
    <row r="254" spans="1:29" ht="15.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</row>
    <row r="255" spans="1:29" ht="15.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</row>
    <row r="256" spans="1:29" ht="15.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</row>
    <row r="257" spans="1:29" ht="15.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</row>
    <row r="258" spans="1:29" ht="15.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</row>
    <row r="259" spans="1:29" ht="15.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</row>
    <row r="260" spans="1:29" ht="15.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</row>
    <row r="261" spans="1:29" ht="15.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</row>
    <row r="262" spans="1:29" ht="15.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</row>
    <row r="263" spans="1:29" ht="15.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</row>
    <row r="264" spans="1:29" ht="15.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</row>
    <row r="265" spans="1:29" ht="15.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</row>
    <row r="266" spans="1:29" ht="15.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</row>
    <row r="267" spans="1:29" ht="15.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</row>
    <row r="268" spans="1:29" ht="15.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</row>
    <row r="269" spans="1:29" ht="15.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</row>
    <row r="270" spans="1:29" ht="15.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</row>
    <row r="271" spans="1:29" ht="15.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</row>
    <row r="272" spans="1:29" ht="15.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</row>
    <row r="273" spans="1:29" ht="15.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</row>
    <row r="274" spans="1:29" ht="15.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</row>
    <row r="275" spans="1:29" ht="15.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</row>
    <row r="276" spans="1:29" ht="15.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</row>
    <row r="277" spans="1:29" ht="15.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</row>
    <row r="278" spans="1:29" ht="15.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</row>
    <row r="279" spans="1:29" ht="15.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</row>
    <row r="280" spans="1:29" ht="15.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</row>
    <row r="281" spans="1:29" ht="15.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</row>
    <row r="282" spans="1:29" ht="15.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</row>
    <row r="283" spans="1:29" ht="15.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</row>
    <row r="284" spans="1:29" ht="15.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</row>
    <row r="285" spans="1:29" ht="15.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</row>
    <row r="286" spans="1:29" ht="15.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</row>
    <row r="287" spans="1:29" ht="15.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</row>
    <row r="288" spans="1:29" ht="15.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</row>
    <row r="289" spans="1:29" ht="15.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</row>
    <row r="290" spans="1:29" ht="15.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</row>
    <row r="291" spans="1:29" ht="15.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</row>
    <row r="292" spans="1:29" ht="15.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</row>
    <row r="293" spans="1:29" ht="15.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</row>
    <row r="294" spans="1:29" ht="15.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</row>
    <row r="295" spans="1:29" ht="15.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</row>
    <row r="296" spans="1:29" ht="15.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</row>
    <row r="297" spans="1:29" ht="15.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</row>
    <row r="298" spans="1:29" ht="15.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</row>
    <row r="299" spans="1:29" ht="15.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</row>
    <row r="300" spans="1:29" ht="15.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</row>
    <row r="301" spans="1:29" ht="15.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</row>
    <row r="302" spans="1:29" ht="15.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</row>
    <row r="303" spans="1:29" ht="15.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</row>
    <row r="304" spans="1:29" ht="15.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</row>
    <row r="305" spans="1:29" ht="15.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</row>
    <row r="306" spans="1:29" ht="15.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</row>
    <row r="307" spans="1:29" ht="15.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</row>
    <row r="308" spans="1:29" ht="15.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</row>
    <row r="309" spans="1:29" ht="15.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</row>
    <row r="310" spans="1:29" ht="15.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</row>
    <row r="311" spans="1:29" ht="15.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</row>
    <row r="312" spans="1:29" ht="15.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</row>
    <row r="313" spans="1:29" ht="15.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</row>
    <row r="314" spans="1:29" ht="15.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</row>
    <row r="315" spans="1:29" ht="15.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</row>
    <row r="316" spans="1:29" ht="15.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</row>
    <row r="317" spans="1:29" ht="15.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</row>
    <row r="318" spans="1:29" ht="15.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</row>
    <row r="319" spans="1:29" ht="15.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</row>
    <row r="320" spans="1:29" ht="15.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</row>
    <row r="321" spans="1:29" ht="15.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</row>
    <row r="322" spans="1:29" ht="15.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</row>
    <row r="323" spans="1:29" ht="15.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</row>
    <row r="324" spans="1:29" ht="15.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</row>
    <row r="325" spans="1:29" ht="15.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</row>
    <row r="326" spans="1:29" ht="15.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</row>
    <row r="327" spans="1:29" ht="15.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</row>
    <row r="328" spans="1:29" ht="15.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</row>
    <row r="329" spans="1:29" ht="15.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</row>
    <row r="330" spans="1:29" ht="15.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</row>
    <row r="331" spans="1:29" ht="15.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</row>
    <row r="332" spans="1:29" ht="15.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</row>
    <row r="333" spans="1:29" ht="15.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</row>
    <row r="334" spans="1:29" ht="15.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</row>
    <row r="335" spans="1:29" ht="15.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</row>
    <row r="336" spans="1:29" ht="15.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</row>
    <row r="337" spans="1:29" ht="15.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</row>
    <row r="338" spans="1:29" ht="15.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</row>
    <row r="339" spans="1:29" ht="15.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</row>
    <row r="340" spans="1:29" ht="15.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</row>
    <row r="341" spans="1:29" ht="15.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</row>
    <row r="342" spans="1:29" ht="15.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</row>
    <row r="343" spans="1:29" ht="15.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</row>
    <row r="344" spans="1:29" ht="15.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</row>
    <row r="345" spans="1:29" ht="15.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</row>
    <row r="346" spans="1:29" ht="15.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</row>
    <row r="347" spans="1:29" ht="15.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</row>
    <row r="348" spans="1:29" ht="15.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</row>
    <row r="349" spans="1:29" ht="15.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</row>
    <row r="350" spans="1:29" ht="15.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</row>
    <row r="351" spans="1:29" ht="15.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</row>
    <row r="352" spans="1:29" ht="15.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</row>
    <row r="353" spans="1:29" ht="15.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</row>
    <row r="354" spans="1:29" ht="15.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</row>
    <row r="355" spans="1:29" ht="15.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</row>
    <row r="356" spans="1:29" ht="15.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</row>
    <row r="357" spans="1:29" ht="15.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</row>
    <row r="358" spans="1:29" ht="15.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</row>
    <row r="359" spans="1:29" ht="15.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</row>
    <row r="360" spans="1:29" ht="15.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</row>
    <row r="361" spans="1:29" ht="15.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</row>
    <row r="362" spans="1:29" ht="15.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</row>
    <row r="363" spans="1:29" ht="15.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</row>
    <row r="364" spans="1:29" ht="15.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</row>
    <row r="365" spans="1:29" ht="15.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</row>
    <row r="366" spans="1:29" ht="15.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</row>
    <row r="367" spans="1:29" ht="15.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</row>
    <row r="368" spans="1:29" ht="15.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</row>
    <row r="369" spans="1:29" ht="15.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</row>
    <row r="370" spans="1:29" ht="15.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</row>
    <row r="371" spans="1:29" ht="15.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</row>
    <row r="372" spans="1:29" ht="15.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</row>
    <row r="373" spans="1:29" ht="15.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</row>
    <row r="374" spans="1:29" ht="15.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</row>
    <row r="375" spans="1:29" ht="15.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</row>
    <row r="376" spans="1:29" ht="15.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</row>
    <row r="377" spans="1:29" ht="15.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</row>
    <row r="378" spans="1:29" ht="15.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</row>
    <row r="379" spans="1:29" ht="15.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</row>
    <row r="380" spans="1:29" ht="15.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</row>
    <row r="381" spans="1:29" ht="15.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</row>
    <row r="382" spans="1:29" ht="15.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</row>
    <row r="383" spans="1:29" ht="15.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</row>
    <row r="384" spans="1:29" ht="15.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</row>
    <row r="385" spans="1:29" ht="15.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</row>
    <row r="386" spans="1:29" ht="15.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</row>
    <row r="387" spans="1:29" ht="15.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</row>
    <row r="388" spans="1:29" ht="15.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</row>
    <row r="389" spans="1:29" ht="15.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</row>
    <row r="390" spans="1:29" ht="15.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</row>
    <row r="391" spans="1:29" ht="15.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</row>
    <row r="392" spans="1:29" ht="15.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</row>
    <row r="393" spans="1:29" ht="15.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</row>
    <row r="394" spans="1:29" ht="15.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</row>
    <row r="395" spans="1:29" ht="15.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</row>
    <row r="396" spans="1:29" ht="15.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</row>
    <row r="397" spans="1:29" ht="15.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</row>
    <row r="398" spans="1:29" ht="15.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</row>
    <row r="399" spans="1:29" ht="15.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</row>
    <row r="400" spans="1:29" ht="15.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</row>
    <row r="401" spans="1:29" ht="15.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</row>
    <row r="402" spans="1:29" ht="15.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</row>
    <row r="403" spans="1:29" ht="15.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</row>
    <row r="404" spans="1:29" ht="15.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</row>
    <row r="405" spans="1:29" ht="15.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</row>
    <row r="406" spans="1:29" ht="15.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</row>
    <row r="407" spans="1:29" ht="15.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</row>
    <row r="408" spans="1:29" ht="15.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</row>
    <row r="409" spans="1:29" ht="15.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</row>
    <row r="410" spans="1:29" ht="15.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</row>
    <row r="411" spans="1:29" ht="15.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</row>
    <row r="412" spans="1:29" ht="15.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</row>
    <row r="413" spans="1:29" ht="15.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</row>
    <row r="414" spans="1:29" ht="15.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</row>
    <row r="415" spans="1:29" ht="15.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</row>
    <row r="416" spans="1:29" ht="15.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</row>
    <row r="417" spans="1:29" ht="15.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</row>
    <row r="418" spans="1:29" ht="15.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</row>
    <row r="419" spans="1:29" ht="15.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</row>
    <row r="420" spans="1:29" ht="15.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</row>
    <row r="421" spans="1:29" ht="15.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</row>
    <row r="422" spans="1:29" ht="15.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</row>
    <row r="423" spans="1:29" ht="15.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</row>
    <row r="424" spans="1:29" ht="15.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</row>
    <row r="425" spans="1:29" ht="15.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</row>
    <row r="426" spans="1:29" ht="15.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</row>
    <row r="427" spans="1:29" ht="15.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</row>
    <row r="428" spans="1:29" ht="15.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</row>
    <row r="429" spans="1:29" ht="15.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</row>
    <row r="430" spans="1:29" ht="15.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</row>
    <row r="431" spans="1:29" ht="15.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</row>
    <row r="432" spans="1:29" ht="15.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</row>
    <row r="433" spans="1:29" ht="15.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</row>
    <row r="434" spans="1:29" ht="15.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</row>
    <row r="435" spans="1:29" ht="15.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</row>
    <row r="436" spans="1:29" ht="15.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</row>
    <row r="437" spans="1:29" ht="15.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</row>
    <row r="438" spans="1:29" ht="15.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</row>
    <row r="439" spans="1:29" ht="15.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</row>
    <row r="440" spans="1:29" ht="15.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</row>
    <row r="441" spans="1:29" ht="15.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</row>
    <row r="442" spans="1:29" ht="15.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</row>
    <row r="443" spans="1:29" ht="15.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</row>
    <row r="444" spans="1:29" ht="15.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</row>
    <row r="445" spans="1:29" ht="15.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</row>
    <row r="446" spans="1:29" ht="15.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</row>
    <row r="447" spans="1:29" ht="15.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</row>
    <row r="448" spans="1:29" ht="15.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</row>
    <row r="449" spans="1:29" ht="15.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</row>
    <row r="450" spans="1:29" ht="15.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</row>
    <row r="451" spans="1:29" ht="15.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</row>
    <row r="452" spans="1:29" ht="15.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</row>
    <row r="453" spans="1:29" ht="15.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</row>
    <row r="454" spans="1:29" ht="15.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</row>
    <row r="455" spans="1:29" ht="15.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</row>
    <row r="456" spans="1:29" ht="15.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</row>
    <row r="457" spans="1:29" ht="15.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</row>
    <row r="458" spans="1:29" ht="15.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</row>
    <row r="459" spans="1:29" ht="15.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</row>
    <row r="460" spans="1:29" ht="15.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</row>
    <row r="461" spans="1:29" ht="15.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</row>
    <row r="462" spans="1:29" ht="15.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</row>
    <row r="463" spans="1:29" ht="15.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</row>
    <row r="464" spans="1:29" ht="15.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</row>
    <row r="465" spans="1:29" ht="15.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</row>
    <row r="466" spans="1:29" ht="15.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</row>
    <row r="467" spans="1:29" ht="15.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</row>
    <row r="468" spans="1:29" ht="15.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</row>
    <row r="469" spans="1:29" ht="15.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</row>
    <row r="470" spans="1:29" ht="15.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</row>
    <row r="471" spans="1:29" ht="15.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</row>
    <row r="472" spans="1:29" ht="15.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</row>
    <row r="473" spans="1:29" ht="15.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</row>
    <row r="474" spans="1:29" ht="15.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</row>
    <row r="475" spans="1:29" ht="15.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</row>
    <row r="476" spans="1:29" ht="15.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</row>
    <row r="477" spans="1:29" ht="15.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</row>
    <row r="478" spans="1:29" ht="15.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</row>
    <row r="479" spans="1:29" ht="15.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</row>
    <row r="480" spans="1:29" ht="15.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</row>
    <row r="481" spans="1:29" ht="15.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</row>
    <row r="482" spans="1:29" ht="15.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</row>
    <row r="483" spans="1:29" ht="15.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</row>
    <row r="484" spans="1:29" ht="15.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</row>
    <row r="485" spans="1:29" ht="15.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</row>
    <row r="486" spans="1:29" ht="15.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</row>
    <row r="487" spans="1:29" ht="15.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</row>
    <row r="488" spans="1:29" ht="15.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</row>
    <row r="489" spans="1:29" ht="15.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</row>
    <row r="490" spans="1:29" ht="15.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</row>
    <row r="491" spans="1:29" ht="15.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</row>
    <row r="492" spans="1:29" ht="15.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</row>
    <row r="493" spans="1:29" ht="15.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</row>
    <row r="494" spans="1:29" ht="15.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</row>
    <row r="495" spans="1:29" ht="15.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</row>
    <row r="496" spans="1:29" ht="15.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</row>
    <row r="497" spans="1:29" ht="15.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</row>
    <row r="498" spans="1:29" ht="15.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</row>
    <row r="499" spans="1:29" ht="15.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</row>
    <row r="500" spans="1:29" ht="15.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</row>
    <row r="501" spans="1:29" ht="15.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</row>
    <row r="502" spans="1:29" ht="15.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</row>
    <row r="503" spans="1:29" ht="15.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</row>
    <row r="504" spans="1:29" ht="15.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</row>
    <row r="505" spans="1:29" ht="15.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</row>
    <row r="506" spans="1:29" ht="15.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</row>
    <row r="507" spans="1:29" ht="15.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</row>
    <row r="508" spans="1:29" ht="15.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</row>
    <row r="509" spans="1:29" ht="15.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</row>
    <row r="510" spans="1:29" ht="15.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</row>
    <row r="511" spans="1:29" ht="15.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</row>
    <row r="512" spans="1:29" ht="15.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</row>
    <row r="513" spans="1:29" ht="15.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</row>
    <row r="514" spans="1:29" ht="15.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</row>
    <row r="515" spans="1:29" ht="15.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</row>
    <row r="516" spans="1:29" ht="15.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</row>
    <row r="517" spans="1:29" ht="15.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</row>
    <row r="518" spans="1:29" ht="15.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</row>
    <row r="519" spans="1:29" ht="15.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</row>
    <row r="520" spans="1:29" ht="15.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</row>
    <row r="521" spans="1:29" ht="15.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</row>
    <row r="522" spans="1:29" ht="15.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</row>
    <row r="523" spans="1:29" ht="15.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</row>
    <row r="524" spans="1:29" ht="15.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</row>
    <row r="525" spans="1:29" ht="15.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</row>
    <row r="526" spans="1:29" ht="15.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</row>
    <row r="527" spans="1:29" ht="15.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</row>
    <row r="528" spans="1:29" ht="15.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</row>
    <row r="529" spans="1:29" ht="15.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</row>
    <row r="530" spans="1:29" ht="15.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</row>
    <row r="531" spans="1:29" ht="15.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</row>
    <row r="532" spans="1:29" ht="15.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</row>
    <row r="533" spans="1:29" ht="15.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</row>
    <row r="534" spans="1:29" ht="15.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</row>
    <row r="535" spans="1:29" ht="15.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</row>
    <row r="536" spans="1:29" ht="15.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</row>
    <row r="537" spans="1:29" ht="15.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</row>
    <row r="538" spans="1:29" ht="15.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</row>
    <row r="539" spans="1:29" ht="15.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</row>
    <row r="540" spans="1:29" ht="15.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</row>
    <row r="541" spans="1:29" ht="15.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</row>
    <row r="542" spans="1:29" ht="15.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</row>
    <row r="543" spans="1:29" ht="15.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</row>
    <row r="544" spans="1:29" ht="15.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</row>
    <row r="545" spans="1:29" ht="15.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</row>
    <row r="546" spans="1:29" ht="15.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</row>
    <row r="547" spans="1:29" ht="15.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</row>
    <row r="548" spans="1:29" ht="15.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</row>
    <row r="549" spans="1:29" ht="15.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</row>
    <row r="550" spans="1:29" ht="15.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</row>
    <row r="551" spans="1:29" ht="15.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</row>
    <row r="552" spans="1:29" ht="15.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</row>
    <row r="553" spans="1:29" ht="15.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</row>
    <row r="554" spans="1:29" ht="15.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</row>
    <row r="555" spans="1:29" ht="15.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</row>
    <row r="556" spans="1:29" ht="15.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</row>
    <row r="557" spans="1:29" ht="15.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</row>
    <row r="558" spans="1:29" ht="15.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</row>
    <row r="559" spans="1:29" ht="15.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</row>
    <row r="560" spans="1:29" ht="15.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</row>
    <row r="561" spans="1:29" ht="15.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</row>
    <row r="562" spans="1:29" ht="15.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</row>
    <row r="563" spans="1:29" ht="15.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</row>
    <row r="564" spans="1:29" ht="15.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</row>
    <row r="565" spans="1:29" ht="15.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</row>
    <row r="566" spans="1:29" ht="15.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</row>
    <row r="567" spans="1:29" ht="15.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</row>
    <row r="568" spans="1:29" ht="15.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</row>
    <row r="569" spans="1:29" ht="15.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</row>
    <row r="570" spans="1:29" ht="15.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</row>
    <row r="571" spans="1:29" ht="15.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</row>
    <row r="572" spans="1:29" ht="15.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</row>
    <row r="573" spans="1:29" ht="15.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</row>
    <row r="574" spans="1:29" ht="15.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</row>
    <row r="575" spans="1:29" ht="15.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</row>
    <row r="576" spans="1:29" ht="15.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</row>
    <row r="577" spans="1:29" ht="15.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</row>
    <row r="578" spans="1:29" ht="15.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</row>
    <row r="579" spans="1:29" ht="15.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</row>
    <row r="580" spans="1:29" ht="15.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</row>
    <row r="581" spans="1:29" ht="15.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</row>
    <row r="582" spans="1:29" ht="15.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</row>
    <row r="583" spans="1:29" ht="15.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</row>
    <row r="584" spans="1:29" ht="15.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</row>
    <row r="585" spans="1:29" ht="15.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</row>
    <row r="586" spans="1:29" ht="15.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</row>
    <row r="587" spans="1:29" ht="15.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</row>
    <row r="588" spans="1:29" ht="15.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</row>
    <row r="589" spans="1:29" ht="15.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</row>
    <row r="590" spans="1:29" ht="15.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</row>
    <row r="591" spans="1:29" ht="15.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</row>
    <row r="592" spans="1:29" ht="15.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</row>
    <row r="593" spans="1:29" ht="15.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</row>
    <row r="594" spans="1:29" ht="15.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</row>
    <row r="595" spans="1:29" ht="15.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</row>
    <row r="596" spans="1:29" ht="15.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</row>
    <row r="597" spans="1:29" ht="15.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</row>
    <row r="598" spans="1:29" ht="15.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</row>
    <row r="599" spans="1:29" ht="15.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</row>
    <row r="600" spans="1:29" ht="15.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</row>
    <row r="601" spans="1:29" ht="15.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</row>
    <row r="602" spans="1:29" ht="15.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</row>
    <row r="603" spans="1:29" ht="15.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</row>
    <row r="604" spans="1:29" ht="15.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</row>
    <row r="605" spans="1:29" ht="15.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</row>
    <row r="606" spans="1:29" ht="15.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</row>
    <row r="607" spans="1:29" ht="15.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</row>
    <row r="608" spans="1:29" ht="15.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</row>
    <row r="609" spans="1:29" ht="15.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</row>
    <row r="610" spans="1:29" ht="15.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</row>
    <row r="611" spans="1:29" ht="15.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</row>
    <row r="612" spans="1:29" ht="15.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</row>
    <row r="613" spans="1:29" ht="15.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</row>
    <row r="614" spans="1:29" ht="15.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</row>
    <row r="615" spans="1:29" ht="15.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</row>
    <row r="616" spans="1:29" ht="15.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</row>
    <row r="617" spans="1:29" ht="15.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</row>
    <row r="618" spans="1:29" ht="15.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</row>
    <row r="619" spans="1:29" ht="15.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</row>
    <row r="620" spans="1:29" ht="15.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</row>
    <row r="621" spans="1:29" ht="15.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</row>
    <row r="622" spans="1:29" ht="15.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</row>
    <row r="623" spans="1:29" ht="15.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</row>
    <row r="624" spans="1:29" ht="15.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</row>
    <row r="625" spans="1:29" ht="15.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</row>
    <row r="626" spans="1:29" ht="15.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</row>
    <row r="627" spans="1:29" ht="15.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</row>
    <row r="628" spans="1:29" ht="15.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</row>
    <row r="629" spans="1:29" ht="15.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</row>
    <row r="630" spans="1:29" ht="15.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</row>
    <row r="631" spans="1:29" ht="15.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</row>
    <row r="632" spans="1:29" ht="15.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</row>
    <row r="633" spans="1:29" ht="15.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</row>
    <row r="634" spans="1:29" ht="15.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</row>
    <row r="635" spans="1:29" ht="15.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</row>
    <row r="636" spans="1:29" ht="15.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</row>
    <row r="637" spans="1:29" ht="15.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</row>
    <row r="638" spans="1:29" ht="15.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</row>
    <row r="639" spans="1:29" ht="15.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</row>
    <row r="640" spans="1:29" ht="15.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</row>
    <row r="641" spans="1:29" ht="15.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</row>
    <row r="642" spans="1:29" ht="15.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</row>
    <row r="643" spans="1:29" ht="15.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</row>
    <row r="644" spans="1:29" ht="15.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</row>
    <row r="645" spans="1:29" ht="15.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</row>
    <row r="646" spans="1:29" ht="15.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</row>
    <row r="647" spans="1:29" ht="15.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</row>
    <row r="648" spans="1:29" ht="15.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</row>
    <row r="649" spans="1:29" ht="15.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</row>
    <row r="650" spans="1:29" ht="15.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</row>
    <row r="651" spans="1:29" ht="15.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</row>
    <row r="652" spans="1:29" ht="15.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</row>
    <row r="653" spans="1:29" ht="15.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</row>
    <row r="654" spans="1:29" ht="15.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</row>
    <row r="655" spans="1:29" ht="15.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</row>
    <row r="656" spans="1:29" ht="15.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</row>
    <row r="657" spans="1:29" ht="15.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</row>
    <row r="658" spans="1:29" ht="15.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</row>
    <row r="659" spans="1:29" ht="15.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</row>
    <row r="660" spans="1:29" ht="15.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</row>
    <row r="661" spans="1:29" ht="15.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</row>
    <row r="662" spans="1:29" ht="15.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</row>
    <row r="663" spans="1:29" ht="15.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</row>
    <row r="664" spans="1:29" ht="15.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</row>
    <row r="665" spans="1:29" ht="15.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</row>
    <row r="666" spans="1:29" ht="15.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</row>
    <row r="667" spans="1:29" ht="15.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</row>
    <row r="668" spans="1:29" ht="15.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</row>
    <row r="669" spans="1:29" ht="15.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</row>
    <row r="670" spans="1:29" ht="15.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</row>
    <row r="671" spans="1:29" ht="15.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</row>
    <row r="672" spans="1:29" ht="15.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</row>
    <row r="673" spans="1:29" ht="15.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</row>
    <row r="674" spans="1:29" ht="15.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</row>
    <row r="675" spans="1:29" ht="15.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</row>
    <row r="676" spans="1:29" ht="15.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</row>
    <row r="677" spans="1:29" ht="15.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</row>
    <row r="678" spans="1:29" ht="15.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</row>
    <row r="679" spans="1:29" ht="15.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</row>
    <row r="680" spans="1:29" ht="15.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</row>
    <row r="681" spans="1:29" ht="15.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</row>
    <row r="682" spans="1:29" ht="15.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</row>
    <row r="683" spans="1:29" ht="15.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</row>
    <row r="684" spans="1:29" ht="15.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</row>
    <row r="685" spans="1:29" ht="15.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</row>
    <row r="686" spans="1:29" ht="15.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</row>
    <row r="687" spans="1:29" ht="15.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</row>
    <row r="688" spans="1:29" ht="15.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</row>
    <row r="689" spans="1:29" ht="15.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</row>
    <row r="690" spans="1:29" ht="15.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</row>
    <row r="691" spans="1:29" ht="15.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</row>
    <row r="692" spans="1:29" ht="15.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</row>
    <row r="693" spans="1:29" ht="15.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</row>
    <row r="694" spans="1:29" ht="15.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</row>
    <row r="695" spans="1:29" ht="15.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</row>
    <row r="696" spans="1:29" ht="15.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</row>
    <row r="697" spans="1:29" ht="15.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</row>
    <row r="698" spans="1:29" ht="15.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</row>
    <row r="699" spans="1:29" ht="15.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</row>
    <row r="700" spans="1:29" ht="15.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</row>
    <row r="701" spans="1:29" ht="15.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</row>
    <row r="702" spans="1:29" ht="15.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</row>
    <row r="703" spans="1:29" ht="15.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</row>
    <row r="704" spans="1:29" ht="15.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</row>
    <row r="705" spans="1:29" ht="15.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</row>
    <row r="706" spans="1:29" ht="15.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</row>
    <row r="707" spans="1:29" ht="15.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</row>
    <row r="708" spans="1:29" ht="15.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</row>
    <row r="709" spans="1:29" ht="15.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</row>
    <row r="710" spans="1:29" ht="15.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</row>
    <row r="711" spans="1:29" ht="15.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</row>
    <row r="712" spans="1:29" ht="15.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</row>
    <row r="713" spans="1:29" ht="15.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</row>
    <row r="714" spans="1:29" ht="15.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</row>
    <row r="715" spans="1:29" ht="15.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</row>
    <row r="716" spans="1:29" ht="15.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</row>
    <row r="717" spans="1:29" ht="15.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</row>
    <row r="718" spans="1:29" ht="15.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</row>
    <row r="719" spans="1:29" ht="15.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</row>
    <row r="720" spans="1:29" ht="15.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</row>
    <row r="721" spans="1:29" ht="15.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</row>
    <row r="722" spans="1:29" ht="15.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</row>
    <row r="723" spans="1:29" ht="15.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</row>
    <row r="724" spans="1:29" ht="15.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</row>
    <row r="725" spans="1:29" ht="15.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</row>
    <row r="726" spans="1:29" ht="15.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</row>
    <row r="727" spans="1:29" ht="15.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</row>
    <row r="728" spans="1:29" ht="15.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</row>
    <row r="729" spans="1:29" ht="15.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</row>
    <row r="730" spans="1:29" ht="15.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</row>
    <row r="731" spans="1:29" ht="15.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</row>
    <row r="732" spans="1:29" ht="15.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</row>
    <row r="733" spans="1:29" ht="15.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</row>
    <row r="734" spans="1:29" ht="15.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</row>
    <row r="735" spans="1:29" ht="15.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</row>
    <row r="736" spans="1:29" ht="15.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</row>
    <row r="737" spans="1:29" ht="15.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</row>
    <row r="738" spans="1:29" ht="15.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</row>
    <row r="739" spans="1:29" ht="15.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</row>
    <row r="740" spans="1:29" ht="15.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</row>
    <row r="741" spans="1:29" ht="15.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</row>
    <row r="742" spans="1:29" ht="15.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</row>
    <row r="743" spans="1:29" ht="15.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</row>
    <row r="744" spans="1:29" ht="15.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</row>
    <row r="745" spans="1:29" ht="15.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</row>
    <row r="746" spans="1:29" ht="15.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</row>
    <row r="747" spans="1:29" ht="15.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</row>
    <row r="748" spans="1:29" ht="15.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</row>
    <row r="749" spans="1:29" ht="15.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</row>
    <row r="750" spans="1:29" ht="15.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</row>
    <row r="751" spans="1:29" ht="15.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</row>
    <row r="752" spans="1:29" ht="15.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</row>
    <row r="753" spans="1:29" ht="15.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</row>
    <row r="754" spans="1:29" ht="15.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</row>
    <row r="755" spans="1:29" ht="15.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</row>
    <row r="756" spans="1:29" ht="15.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</row>
    <row r="757" spans="1:29" ht="15.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</row>
    <row r="758" spans="1:29" ht="15.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</row>
    <row r="759" spans="1:29" ht="15.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</row>
    <row r="760" spans="1:29" ht="15.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</row>
    <row r="761" spans="1:29" ht="15.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</row>
    <row r="762" spans="1:29" ht="15.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</row>
    <row r="763" spans="1:29" ht="15.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</row>
    <row r="764" spans="1:29" ht="15.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</row>
    <row r="765" spans="1:29" ht="15.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</row>
    <row r="766" spans="1:29" ht="15.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</row>
    <row r="767" spans="1:29" ht="15.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</row>
    <row r="768" spans="1:29" ht="15.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</row>
    <row r="769" spans="1:29" ht="15.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</row>
    <row r="770" spans="1:29" ht="15.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</row>
    <row r="771" spans="1:29" ht="15.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</row>
    <row r="772" spans="1:29" ht="15.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</row>
    <row r="773" spans="1:29" ht="15.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</row>
    <row r="774" spans="1:29" ht="15.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</row>
    <row r="775" spans="1:29" ht="15.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</row>
    <row r="776" spans="1:29" ht="15.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</row>
    <row r="777" spans="1:29" ht="15.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</row>
    <row r="778" spans="1:29" ht="15.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</row>
    <row r="779" spans="1:29" ht="15.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</row>
    <row r="780" spans="1:29" ht="15.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</row>
    <row r="781" spans="1:29" ht="15.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</row>
    <row r="782" spans="1:29" ht="15.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</row>
    <row r="783" spans="1:29" ht="15.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</row>
    <row r="784" spans="1:29" ht="15.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</row>
    <row r="785" spans="1:29" ht="15.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</row>
    <row r="786" spans="1:29" ht="15.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</row>
    <row r="787" spans="1:29" ht="15.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</row>
    <row r="788" spans="1:29" ht="15.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</row>
    <row r="789" spans="1:29" ht="15.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</row>
    <row r="790" spans="1:29" ht="15.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</row>
    <row r="791" spans="1:29" ht="15.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</row>
    <row r="792" spans="1:29" ht="15.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</row>
    <row r="793" spans="1:29" ht="15.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</row>
    <row r="794" spans="1:29" ht="15.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</row>
    <row r="795" spans="1:29" ht="15.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</row>
    <row r="796" spans="1:29" ht="15.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</row>
    <row r="797" spans="1:29" ht="15.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</row>
    <row r="798" spans="1:29" ht="15.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</row>
    <row r="799" spans="1:29" ht="15.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</row>
    <row r="800" spans="1:29" ht="15.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</row>
    <row r="801" spans="1:29" ht="15.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</row>
    <row r="802" spans="1:29" ht="15.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</row>
    <row r="803" spans="1:29" ht="15.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</row>
    <row r="804" spans="1:29" ht="15.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</row>
    <row r="805" spans="1:29" ht="15.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</row>
    <row r="806" spans="1:29" ht="15.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</row>
    <row r="807" spans="1:29" ht="15.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</row>
    <row r="808" spans="1:29" ht="15.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</row>
    <row r="809" spans="1:29" ht="15.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</row>
    <row r="810" spans="1:29" ht="15.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</row>
    <row r="811" spans="1:29" ht="15.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</row>
    <row r="812" spans="1:29" ht="15.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</row>
    <row r="813" spans="1:29" ht="15.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</row>
    <row r="814" spans="1:29" ht="15.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</row>
    <row r="815" spans="1:29" ht="15.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</row>
    <row r="816" spans="1:29" ht="15.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</row>
    <row r="817" spans="1:29" ht="15.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</row>
    <row r="818" spans="1:29" ht="15.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</row>
    <row r="819" spans="1:29" ht="15.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</row>
    <row r="820" spans="1:29" ht="15.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</row>
    <row r="821" spans="1:29" ht="15.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</row>
    <row r="822" spans="1:29" ht="15.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</row>
    <row r="823" spans="1:29" ht="15.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</row>
    <row r="824" spans="1:29" ht="15.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</row>
    <row r="825" spans="1:29" ht="15.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</row>
    <row r="826" spans="1:29" ht="15.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</row>
    <row r="827" spans="1:29" ht="15.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</row>
    <row r="828" spans="1:29" ht="15.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</row>
    <row r="829" spans="1:29" ht="15.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</row>
    <row r="830" spans="1:29" ht="15.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</row>
    <row r="831" spans="1:29" ht="15.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</row>
    <row r="832" spans="1:29" ht="15.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</row>
    <row r="833" spans="1:29" ht="15.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</row>
    <row r="834" spans="1:29" ht="15.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</row>
    <row r="835" spans="1:29" ht="15.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</row>
    <row r="836" spans="1:29" ht="15.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</row>
    <row r="837" spans="1:29" ht="15.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</row>
    <row r="838" spans="1:29" ht="15.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</row>
    <row r="839" spans="1:29" ht="15.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</row>
    <row r="840" spans="1:29" ht="15.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</row>
    <row r="841" spans="1:29" ht="15.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</row>
    <row r="842" spans="1:29" ht="15.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</row>
    <row r="843" spans="1:29" ht="15.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</row>
    <row r="844" spans="1:29" ht="15.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</row>
    <row r="845" spans="1:29" ht="15.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</row>
    <row r="846" spans="1:29" ht="15.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</row>
    <row r="847" spans="1:29" ht="15.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</row>
    <row r="848" spans="1:29" ht="15.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</row>
    <row r="849" spans="1:29" ht="15.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</row>
    <row r="850" spans="1:29" ht="15.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</row>
    <row r="851" spans="1:29" ht="15.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</row>
    <row r="852" spans="1:29" ht="15.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</row>
    <row r="853" spans="1:29" ht="15.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</row>
    <row r="854" spans="1:29" ht="15.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</row>
    <row r="855" spans="1:29" ht="15.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</row>
    <row r="856" spans="1:29" ht="15.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</row>
    <row r="857" spans="1:29" ht="15.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</row>
    <row r="858" spans="1:29" ht="15.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</row>
    <row r="859" spans="1:29" ht="15.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</row>
    <row r="860" spans="1:29" ht="15.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</row>
    <row r="861" spans="1:29" ht="15.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</row>
    <row r="862" spans="1:29" ht="15.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</row>
    <row r="863" spans="1:29" ht="15.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</row>
    <row r="864" spans="1:29" ht="15.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</row>
    <row r="865" spans="1:29" ht="15.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</row>
    <row r="866" spans="1:29" ht="15.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</row>
    <row r="867" spans="1:29" ht="15.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</row>
    <row r="868" spans="1:29" ht="15.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</row>
    <row r="869" spans="1:29" ht="15.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</row>
    <row r="870" spans="1:29" ht="15.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</row>
    <row r="871" spans="1:29" ht="15.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</row>
    <row r="872" spans="1:29" ht="15.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</row>
    <row r="873" spans="1:29" ht="15.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</row>
    <row r="874" spans="1:29" ht="15.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</row>
    <row r="875" spans="1:29" ht="15.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</row>
    <row r="876" spans="1:29" ht="15.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</row>
    <row r="877" spans="1:29" ht="15.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</row>
    <row r="878" spans="1:29" ht="15.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</row>
    <row r="879" spans="1:29" ht="15.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</row>
    <row r="880" spans="1:29" ht="15.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</row>
    <row r="881" spans="1:29" ht="15.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</row>
    <row r="882" spans="1:29" ht="15.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</row>
    <row r="883" spans="1:29" ht="15.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</row>
    <row r="884" spans="1:29" ht="15.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</row>
    <row r="885" spans="1:29" ht="15.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</row>
    <row r="886" spans="1:29" ht="15.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</row>
    <row r="887" spans="1:29" ht="15.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</row>
    <row r="888" spans="1:29" ht="15.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</row>
    <row r="889" spans="1:29" ht="15.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</row>
    <row r="890" spans="1:29" ht="15.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</row>
    <row r="891" spans="1:29" ht="15.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</row>
    <row r="892" spans="1:29" ht="15.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</row>
    <row r="893" spans="1:29" ht="15.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</row>
    <row r="894" spans="1:29" ht="15.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</row>
    <row r="895" spans="1:29" ht="15.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</row>
    <row r="896" spans="1:29" ht="15.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</row>
    <row r="897" spans="1:29" ht="15.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</row>
    <row r="898" spans="1:29" ht="15.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</row>
    <row r="899" spans="1:29" ht="15.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</row>
    <row r="900" spans="1:29" ht="15.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</row>
    <row r="901" spans="1:29" ht="15.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</row>
    <row r="902" spans="1:29" ht="15.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</row>
    <row r="903" spans="1:29" ht="15.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</row>
    <row r="904" spans="1:29" ht="15.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</row>
    <row r="905" spans="1:29" ht="15.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</row>
    <row r="906" spans="1:29" ht="15.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</row>
    <row r="907" spans="1:29" ht="15.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</row>
    <row r="908" spans="1:29" ht="15.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</row>
    <row r="909" spans="1:29" ht="15.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</row>
    <row r="910" spans="1:29" ht="15.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</row>
    <row r="911" spans="1:29" ht="15.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</row>
    <row r="912" spans="1:29" ht="15.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</row>
    <row r="913" spans="1:29" ht="15.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</row>
    <row r="914" spans="1:29" ht="15.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</row>
    <row r="915" spans="1:29" ht="15.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</row>
    <row r="916" spans="1:29" ht="15.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</row>
    <row r="917" spans="1:29" ht="15.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</row>
    <row r="918" spans="1:29" ht="15.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</row>
    <row r="919" spans="1:29" ht="15.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</row>
    <row r="920" spans="1:29" ht="15.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</row>
    <row r="921" spans="1:29" ht="15.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</row>
    <row r="922" spans="1:29" ht="15.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</row>
    <row r="923" spans="1:29" ht="15.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</row>
    <row r="924" spans="1:29" ht="15.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</row>
    <row r="925" spans="1:29" ht="15.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</row>
    <row r="926" spans="1:29" ht="15.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</row>
    <row r="927" spans="1:29" ht="15.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</row>
    <row r="928" spans="1:29" ht="15.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</row>
    <row r="929" spans="1:29" ht="15.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</row>
    <row r="930" spans="1:29" ht="15.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</row>
    <row r="931" spans="1:29" ht="15.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</row>
    <row r="932" spans="1:29" ht="15.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</row>
    <row r="933" spans="1:29" ht="15.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</row>
    <row r="934" spans="1:29" ht="15.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</row>
    <row r="935" spans="1:29" ht="15.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</row>
    <row r="936" spans="1:29" ht="15.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</row>
    <row r="937" spans="1:29" ht="15.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</row>
    <row r="938" spans="1:29" ht="15.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</row>
    <row r="939" spans="1:29" ht="15.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</row>
    <row r="940" spans="1:29" ht="15.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</row>
    <row r="941" spans="1:29" ht="15.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</row>
    <row r="942" spans="1:29" ht="15.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</row>
    <row r="943" spans="1:29" ht="15.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</row>
    <row r="944" spans="1:29" ht="15.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</row>
    <row r="945" spans="1:29" ht="15.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</row>
    <row r="946" spans="1:29" ht="15.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</row>
    <row r="947" spans="1:29" ht="15.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</row>
    <row r="948" spans="1:29" ht="15.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</row>
    <row r="949" spans="1:29" ht="15.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</row>
    <row r="950" spans="1:29" ht="15.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</row>
    <row r="951" spans="1:29" ht="15.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</row>
    <row r="952" spans="1:29" ht="15.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</row>
    <row r="953" spans="1:29" ht="15.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</row>
    <row r="954" spans="1:29" ht="15.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</row>
    <row r="955" spans="1:29" ht="15.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</row>
    <row r="956" spans="1:29" ht="15.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</row>
    <row r="957" spans="1:29" ht="15.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</row>
    <row r="958" spans="1:29" ht="15.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</row>
    <row r="959" spans="1:29" ht="15.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</row>
    <row r="960" spans="1:29" ht="15.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</row>
    <row r="961" spans="1:29" ht="15.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</row>
    <row r="962" spans="1:29" ht="15.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</row>
    <row r="963" spans="1:29" ht="15.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</row>
    <row r="964" spans="1:29" ht="15.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</row>
    <row r="965" spans="1:29" ht="15.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</row>
    <row r="966" spans="1:29" ht="15.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</row>
    <row r="967" spans="1:29" ht="15.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</row>
    <row r="968" spans="1:29" ht="15.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</row>
    <row r="969" spans="1:29" ht="15.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</row>
    <row r="970" spans="1:29" ht="15.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</row>
    <row r="971" spans="1:29" ht="15.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</row>
    <row r="972" spans="1:29" ht="15.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</row>
    <row r="973" spans="1:29" ht="15.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</row>
    <row r="974" spans="1:29" ht="15.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</row>
    <row r="975" spans="1:29" ht="15.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</row>
    <row r="976" spans="1:29" ht="15.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</row>
    <row r="977" spans="1:29" ht="15.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</row>
    <row r="978" spans="1:29" ht="15.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</row>
    <row r="979" spans="1:29" ht="15.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</row>
    <row r="980" spans="1:29" ht="15.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</row>
    <row r="981" spans="1:29" ht="15.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</row>
    <row r="982" spans="1:29" ht="15.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</row>
    <row r="983" spans="1:29" ht="15.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</row>
    <row r="984" spans="1:29" ht="15.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</row>
    <row r="985" spans="1:29" ht="15.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</row>
    <row r="986" spans="1:29" ht="15.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</row>
    <row r="987" spans="1:29" ht="15.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</row>
    <row r="988" spans="1:29" ht="15.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</row>
    <row r="989" spans="1:29" ht="15.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</row>
    <row r="990" spans="1:29" ht="15.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</row>
    <row r="991" spans="1:29" ht="15.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</row>
    <row r="992" spans="1:29" ht="15.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</row>
    <row r="993" spans="1:29" ht="15.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</row>
    <row r="994" spans="1:29" ht="15.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</row>
    <row r="995" spans="1:29" ht="15.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</row>
    <row r="996" spans="1:29" ht="15.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</row>
    <row r="997" spans="1:29" ht="15.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</row>
    <row r="998" spans="1:29" ht="15.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</row>
    <row r="999" spans="1:29" ht="15.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</row>
    <row r="1000" spans="1:29" ht="15.5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</row>
    <row r="1001" spans="1:29" ht="15.5">
      <c r="A1001" s="66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</row>
    <row r="1002" spans="1:29" ht="15.5">
      <c r="A1002" s="66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</row>
    <row r="1003" spans="1:29" ht="15.5">
      <c r="A1003" s="66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</row>
    <row r="1004" spans="1:29" ht="15.5">
      <c r="A1004" s="66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  <c r="AA1004" s="66"/>
      <c r="AB1004" s="66"/>
      <c r="AC1004" s="66"/>
    </row>
    <row r="1005" spans="1:29" ht="15.5">
      <c r="A1005" s="66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  <c r="AA1005" s="66"/>
      <c r="AB1005" s="66"/>
      <c r="AC1005" s="66"/>
    </row>
    <row r="1006" spans="1:29" ht="15.5">
      <c r="A1006" s="66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  <c r="AA1006" s="66"/>
      <c r="AB1006" s="66"/>
      <c r="AC1006" s="66"/>
    </row>
    <row r="1007" spans="1:29" ht="15.5">
      <c r="A1007" s="66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  <c r="X1007" s="66"/>
      <c r="Y1007" s="66"/>
      <c r="Z1007" s="66"/>
      <c r="AA1007" s="66"/>
      <c r="AB1007" s="66"/>
      <c r="AC1007" s="66"/>
    </row>
    <row r="1008" spans="1:29" ht="15.5">
      <c r="A1008" s="66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  <c r="X1008" s="66"/>
      <c r="Y1008" s="66"/>
      <c r="Z1008" s="66"/>
      <c r="AA1008" s="66"/>
      <c r="AB1008" s="66"/>
      <c r="AC1008" s="66"/>
    </row>
    <row r="1009" spans="1:29" ht="15.5">
      <c r="A1009" s="66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  <c r="X1009" s="66"/>
      <c r="Y1009" s="66"/>
      <c r="Z1009" s="66"/>
      <c r="AA1009" s="66"/>
      <c r="AB1009" s="66"/>
      <c r="AC1009" s="66"/>
    </row>
    <row r="1010" spans="1:29" ht="15.5">
      <c r="A1010" s="66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  <c r="X1010" s="66"/>
      <c r="Y1010" s="66"/>
      <c r="Z1010" s="66"/>
      <c r="AA1010" s="66"/>
      <c r="AB1010" s="66"/>
      <c r="AC1010" s="66"/>
    </row>
    <row r="1011" spans="1:29" ht="15.5">
      <c r="A1011" s="66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  <c r="X1011" s="66"/>
      <c r="Y1011" s="66"/>
      <c r="Z1011" s="66"/>
      <c r="AA1011" s="66"/>
      <c r="AB1011" s="66"/>
      <c r="AC1011" s="66"/>
    </row>
    <row r="1012" spans="1:29" ht="15.5">
      <c r="A1012" s="66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66"/>
      <c r="Y1012" s="66"/>
      <c r="Z1012" s="66"/>
      <c r="AA1012" s="66"/>
      <c r="AB1012" s="66"/>
      <c r="AC1012" s="66"/>
    </row>
    <row r="1013" spans="1:29" ht="15.5">
      <c r="A1013" s="66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  <c r="X1013" s="66"/>
      <c r="Y1013" s="66"/>
      <c r="Z1013" s="66"/>
      <c r="AA1013" s="66"/>
      <c r="AB1013" s="66"/>
      <c r="AC1013" s="66"/>
    </row>
    <row r="1014" spans="1:29" ht="15.5">
      <c r="A1014" s="66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  <c r="X1014" s="66"/>
      <c r="Y1014" s="66"/>
      <c r="Z1014" s="66"/>
      <c r="AA1014" s="66"/>
      <c r="AB1014" s="66"/>
      <c r="AC1014" s="66"/>
    </row>
    <row r="1015" spans="1:29" ht="15.5">
      <c r="A1015" s="66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  <c r="X1015" s="66"/>
      <c r="Y1015" s="66"/>
      <c r="Z1015" s="66"/>
      <c r="AA1015" s="66"/>
      <c r="AB1015" s="66"/>
      <c r="AC1015" s="66"/>
    </row>
    <row r="1016" spans="1:29" ht="15.5">
      <c r="A1016" s="66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  <c r="X1016" s="66"/>
      <c r="Y1016" s="66"/>
      <c r="Z1016" s="66"/>
      <c r="AA1016" s="66"/>
      <c r="AB1016" s="66"/>
      <c r="AC1016" s="66"/>
    </row>
    <row r="1017" spans="1:29" ht="15.5">
      <c r="A1017" s="66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  <c r="X1017" s="66"/>
      <c r="Y1017" s="66"/>
      <c r="Z1017" s="66"/>
      <c r="AA1017" s="66"/>
      <c r="AB1017" s="66"/>
      <c r="AC1017" s="66"/>
    </row>
    <row r="1018" spans="1:29" ht="15.5">
      <c r="A1018" s="66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  <c r="X1018" s="66"/>
      <c r="Y1018" s="66"/>
      <c r="Z1018" s="66"/>
      <c r="AA1018" s="66"/>
      <c r="AB1018" s="66"/>
      <c r="AC1018" s="66"/>
    </row>
    <row r="1019" spans="1:29" ht="15.5">
      <c r="A1019" s="66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  <c r="X1019" s="66"/>
      <c r="Y1019" s="66"/>
      <c r="Z1019" s="66"/>
      <c r="AA1019" s="66"/>
      <c r="AB1019" s="66"/>
      <c r="AC1019" s="66"/>
    </row>
    <row r="1020" spans="1:29" ht="15.5">
      <c r="A1020" s="66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  <c r="X1020" s="66"/>
      <c r="Y1020" s="66"/>
      <c r="Z1020" s="66"/>
      <c r="AA1020" s="66"/>
      <c r="AB1020" s="66"/>
      <c r="AC1020" s="66"/>
    </row>
    <row r="1021" spans="1:29" ht="15.5">
      <c r="A1021" s="66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66"/>
      <c r="P1021" s="66"/>
      <c r="Q1021" s="66"/>
      <c r="R1021" s="66"/>
      <c r="S1021" s="66"/>
      <c r="T1021" s="66"/>
      <c r="U1021" s="66"/>
      <c r="V1021" s="66"/>
      <c r="W1021" s="66"/>
      <c r="X1021" s="66"/>
      <c r="Y1021" s="66"/>
      <c r="Z1021" s="66"/>
      <c r="AA1021" s="66"/>
      <c r="AB1021" s="66"/>
      <c r="AC1021" s="66"/>
    </row>
    <row r="1022" spans="1:29" ht="15.5">
      <c r="A1022" s="66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  <c r="X1022" s="66"/>
      <c r="Y1022" s="66"/>
      <c r="Z1022" s="66"/>
      <c r="AA1022" s="66"/>
      <c r="AB1022" s="66"/>
      <c r="AC1022" s="66"/>
    </row>
    <row r="1023" spans="1:29" ht="15.5">
      <c r="A1023" s="66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66"/>
      <c r="P1023" s="66"/>
      <c r="Q1023" s="66"/>
      <c r="R1023" s="66"/>
      <c r="S1023" s="66"/>
      <c r="T1023" s="66"/>
      <c r="U1023" s="66"/>
      <c r="V1023" s="66"/>
      <c r="W1023" s="66"/>
      <c r="X1023" s="66"/>
      <c r="Y1023" s="66"/>
      <c r="Z1023" s="66"/>
      <c r="AA1023" s="66"/>
      <c r="AB1023" s="66"/>
      <c r="AC1023" s="66"/>
    </row>
    <row r="1024" spans="1:29" ht="15.5">
      <c r="A1024" s="66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66"/>
      <c r="P1024" s="66"/>
      <c r="Q1024" s="66"/>
      <c r="R1024" s="66"/>
      <c r="S1024" s="66"/>
      <c r="T1024" s="66"/>
      <c r="U1024" s="66"/>
      <c r="V1024" s="66"/>
      <c r="W1024" s="66"/>
      <c r="X1024" s="66"/>
      <c r="Y1024" s="66"/>
      <c r="Z1024" s="66"/>
      <c r="AA1024" s="66"/>
      <c r="AB1024" s="66"/>
      <c r="AC1024" s="66"/>
    </row>
    <row r="1025" spans="1:29" ht="15.5">
      <c r="A1025" s="66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  <c r="X1025" s="66"/>
      <c r="Y1025" s="66"/>
      <c r="Z1025" s="66"/>
      <c r="AA1025" s="66"/>
      <c r="AB1025" s="66"/>
      <c r="AC1025" s="66"/>
    </row>
    <row r="1026" spans="1:29" ht="15.5">
      <c r="A1026" s="66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  <c r="X1026" s="66"/>
      <c r="Y1026" s="66"/>
      <c r="Z1026" s="66"/>
      <c r="AA1026" s="66"/>
      <c r="AB1026" s="66"/>
      <c r="AC1026" s="66"/>
    </row>
    <row r="1027" spans="1:29" ht="15.5">
      <c r="A1027" s="66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  <c r="X1027" s="66"/>
      <c r="Y1027" s="66"/>
      <c r="Z1027" s="66"/>
      <c r="AA1027" s="66"/>
      <c r="AB1027" s="66"/>
      <c r="AC1027" s="66"/>
    </row>
    <row r="1028" spans="1:29" ht="15.5">
      <c r="A1028" s="66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  <c r="X1028" s="66"/>
      <c r="Y1028" s="66"/>
      <c r="Z1028" s="66"/>
      <c r="AA1028" s="66"/>
      <c r="AB1028" s="66"/>
      <c r="AC1028" s="66"/>
    </row>
    <row r="1029" spans="1:29" ht="15.5">
      <c r="A1029" s="66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66"/>
      <c r="P1029" s="66"/>
      <c r="Q1029" s="66"/>
      <c r="R1029" s="66"/>
      <c r="S1029" s="66"/>
      <c r="T1029" s="66"/>
      <c r="U1029" s="66"/>
      <c r="V1029" s="66"/>
      <c r="W1029" s="66"/>
      <c r="X1029" s="66"/>
      <c r="Y1029" s="66"/>
      <c r="Z1029" s="66"/>
      <c r="AA1029" s="66"/>
      <c r="AB1029" s="66"/>
      <c r="AC1029" s="66"/>
    </row>
    <row r="1030" spans="1:29" ht="15.5">
      <c r="A1030" s="66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66"/>
      <c r="P1030" s="66"/>
      <c r="Q1030" s="66"/>
      <c r="R1030" s="66"/>
      <c r="S1030" s="66"/>
      <c r="T1030" s="66"/>
      <c r="U1030" s="66"/>
      <c r="V1030" s="66"/>
      <c r="W1030" s="66"/>
      <c r="X1030" s="66"/>
      <c r="Y1030" s="66"/>
      <c r="Z1030" s="66"/>
      <c r="AA1030" s="66"/>
      <c r="AB1030" s="66"/>
      <c r="AC1030" s="66"/>
    </row>
    <row r="1031" spans="1:29" ht="15.5">
      <c r="A1031" s="66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66"/>
      <c r="P1031" s="66"/>
      <c r="Q1031" s="66"/>
      <c r="R1031" s="66"/>
      <c r="S1031" s="66"/>
      <c r="T1031" s="66"/>
      <c r="U1031" s="66"/>
      <c r="V1031" s="66"/>
      <c r="W1031" s="66"/>
      <c r="X1031" s="66"/>
      <c r="Y1031" s="66"/>
      <c r="Z1031" s="66"/>
      <c r="AA1031" s="66"/>
      <c r="AB1031" s="66"/>
      <c r="AC1031" s="66"/>
    </row>
    <row r="1032" spans="1:29" ht="15.5">
      <c r="A1032" s="66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66"/>
      <c r="P1032" s="66"/>
      <c r="Q1032" s="66"/>
      <c r="R1032" s="66"/>
      <c r="S1032" s="66"/>
      <c r="T1032" s="66"/>
      <c r="U1032" s="66"/>
      <c r="V1032" s="66"/>
      <c r="W1032" s="66"/>
      <c r="X1032" s="66"/>
      <c r="Y1032" s="66"/>
      <c r="Z1032" s="66"/>
      <c r="AA1032" s="66"/>
      <c r="AB1032" s="66"/>
      <c r="AC1032" s="66"/>
    </row>
    <row r="1033" spans="1:29" ht="15.5">
      <c r="A1033" s="66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66"/>
      <c r="P1033" s="66"/>
      <c r="Q1033" s="66"/>
      <c r="R1033" s="66"/>
      <c r="S1033" s="66"/>
      <c r="T1033" s="66"/>
      <c r="U1033" s="66"/>
      <c r="V1033" s="66"/>
      <c r="W1033" s="66"/>
      <c r="X1033" s="66"/>
      <c r="Y1033" s="66"/>
      <c r="Z1033" s="66"/>
      <c r="AA1033" s="66"/>
      <c r="AB1033" s="66"/>
      <c r="AC1033" s="66"/>
    </row>
    <row r="1034" spans="1:29" ht="15.5">
      <c r="A1034" s="66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66"/>
      <c r="P1034" s="66"/>
      <c r="Q1034" s="66"/>
      <c r="R1034" s="66"/>
      <c r="S1034" s="66"/>
      <c r="T1034" s="66"/>
      <c r="U1034" s="66"/>
      <c r="V1034" s="66"/>
      <c r="W1034" s="66"/>
      <c r="X1034" s="66"/>
      <c r="Y1034" s="66"/>
      <c r="Z1034" s="66"/>
      <c r="AA1034" s="66"/>
      <c r="AB1034" s="66"/>
      <c r="AC1034" s="66"/>
    </row>
    <row r="1035" spans="1:29" ht="15.5">
      <c r="A1035" s="66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66"/>
      <c r="P1035" s="66"/>
      <c r="Q1035" s="66"/>
      <c r="R1035" s="66"/>
      <c r="S1035" s="66"/>
      <c r="T1035" s="66"/>
      <c r="U1035" s="66"/>
      <c r="V1035" s="66"/>
      <c r="W1035" s="66"/>
      <c r="X1035" s="66"/>
      <c r="Y1035" s="66"/>
      <c r="Z1035" s="66"/>
      <c r="AA1035" s="66"/>
      <c r="AB1035" s="66"/>
      <c r="AC1035" s="66"/>
    </row>
    <row r="1036" spans="1:29" ht="15.5">
      <c r="A1036" s="66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66"/>
      <c r="P1036" s="66"/>
      <c r="Q1036" s="66"/>
      <c r="R1036" s="66"/>
      <c r="S1036" s="66"/>
      <c r="T1036" s="66"/>
      <c r="U1036" s="66"/>
      <c r="V1036" s="66"/>
      <c r="W1036" s="66"/>
      <c r="X1036" s="66"/>
      <c r="Y1036" s="66"/>
      <c r="Z1036" s="66"/>
      <c r="AA1036" s="66"/>
      <c r="AB1036" s="66"/>
      <c r="AC1036" s="66"/>
    </row>
    <row r="1037" spans="1:29" ht="15.5">
      <c r="A1037" s="66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66"/>
      <c r="P1037" s="66"/>
      <c r="Q1037" s="66"/>
      <c r="R1037" s="66"/>
      <c r="S1037" s="66"/>
      <c r="T1037" s="66"/>
      <c r="U1037" s="66"/>
      <c r="V1037" s="66"/>
      <c r="W1037" s="66"/>
      <c r="X1037" s="66"/>
      <c r="Y1037" s="66"/>
      <c r="Z1037" s="66"/>
      <c r="AA1037" s="66"/>
      <c r="AB1037" s="66"/>
      <c r="AC1037" s="66"/>
    </row>
    <row r="1038" spans="1:29" ht="15.5">
      <c r="A1038" s="66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66"/>
      <c r="P1038" s="66"/>
      <c r="Q1038" s="66"/>
      <c r="R1038" s="66"/>
      <c r="S1038" s="66"/>
      <c r="T1038" s="66"/>
      <c r="U1038" s="66"/>
      <c r="V1038" s="66"/>
      <c r="W1038" s="66"/>
      <c r="X1038" s="66"/>
      <c r="Y1038" s="66"/>
      <c r="Z1038" s="66"/>
      <c r="AA1038" s="66"/>
      <c r="AB1038" s="66"/>
      <c r="AC1038" s="66"/>
    </row>
    <row r="1039" spans="1:29" ht="15.5">
      <c r="A1039" s="66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66"/>
      <c r="P1039" s="66"/>
      <c r="Q1039" s="66"/>
      <c r="R1039" s="66"/>
      <c r="S1039" s="66"/>
      <c r="T1039" s="66"/>
      <c r="U1039" s="66"/>
      <c r="V1039" s="66"/>
      <c r="W1039" s="66"/>
      <c r="X1039" s="66"/>
      <c r="Y1039" s="66"/>
      <c r="Z1039" s="66"/>
      <c r="AA1039" s="66"/>
      <c r="AB1039" s="66"/>
      <c r="AC1039" s="66"/>
    </row>
    <row r="1040" spans="1:29" ht="15.5">
      <c r="A1040" s="66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66"/>
      <c r="P1040" s="66"/>
      <c r="Q1040" s="66"/>
      <c r="R1040" s="66"/>
      <c r="S1040" s="66"/>
      <c r="T1040" s="66"/>
      <c r="U1040" s="66"/>
      <c r="V1040" s="66"/>
      <c r="W1040" s="66"/>
      <c r="X1040" s="66"/>
      <c r="Y1040" s="66"/>
      <c r="Z1040" s="66"/>
      <c r="AA1040" s="66"/>
      <c r="AB1040" s="66"/>
      <c r="AC1040" s="66"/>
    </row>
    <row r="1041" spans="1:29" ht="15.5">
      <c r="A1041" s="66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66"/>
      <c r="P1041" s="66"/>
      <c r="Q1041" s="66"/>
      <c r="R1041" s="66"/>
      <c r="S1041" s="66"/>
      <c r="T1041" s="66"/>
      <c r="U1041" s="66"/>
      <c r="V1041" s="66"/>
      <c r="W1041" s="66"/>
      <c r="X1041" s="66"/>
      <c r="Y1041" s="66"/>
      <c r="Z1041" s="66"/>
      <c r="AA1041" s="66"/>
      <c r="AB1041" s="66"/>
      <c r="AC1041" s="66"/>
    </row>
    <row r="1042" spans="1:29" ht="15.5">
      <c r="A1042" s="66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66"/>
      <c r="P1042" s="66"/>
      <c r="Q1042" s="66"/>
      <c r="R1042" s="66"/>
      <c r="S1042" s="66"/>
      <c r="T1042" s="66"/>
      <c r="U1042" s="66"/>
      <c r="V1042" s="66"/>
      <c r="W1042" s="66"/>
      <c r="X1042" s="66"/>
      <c r="Y1042" s="66"/>
      <c r="Z1042" s="66"/>
      <c r="AA1042" s="66"/>
      <c r="AB1042" s="66"/>
      <c r="AC1042" s="66"/>
    </row>
    <row r="1043" spans="1:29" ht="15.5">
      <c r="A1043" s="66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66"/>
      <c r="P1043" s="66"/>
      <c r="Q1043" s="66"/>
      <c r="R1043" s="66"/>
      <c r="S1043" s="66"/>
      <c r="T1043" s="66"/>
      <c r="U1043" s="66"/>
      <c r="V1043" s="66"/>
      <c r="W1043" s="66"/>
      <c r="X1043" s="66"/>
      <c r="Y1043" s="66"/>
      <c r="Z1043" s="66"/>
      <c r="AA1043" s="66"/>
      <c r="AB1043" s="66"/>
      <c r="AC1043" s="66"/>
    </row>
    <row r="1044" spans="1:29" ht="15.5">
      <c r="A1044" s="66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66"/>
      <c r="R1044" s="66"/>
      <c r="S1044" s="66"/>
      <c r="T1044" s="66"/>
      <c r="U1044" s="66"/>
      <c r="V1044" s="66"/>
      <c r="W1044" s="66"/>
      <c r="X1044" s="66"/>
      <c r="Y1044" s="66"/>
      <c r="Z1044" s="66"/>
      <c r="AA1044" s="66"/>
      <c r="AB1044" s="66"/>
      <c r="AC1044" s="66"/>
    </row>
    <row r="1045" spans="1:29" ht="15.5">
      <c r="A1045" s="66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66"/>
      <c r="P1045" s="66"/>
      <c r="Q1045" s="66"/>
      <c r="R1045" s="66"/>
      <c r="S1045" s="66"/>
      <c r="T1045" s="66"/>
      <c r="U1045" s="66"/>
      <c r="V1045" s="66"/>
      <c r="W1045" s="66"/>
      <c r="X1045" s="66"/>
      <c r="Y1045" s="66"/>
      <c r="Z1045" s="66"/>
      <c r="AA1045" s="66"/>
      <c r="AB1045" s="66"/>
      <c r="AC1045" s="66"/>
    </row>
    <row r="1046" spans="1:29" ht="15.5">
      <c r="A1046" s="66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66"/>
      <c r="P1046" s="66"/>
      <c r="Q1046" s="66"/>
      <c r="R1046" s="66"/>
      <c r="S1046" s="66"/>
      <c r="T1046" s="66"/>
      <c r="U1046" s="66"/>
      <c r="V1046" s="66"/>
      <c r="W1046" s="66"/>
      <c r="X1046" s="66"/>
      <c r="Y1046" s="66"/>
      <c r="Z1046" s="66"/>
      <c r="AA1046" s="66"/>
      <c r="AB1046" s="66"/>
      <c r="AC1046" s="66"/>
    </row>
    <row r="1047" spans="1:29" ht="15.5">
      <c r="A1047" s="66"/>
      <c r="B1047" s="66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66"/>
      <c r="P1047" s="66"/>
      <c r="Q1047" s="66"/>
      <c r="R1047" s="66"/>
      <c r="S1047" s="66"/>
      <c r="T1047" s="66"/>
      <c r="U1047" s="66"/>
      <c r="V1047" s="66"/>
      <c r="W1047" s="66"/>
      <c r="X1047" s="66"/>
      <c r="Y1047" s="66"/>
      <c r="Z1047" s="66"/>
      <c r="AA1047" s="66"/>
      <c r="AB1047" s="66"/>
      <c r="AC1047" s="66"/>
    </row>
    <row r="1048" spans="1:29" ht="15.5">
      <c r="A1048" s="66"/>
      <c r="B1048" s="66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66"/>
      <c r="P1048" s="66"/>
      <c r="Q1048" s="66"/>
      <c r="R1048" s="66"/>
      <c r="S1048" s="66"/>
      <c r="T1048" s="66"/>
      <c r="U1048" s="66"/>
      <c r="V1048" s="66"/>
      <c r="W1048" s="66"/>
      <c r="X1048" s="66"/>
      <c r="Y1048" s="66"/>
      <c r="Z1048" s="66"/>
      <c r="AA1048" s="66"/>
      <c r="AB1048" s="66"/>
      <c r="AC1048" s="66"/>
    </row>
    <row r="1049" spans="1:29" ht="15.5">
      <c r="A1049" s="66"/>
      <c r="B1049" s="66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66"/>
      <c r="P1049" s="66"/>
      <c r="Q1049" s="66"/>
      <c r="R1049" s="66"/>
      <c r="S1049" s="66"/>
      <c r="T1049" s="66"/>
      <c r="U1049" s="66"/>
      <c r="V1049" s="66"/>
      <c r="W1049" s="66"/>
      <c r="X1049" s="66"/>
      <c r="Y1049" s="66"/>
      <c r="Z1049" s="66"/>
      <c r="AA1049" s="66"/>
      <c r="AB1049" s="66"/>
      <c r="AC1049" s="66"/>
    </row>
    <row r="1050" spans="1:29" ht="15.5">
      <c r="A1050" s="66"/>
      <c r="B1050" s="66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66"/>
      <c r="P1050" s="66"/>
      <c r="Q1050" s="66"/>
      <c r="R1050" s="66"/>
      <c r="S1050" s="66"/>
      <c r="T1050" s="66"/>
      <c r="U1050" s="66"/>
      <c r="V1050" s="66"/>
      <c r="W1050" s="66"/>
      <c r="X1050" s="66"/>
      <c r="Y1050" s="66"/>
      <c r="Z1050" s="66"/>
      <c r="AA1050" s="66"/>
      <c r="AB1050" s="66"/>
      <c r="AC1050" s="66"/>
    </row>
    <row r="1051" spans="1:29" ht="15.5">
      <c r="A1051" s="66"/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  <c r="AA1051" s="66"/>
      <c r="AB1051" s="66"/>
      <c r="AC1051" s="66"/>
    </row>
    <row r="1052" spans="1:29" ht="15.5">
      <c r="A1052" s="66"/>
      <c r="B1052" s="66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  <c r="AA1052" s="66"/>
      <c r="AB1052" s="66"/>
      <c r="AC1052" s="66"/>
    </row>
    <row r="1053" spans="1:29" ht="15.5">
      <c r="A1053" s="66"/>
      <c r="B1053" s="66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  <c r="Y1053" s="66"/>
      <c r="Z1053" s="66"/>
      <c r="AA1053" s="66"/>
      <c r="AB1053" s="66"/>
      <c r="AC1053" s="66"/>
    </row>
    <row r="1054" spans="1:29" ht="15.5">
      <c r="A1054" s="66"/>
      <c r="B1054" s="66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66"/>
      <c r="P1054" s="66"/>
      <c r="Q1054" s="66"/>
      <c r="R1054" s="66"/>
      <c r="S1054" s="66"/>
      <c r="T1054" s="66"/>
      <c r="U1054" s="66"/>
      <c r="V1054" s="66"/>
      <c r="W1054" s="66"/>
      <c r="X1054" s="66"/>
      <c r="Y1054" s="66"/>
      <c r="Z1054" s="66"/>
      <c r="AA1054" s="66"/>
      <c r="AB1054" s="66"/>
      <c r="AC1054" s="66"/>
    </row>
    <row r="1055" spans="1:29" ht="15.5">
      <c r="A1055" s="66"/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66"/>
      <c r="P1055" s="66"/>
      <c r="Q1055" s="66"/>
      <c r="R1055" s="66"/>
      <c r="S1055" s="66"/>
      <c r="T1055" s="66"/>
      <c r="U1055" s="66"/>
      <c r="V1055" s="66"/>
      <c r="W1055" s="66"/>
      <c r="X1055" s="66"/>
      <c r="Y1055" s="66"/>
      <c r="Z1055" s="66"/>
      <c r="AA1055" s="66"/>
      <c r="AB1055" s="66"/>
      <c r="AC1055" s="66"/>
    </row>
    <row r="1056" spans="1:29" ht="15.5">
      <c r="A1056" s="66"/>
      <c r="B1056" s="66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66"/>
      <c r="P1056" s="66"/>
      <c r="Q1056" s="66"/>
      <c r="R1056" s="66"/>
      <c r="S1056" s="66"/>
      <c r="T1056" s="66"/>
      <c r="U1056" s="66"/>
      <c r="V1056" s="66"/>
      <c r="W1056" s="66"/>
      <c r="X1056" s="66"/>
      <c r="Y1056" s="66"/>
      <c r="Z1056" s="66"/>
      <c r="AA1056" s="66"/>
      <c r="AB1056" s="66"/>
      <c r="AC1056" s="66"/>
    </row>
    <row r="1057" spans="1:29" ht="15.5">
      <c r="A1057" s="66"/>
      <c r="B1057" s="66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66"/>
      <c r="P1057" s="66"/>
      <c r="Q1057" s="66"/>
      <c r="R1057" s="66"/>
      <c r="S1057" s="66"/>
      <c r="T1057" s="66"/>
      <c r="U1057" s="66"/>
      <c r="V1057" s="66"/>
      <c r="W1057" s="66"/>
      <c r="X1057" s="66"/>
      <c r="Y1057" s="66"/>
      <c r="Z1057" s="66"/>
      <c r="AA1057" s="66"/>
      <c r="AB1057" s="66"/>
      <c r="AC1057" s="66"/>
    </row>
    <row r="1058" spans="1:29" ht="15.5">
      <c r="A1058" s="66"/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66"/>
      <c r="P1058" s="66"/>
      <c r="Q1058" s="66"/>
      <c r="R1058" s="66"/>
      <c r="S1058" s="66"/>
      <c r="T1058" s="66"/>
      <c r="U1058" s="66"/>
      <c r="V1058" s="66"/>
      <c r="W1058" s="66"/>
      <c r="X1058" s="66"/>
      <c r="Y1058" s="66"/>
      <c r="Z1058" s="66"/>
      <c r="AA1058" s="66"/>
      <c r="AB1058" s="66"/>
      <c r="AC1058" s="66"/>
    </row>
    <row r="1059" spans="1:29" ht="15.5">
      <c r="A1059" s="66"/>
      <c r="B1059" s="66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66"/>
      <c r="P1059" s="66"/>
      <c r="Q1059" s="66"/>
      <c r="R1059" s="66"/>
      <c r="S1059" s="66"/>
      <c r="T1059" s="66"/>
      <c r="U1059" s="66"/>
      <c r="V1059" s="66"/>
      <c r="W1059" s="66"/>
      <c r="X1059" s="66"/>
      <c r="Y1059" s="66"/>
      <c r="Z1059" s="66"/>
      <c r="AA1059" s="66"/>
      <c r="AB1059" s="66"/>
      <c r="AC1059" s="66"/>
    </row>
    <row r="1060" spans="1:29" ht="15.5">
      <c r="A1060" s="66"/>
      <c r="B1060" s="66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66"/>
      <c r="P1060" s="66"/>
      <c r="Q1060" s="66"/>
      <c r="R1060" s="66"/>
      <c r="S1060" s="66"/>
      <c r="T1060" s="66"/>
      <c r="U1060" s="66"/>
      <c r="V1060" s="66"/>
      <c r="W1060" s="66"/>
      <c r="X1060" s="66"/>
      <c r="Y1060" s="66"/>
      <c r="Z1060" s="66"/>
      <c r="AA1060" s="66"/>
      <c r="AB1060" s="66"/>
      <c r="AC1060" s="66"/>
    </row>
    <row r="1061" spans="1:29" ht="15.5">
      <c r="A1061" s="66"/>
      <c r="B1061" s="66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66"/>
      <c r="P1061" s="66"/>
      <c r="Q1061" s="66"/>
      <c r="R1061" s="66"/>
      <c r="S1061" s="66"/>
      <c r="T1061" s="66"/>
      <c r="U1061" s="66"/>
      <c r="V1061" s="66"/>
      <c r="W1061" s="66"/>
      <c r="X1061" s="66"/>
      <c r="Y1061" s="66"/>
      <c r="Z1061" s="66"/>
      <c r="AA1061" s="66"/>
      <c r="AB1061" s="66"/>
      <c r="AC1061" s="66"/>
    </row>
    <row r="1062" spans="1:29" ht="15.5">
      <c r="A1062" s="66"/>
      <c r="B1062" s="66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66"/>
      <c r="P1062" s="66"/>
      <c r="Q1062" s="66"/>
      <c r="R1062" s="66"/>
      <c r="S1062" s="66"/>
      <c r="T1062" s="66"/>
      <c r="U1062" s="66"/>
      <c r="V1062" s="66"/>
      <c r="W1062" s="66"/>
      <c r="X1062" s="66"/>
      <c r="Y1062" s="66"/>
      <c r="Z1062" s="66"/>
      <c r="AA1062" s="66"/>
      <c r="AB1062" s="66"/>
      <c r="AC1062" s="66"/>
    </row>
    <row r="1063" spans="1:29" ht="15.5">
      <c r="A1063" s="66"/>
      <c r="B1063" s="66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66"/>
      <c r="P1063" s="66"/>
      <c r="Q1063" s="66"/>
      <c r="R1063" s="66"/>
      <c r="S1063" s="66"/>
      <c r="T1063" s="66"/>
      <c r="U1063" s="66"/>
      <c r="V1063" s="66"/>
      <c r="W1063" s="66"/>
      <c r="X1063" s="66"/>
      <c r="Y1063" s="66"/>
      <c r="Z1063" s="66"/>
      <c r="AA1063" s="66"/>
      <c r="AB1063" s="66"/>
      <c r="AC1063" s="66"/>
    </row>
    <row r="1064" spans="1:29" ht="15.5">
      <c r="A1064" s="66"/>
      <c r="B1064" s="66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66"/>
      <c r="P1064" s="66"/>
      <c r="Q1064" s="66"/>
      <c r="R1064" s="66"/>
      <c r="S1064" s="66"/>
      <c r="T1064" s="66"/>
      <c r="U1064" s="66"/>
      <c r="V1064" s="66"/>
      <c r="W1064" s="66"/>
      <c r="X1064" s="66"/>
      <c r="Y1064" s="66"/>
      <c r="Z1064" s="66"/>
      <c r="AA1064" s="66"/>
      <c r="AB1064" s="66"/>
      <c r="AC1064" s="66"/>
    </row>
    <row r="1065" spans="1:29" ht="15.5">
      <c r="A1065" s="66"/>
      <c r="B1065" s="66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66"/>
      <c r="P1065" s="66"/>
      <c r="Q1065" s="66"/>
      <c r="R1065" s="66"/>
      <c r="S1065" s="66"/>
      <c r="T1065" s="66"/>
      <c r="U1065" s="66"/>
      <c r="V1065" s="66"/>
      <c r="W1065" s="66"/>
      <c r="X1065" s="66"/>
      <c r="Y1065" s="66"/>
      <c r="Z1065" s="66"/>
      <c r="AA1065" s="66"/>
      <c r="AB1065" s="66"/>
      <c r="AC1065" s="66"/>
    </row>
    <row r="1066" spans="1:29" ht="15.5">
      <c r="A1066" s="66"/>
      <c r="B1066" s="66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66"/>
      <c r="P1066" s="66"/>
      <c r="Q1066" s="66"/>
      <c r="R1066" s="66"/>
      <c r="S1066" s="66"/>
      <c r="T1066" s="66"/>
      <c r="U1066" s="66"/>
      <c r="V1066" s="66"/>
      <c r="W1066" s="66"/>
      <c r="X1066" s="66"/>
      <c r="Y1066" s="66"/>
      <c r="Z1066" s="66"/>
      <c r="AA1066" s="66"/>
      <c r="AB1066" s="66"/>
      <c r="AC1066" s="66"/>
    </row>
    <row r="1067" spans="1:29" ht="15.5">
      <c r="A1067" s="66"/>
      <c r="B1067" s="66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66"/>
      <c r="P1067" s="66"/>
      <c r="Q1067" s="66"/>
      <c r="R1067" s="66"/>
      <c r="S1067" s="66"/>
      <c r="T1067" s="66"/>
      <c r="U1067" s="66"/>
      <c r="V1067" s="66"/>
      <c r="W1067" s="66"/>
      <c r="X1067" s="66"/>
      <c r="Y1067" s="66"/>
      <c r="Z1067" s="66"/>
      <c r="AA1067" s="66"/>
      <c r="AB1067" s="66"/>
      <c r="AC1067" s="66"/>
    </row>
    <row r="1068" spans="1:29" ht="15.5">
      <c r="A1068" s="66"/>
      <c r="B1068" s="66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66"/>
      <c r="P1068" s="66"/>
      <c r="Q1068" s="66"/>
      <c r="R1068" s="66"/>
      <c r="S1068" s="66"/>
      <c r="T1068" s="66"/>
      <c r="U1068" s="66"/>
      <c r="V1068" s="66"/>
      <c r="W1068" s="66"/>
      <c r="X1068" s="66"/>
      <c r="Y1068" s="66"/>
      <c r="Z1068" s="66"/>
      <c r="AA1068" s="66"/>
      <c r="AB1068" s="66"/>
      <c r="AC1068" s="66"/>
    </row>
    <row r="1069" spans="1:29" ht="15.5">
      <c r="A1069" s="66"/>
      <c r="B1069" s="66"/>
      <c r="C1069" s="66"/>
      <c r="D1069" s="66"/>
      <c r="E1069" s="66"/>
      <c r="F1069" s="66"/>
      <c r="G1069" s="66"/>
      <c r="H1069" s="66"/>
      <c r="I1069" s="66"/>
      <c r="J1069" s="66"/>
      <c r="K1069" s="66"/>
      <c r="L1069" s="66"/>
      <c r="M1069" s="66"/>
      <c r="N1069" s="66"/>
      <c r="O1069" s="66"/>
      <c r="P1069" s="66"/>
      <c r="Q1069" s="66"/>
      <c r="R1069" s="66"/>
      <c r="S1069" s="66"/>
      <c r="T1069" s="66"/>
      <c r="U1069" s="66"/>
      <c r="V1069" s="66"/>
      <c r="W1069" s="66"/>
      <c r="X1069" s="66"/>
      <c r="Y1069" s="66"/>
      <c r="Z1069" s="66"/>
      <c r="AA1069" s="66"/>
      <c r="AB1069" s="66"/>
      <c r="AC1069" s="66"/>
    </row>
    <row r="1070" spans="1:29" ht="15.5">
      <c r="A1070" s="66"/>
      <c r="B1070" s="66"/>
      <c r="C1070" s="66"/>
      <c r="D1070" s="66"/>
      <c r="E1070" s="66"/>
      <c r="F1070" s="66"/>
      <c r="G1070" s="66"/>
      <c r="H1070" s="66"/>
      <c r="I1070" s="66"/>
      <c r="J1070" s="66"/>
      <c r="K1070" s="66"/>
      <c r="L1070" s="66"/>
      <c r="M1070" s="66"/>
      <c r="N1070" s="66"/>
      <c r="O1070" s="66"/>
      <c r="P1070" s="66"/>
      <c r="Q1070" s="66"/>
      <c r="R1070" s="66"/>
      <c r="S1070" s="66"/>
      <c r="T1070" s="66"/>
      <c r="U1070" s="66"/>
      <c r="V1070" s="66"/>
      <c r="W1070" s="66"/>
      <c r="X1070" s="66"/>
      <c r="Y1070" s="66"/>
      <c r="Z1070" s="66"/>
      <c r="AA1070" s="66"/>
      <c r="AB1070" s="66"/>
      <c r="AC1070" s="66"/>
    </row>
    <row r="1071" spans="1:29" ht="15.5">
      <c r="A1071" s="66"/>
      <c r="B1071" s="66"/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66"/>
      <c r="P1071" s="66"/>
      <c r="Q1071" s="66"/>
      <c r="R1071" s="66"/>
      <c r="S1071" s="66"/>
      <c r="T1071" s="66"/>
      <c r="U1071" s="66"/>
      <c r="V1071" s="66"/>
      <c r="W1071" s="66"/>
      <c r="X1071" s="66"/>
      <c r="Y1071" s="66"/>
      <c r="Z1071" s="66"/>
      <c r="AA1071" s="66"/>
      <c r="AB1071" s="66"/>
      <c r="AC1071" s="66"/>
    </row>
    <row r="1072" spans="1:29" ht="15.5">
      <c r="A1072" s="66"/>
      <c r="B1072" s="66"/>
      <c r="C1072" s="66"/>
      <c r="D1072" s="66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66"/>
      <c r="P1072" s="66"/>
      <c r="Q1072" s="66"/>
      <c r="R1072" s="66"/>
      <c r="S1072" s="66"/>
      <c r="T1072" s="66"/>
      <c r="U1072" s="66"/>
      <c r="V1072" s="66"/>
      <c r="W1072" s="66"/>
      <c r="X1072" s="66"/>
      <c r="Y1072" s="66"/>
      <c r="Z1072" s="66"/>
      <c r="AA1072" s="66"/>
      <c r="AB1072" s="66"/>
      <c r="AC1072" s="66"/>
    </row>
    <row r="1073" spans="1:29" ht="15.5">
      <c r="A1073" s="66"/>
      <c r="B1073" s="66"/>
      <c r="C1073" s="66"/>
      <c r="D1073" s="66"/>
      <c r="E1073" s="66"/>
      <c r="F1073" s="66"/>
      <c r="G1073" s="66"/>
      <c r="H1073" s="66"/>
      <c r="I1073" s="66"/>
      <c r="J1073" s="66"/>
      <c r="K1073" s="66"/>
      <c r="L1073" s="66"/>
      <c r="M1073" s="66"/>
      <c r="N1073" s="66"/>
      <c r="O1073" s="66"/>
      <c r="P1073" s="66"/>
      <c r="Q1073" s="66"/>
      <c r="R1073" s="66"/>
      <c r="S1073" s="66"/>
      <c r="T1073" s="66"/>
      <c r="U1073" s="66"/>
      <c r="V1073" s="66"/>
      <c r="W1073" s="66"/>
      <c r="X1073" s="66"/>
      <c r="Y1073" s="66"/>
      <c r="Z1073" s="66"/>
      <c r="AA1073" s="66"/>
      <c r="AB1073" s="66"/>
      <c r="AC1073" s="66"/>
    </row>
    <row r="1074" spans="1:29" ht="15.5">
      <c r="A1074" s="66"/>
      <c r="B1074" s="66"/>
      <c r="C1074" s="66"/>
      <c r="D1074" s="66"/>
      <c r="E1074" s="66"/>
      <c r="F1074" s="66"/>
      <c r="G1074" s="66"/>
      <c r="H1074" s="66"/>
      <c r="I1074" s="66"/>
      <c r="J1074" s="66"/>
      <c r="K1074" s="66"/>
      <c r="L1074" s="66"/>
      <c r="M1074" s="66"/>
      <c r="N1074" s="66"/>
      <c r="O1074" s="66"/>
      <c r="P1074" s="66"/>
      <c r="Q1074" s="66"/>
      <c r="R1074" s="66"/>
      <c r="S1074" s="66"/>
      <c r="T1074" s="66"/>
      <c r="U1074" s="66"/>
      <c r="V1074" s="66"/>
      <c r="W1074" s="66"/>
      <c r="X1074" s="66"/>
      <c r="Y1074" s="66"/>
      <c r="Z1074" s="66"/>
      <c r="AA1074" s="66"/>
      <c r="AB1074" s="66"/>
      <c r="AC1074" s="66"/>
    </row>
    <row r="1075" spans="1:29" ht="15.5">
      <c r="A1075" s="66"/>
      <c r="B1075" s="66"/>
      <c r="C1075" s="66"/>
      <c r="D1075" s="66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66"/>
      <c r="P1075" s="66"/>
      <c r="Q1075" s="66"/>
      <c r="R1075" s="66"/>
      <c r="S1075" s="66"/>
      <c r="T1075" s="66"/>
      <c r="U1075" s="66"/>
      <c r="V1075" s="66"/>
      <c r="W1075" s="66"/>
      <c r="X1075" s="66"/>
      <c r="Y1075" s="66"/>
      <c r="Z1075" s="66"/>
      <c r="AA1075" s="66"/>
      <c r="AB1075" s="66"/>
      <c r="AC1075" s="66"/>
    </row>
    <row r="1076" spans="1:29" ht="15.5">
      <c r="A1076" s="66"/>
      <c r="B1076" s="66"/>
      <c r="C1076" s="66"/>
      <c r="D1076" s="66"/>
      <c r="E1076" s="66"/>
      <c r="F1076" s="66"/>
      <c r="G1076" s="66"/>
      <c r="H1076" s="66"/>
      <c r="I1076" s="66"/>
      <c r="J1076" s="66"/>
      <c r="K1076" s="66"/>
      <c r="L1076" s="66"/>
      <c r="M1076" s="66"/>
      <c r="N1076" s="66"/>
      <c r="O1076" s="66"/>
      <c r="P1076" s="66"/>
      <c r="Q1076" s="66"/>
      <c r="R1076" s="66"/>
      <c r="S1076" s="66"/>
      <c r="T1076" s="66"/>
      <c r="U1076" s="66"/>
      <c r="V1076" s="66"/>
      <c r="W1076" s="66"/>
      <c r="X1076" s="66"/>
      <c r="Y1076" s="66"/>
      <c r="Z1076" s="66"/>
      <c r="AA1076" s="66"/>
      <c r="AB1076" s="66"/>
      <c r="AC1076" s="66"/>
    </row>
    <row r="1077" spans="1:29" ht="15.5">
      <c r="A1077" s="66"/>
      <c r="B1077" s="66"/>
      <c r="C1077" s="66"/>
      <c r="D1077" s="66"/>
      <c r="E1077" s="66"/>
      <c r="F1077" s="66"/>
      <c r="G1077" s="66"/>
      <c r="H1077" s="66"/>
      <c r="I1077" s="66"/>
      <c r="J1077" s="66"/>
      <c r="K1077" s="66"/>
      <c r="L1077" s="66"/>
      <c r="M1077" s="66"/>
      <c r="N1077" s="66"/>
      <c r="O1077" s="66"/>
      <c r="P1077" s="66"/>
      <c r="Q1077" s="66"/>
      <c r="R1077" s="66"/>
      <c r="S1077" s="66"/>
      <c r="T1077" s="66"/>
      <c r="U1077" s="66"/>
      <c r="V1077" s="66"/>
      <c r="W1077" s="66"/>
      <c r="X1077" s="66"/>
      <c r="Y1077" s="66"/>
      <c r="Z1077" s="66"/>
      <c r="AA1077" s="66"/>
      <c r="AB1077" s="66"/>
      <c r="AC1077" s="66"/>
    </row>
    <row r="1078" spans="1:29" ht="15.5">
      <c r="A1078" s="66"/>
      <c r="B1078" s="66"/>
      <c r="C1078" s="66"/>
      <c r="D1078" s="66"/>
      <c r="E1078" s="66"/>
      <c r="F1078" s="66"/>
      <c r="G1078" s="66"/>
      <c r="H1078" s="66"/>
      <c r="I1078" s="66"/>
      <c r="J1078" s="66"/>
      <c r="K1078" s="66"/>
      <c r="L1078" s="66"/>
      <c r="M1078" s="66"/>
      <c r="N1078" s="66"/>
      <c r="O1078" s="66"/>
      <c r="P1078" s="66"/>
      <c r="Q1078" s="66"/>
      <c r="R1078" s="66"/>
      <c r="S1078" s="66"/>
      <c r="T1078" s="66"/>
      <c r="U1078" s="66"/>
      <c r="V1078" s="66"/>
      <c r="W1078" s="66"/>
      <c r="X1078" s="66"/>
      <c r="Y1078" s="66"/>
      <c r="Z1078" s="66"/>
      <c r="AA1078" s="66"/>
      <c r="AB1078" s="66"/>
      <c r="AC1078" s="66"/>
    </row>
    <row r="1079" spans="1:29" ht="15.5">
      <c r="A1079" s="66"/>
      <c r="B1079" s="66"/>
      <c r="C1079" s="66"/>
      <c r="D1079" s="66"/>
      <c r="E1079" s="66"/>
      <c r="F1079" s="66"/>
      <c r="G1079" s="66"/>
      <c r="H1079" s="66"/>
      <c r="I1079" s="66"/>
      <c r="J1079" s="66"/>
      <c r="K1079" s="66"/>
      <c r="L1079" s="66"/>
      <c r="M1079" s="66"/>
      <c r="N1079" s="66"/>
      <c r="O1079" s="66"/>
      <c r="P1079" s="66"/>
      <c r="Q1079" s="66"/>
      <c r="R1079" s="66"/>
      <c r="S1079" s="66"/>
      <c r="T1079" s="66"/>
      <c r="U1079" s="66"/>
      <c r="V1079" s="66"/>
      <c r="W1079" s="66"/>
      <c r="X1079" s="66"/>
      <c r="Y1079" s="66"/>
      <c r="Z1079" s="66"/>
      <c r="AA1079" s="66"/>
      <c r="AB1079" s="66"/>
      <c r="AC1079" s="66"/>
    </row>
    <row r="1080" spans="1:29" ht="15.5">
      <c r="A1080" s="66"/>
      <c r="B1080" s="66"/>
      <c r="C1080" s="66"/>
      <c r="D1080" s="66"/>
      <c r="E1080" s="66"/>
      <c r="F1080" s="66"/>
      <c r="G1080" s="66"/>
      <c r="H1080" s="66"/>
      <c r="I1080" s="66"/>
      <c r="J1080" s="66"/>
      <c r="K1080" s="66"/>
      <c r="L1080" s="66"/>
      <c r="M1080" s="66"/>
      <c r="N1080" s="66"/>
      <c r="O1080" s="66"/>
      <c r="P1080" s="66"/>
      <c r="Q1080" s="66"/>
      <c r="R1080" s="66"/>
      <c r="S1080" s="66"/>
      <c r="T1080" s="66"/>
      <c r="U1080" s="66"/>
      <c r="V1080" s="66"/>
      <c r="W1080" s="66"/>
      <c r="X1080" s="66"/>
      <c r="Y1080" s="66"/>
      <c r="Z1080" s="66"/>
      <c r="AA1080" s="66"/>
      <c r="AB1080" s="66"/>
      <c r="AC1080" s="66"/>
    </row>
    <row r="1081" spans="1:29" ht="15.5">
      <c r="A1081" s="66"/>
      <c r="B1081" s="66"/>
      <c r="C1081" s="66"/>
      <c r="D1081" s="66"/>
      <c r="E1081" s="66"/>
      <c r="F1081" s="66"/>
      <c r="G1081" s="66"/>
      <c r="H1081" s="66"/>
      <c r="I1081" s="66"/>
      <c r="J1081" s="66"/>
      <c r="K1081" s="66"/>
      <c r="L1081" s="66"/>
      <c r="M1081" s="66"/>
      <c r="N1081" s="66"/>
      <c r="O1081" s="66"/>
      <c r="P1081" s="66"/>
      <c r="Q1081" s="66"/>
      <c r="R1081" s="66"/>
      <c r="S1081" s="66"/>
      <c r="T1081" s="66"/>
      <c r="U1081" s="66"/>
      <c r="V1081" s="66"/>
      <c r="W1081" s="66"/>
      <c r="X1081" s="66"/>
      <c r="Y1081" s="66"/>
      <c r="Z1081" s="66"/>
      <c r="AA1081" s="66"/>
      <c r="AB1081" s="66"/>
      <c r="AC1081" s="66"/>
    </row>
    <row r="1082" spans="1:29" ht="15.5">
      <c r="A1082" s="66"/>
      <c r="B1082" s="66"/>
      <c r="C1082" s="66"/>
      <c r="D1082" s="66"/>
      <c r="E1082" s="66"/>
      <c r="F1082" s="66"/>
      <c r="G1082" s="66"/>
      <c r="H1082" s="66"/>
      <c r="I1082" s="66"/>
      <c r="J1082" s="66"/>
      <c r="K1082" s="66"/>
      <c r="L1082" s="66"/>
      <c r="M1082" s="66"/>
      <c r="N1082" s="66"/>
      <c r="O1082" s="66"/>
      <c r="P1082" s="66"/>
      <c r="Q1082" s="66"/>
      <c r="R1082" s="66"/>
      <c r="S1082" s="66"/>
      <c r="T1082" s="66"/>
      <c r="U1082" s="66"/>
      <c r="V1082" s="66"/>
      <c r="W1082" s="66"/>
      <c r="X1082" s="66"/>
      <c r="Y1082" s="66"/>
      <c r="Z1082" s="66"/>
      <c r="AA1082" s="66"/>
      <c r="AB1082" s="66"/>
      <c r="AC1082" s="66"/>
    </row>
    <row r="1083" spans="1:29" ht="15.5">
      <c r="A1083" s="66"/>
      <c r="B1083" s="66"/>
      <c r="C1083" s="66"/>
      <c r="D1083" s="66"/>
      <c r="E1083" s="66"/>
      <c r="F1083" s="66"/>
      <c r="G1083" s="66"/>
      <c r="H1083" s="66"/>
      <c r="I1083" s="66"/>
      <c r="J1083" s="66"/>
      <c r="K1083" s="66"/>
      <c r="L1083" s="66"/>
      <c r="M1083" s="66"/>
      <c r="N1083" s="66"/>
      <c r="O1083" s="66"/>
      <c r="P1083" s="66"/>
      <c r="Q1083" s="66"/>
      <c r="R1083" s="66"/>
      <c r="S1083" s="66"/>
      <c r="T1083" s="66"/>
      <c r="U1083" s="66"/>
      <c r="V1083" s="66"/>
      <c r="W1083" s="66"/>
      <c r="X1083" s="66"/>
      <c r="Y1083" s="66"/>
      <c r="Z1083" s="66"/>
      <c r="AA1083" s="66"/>
      <c r="AB1083" s="66"/>
      <c r="AC1083" s="66"/>
    </row>
    <row r="1084" spans="1:29" ht="15.5">
      <c r="A1084" s="66"/>
      <c r="B1084" s="66"/>
      <c r="C1084" s="66"/>
      <c r="D1084" s="66"/>
      <c r="E1084" s="66"/>
      <c r="F1084" s="66"/>
      <c r="G1084" s="66"/>
      <c r="H1084" s="66"/>
      <c r="I1084" s="66"/>
      <c r="J1084" s="66"/>
      <c r="K1084" s="66"/>
      <c r="L1084" s="66"/>
      <c r="M1084" s="66"/>
      <c r="N1084" s="66"/>
      <c r="O1084" s="66"/>
      <c r="P1084" s="66"/>
      <c r="Q1084" s="66"/>
      <c r="R1084" s="66"/>
      <c r="S1084" s="66"/>
      <c r="T1084" s="66"/>
      <c r="U1084" s="66"/>
      <c r="V1084" s="66"/>
      <c r="W1084" s="66"/>
      <c r="X1084" s="66"/>
      <c r="Y1084" s="66"/>
      <c r="Z1084" s="66"/>
      <c r="AA1084" s="66"/>
      <c r="AB1084" s="66"/>
      <c r="AC1084" s="66"/>
    </row>
    <row r="1085" spans="1:29" ht="15.5">
      <c r="A1085" s="66"/>
      <c r="B1085" s="66"/>
      <c r="C1085" s="66"/>
      <c r="D1085" s="66"/>
      <c r="E1085" s="66"/>
      <c r="F1085" s="66"/>
      <c r="G1085" s="66"/>
      <c r="H1085" s="66"/>
      <c r="I1085" s="66"/>
      <c r="J1085" s="66"/>
      <c r="K1085" s="66"/>
      <c r="L1085" s="66"/>
      <c r="M1085" s="66"/>
      <c r="N1085" s="66"/>
      <c r="O1085" s="66"/>
      <c r="P1085" s="66"/>
      <c r="Q1085" s="66"/>
      <c r="R1085" s="66"/>
      <c r="S1085" s="66"/>
      <c r="T1085" s="66"/>
      <c r="U1085" s="66"/>
      <c r="V1085" s="66"/>
      <c r="W1085" s="66"/>
      <c r="X1085" s="66"/>
      <c r="Y1085" s="66"/>
      <c r="Z1085" s="66"/>
      <c r="AA1085" s="66"/>
      <c r="AB1085" s="66"/>
      <c r="AC1085" s="66"/>
    </row>
    <row r="1086" spans="1:29" ht="15.5">
      <c r="A1086" s="66"/>
      <c r="B1086" s="66"/>
      <c r="C1086" s="66"/>
      <c r="D1086" s="66"/>
      <c r="E1086" s="66"/>
      <c r="F1086" s="66"/>
      <c r="G1086" s="66"/>
      <c r="H1086" s="66"/>
      <c r="I1086" s="66"/>
      <c r="J1086" s="66"/>
      <c r="K1086" s="66"/>
      <c r="L1086" s="66"/>
      <c r="M1086" s="66"/>
      <c r="N1086" s="66"/>
      <c r="O1086" s="66"/>
      <c r="P1086" s="66"/>
      <c r="Q1086" s="66"/>
      <c r="R1086" s="66"/>
      <c r="S1086" s="66"/>
      <c r="T1086" s="66"/>
      <c r="U1086" s="66"/>
      <c r="V1086" s="66"/>
      <c r="W1086" s="66"/>
      <c r="X1086" s="66"/>
      <c r="Y1086" s="66"/>
      <c r="Z1086" s="66"/>
      <c r="AA1086" s="66"/>
      <c r="AB1086" s="66"/>
      <c r="AC1086" s="66"/>
    </row>
    <row r="1087" spans="1:29" ht="15.5">
      <c r="A1087" s="66"/>
      <c r="B1087" s="66"/>
      <c r="C1087" s="66"/>
      <c r="D1087" s="66"/>
      <c r="E1087" s="66"/>
      <c r="F1087" s="66"/>
      <c r="G1087" s="66"/>
      <c r="H1087" s="66"/>
      <c r="I1087" s="66"/>
      <c r="J1087" s="66"/>
      <c r="K1087" s="66"/>
      <c r="L1087" s="66"/>
      <c r="M1087" s="66"/>
      <c r="N1087" s="66"/>
      <c r="O1087" s="66"/>
      <c r="P1087" s="66"/>
      <c r="Q1087" s="66"/>
      <c r="R1087" s="66"/>
      <c r="S1087" s="66"/>
      <c r="T1087" s="66"/>
      <c r="U1087" s="66"/>
      <c r="V1087" s="66"/>
      <c r="W1087" s="66"/>
      <c r="X1087" s="66"/>
      <c r="Y1087" s="66"/>
      <c r="Z1087" s="66"/>
      <c r="AA1087" s="66"/>
      <c r="AB1087" s="66"/>
      <c r="AC1087" s="66"/>
    </row>
    <row r="1088" spans="1:29" ht="15.5">
      <c r="A1088" s="66"/>
      <c r="B1088" s="66"/>
      <c r="C1088" s="66"/>
      <c r="D1088" s="66"/>
      <c r="E1088" s="66"/>
      <c r="F1088" s="66"/>
      <c r="G1088" s="66"/>
      <c r="H1088" s="66"/>
      <c r="I1088" s="66"/>
      <c r="J1088" s="66"/>
      <c r="K1088" s="66"/>
      <c r="L1088" s="66"/>
      <c r="M1088" s="66"/>
      <c r="N1088" s="66"/>
      <c r="O1088" s="66"/>
      <c r="P1088" s="66"/>
      <c r="Q1088" s="66"/>
      <c r="R1088" s="66"/>
      <c r="S1088" s="66"/>
      <c r="T1088" s="66"/>
      <c r="U1088" s="66"/>
      <c r="V1088" s="66"/>
      <c r="W1088" s="66"/>
      <c r="X1088" s="66"/>
      <c r="Y1088" s="66"/>
      <c r="Z1088" s="66"/>
      <c r="AA1088" s="66"/>
      <c r="AB1088" s="66"/>
      <c r="AC1088" s="66"/>
    </row>
    <row r="1089" spans="1:29" ht="15.5">
      <c r="A1089" s="66"/>
      <c r="B1089" s="66"/>
      <c r="C1089" s="66"/>
      <c r="D1089" s="66"/>
      <c r="E1089" s="66"/>
      <c r="F1089" s="66"/>
      <c r="G1089" s="66"/>
      <c r="H1089" s="66"/>
      <c r="I1089" s="66"/>
      <c r="J1089" s="66"/>
      <c r="K1089" s="66"/>
      <c r="L1089" s="66"/>
      <c r="M1089" s="66"/>
      <c r="N1089" s="66"/>
      <c r="O1089" s="66"/>
      <c r="P1089" s="66"/>
      <c r="Q1089" s="66"/>
      <c r="R1089" s="66"/>
      <c r="S1089" s="66"/>
      <c r="T1089" s="66"/>
      <c r="U1089" s="66"/>
      <c r="V1089" s="66"/>
      <c r="W1089" s="66"/>
      <c r="X1089" s="66"/>
      <c r="Y1089" s="66"/>
      <c r="Z1089" s="66"/>
      <c r="AA1089" s="66"/>
      <c r="AB1089" s="66"/>
      <c r="AC1089" s="66"/>
    </row>
    <row r="1090" spans="1:29" ht="15.5">
      <c r="A1090" s="66"/>
      <c r="B1090" s="66"/>
      <c r="C1090" s="66"/>
      <c r="D1090" s="66"/>
      <c r="E1090" s="66"/>
      <c r="F1090" s="66"/>
      <c r="G1090" s="66"/>
      <c r="H1090" s="66"/>
      <c r="I1090" s="66"/>
      <c r="J1090" s="66"/>
      <c r="K1090" s="66"/>
      <c r="L1090" s="66"/>
      <c r="M1090" s="66"/>
      <c r="N1090" s="66"/>
      <c r="O1090" s="66"/>
      <c r="P1090" s="66"/>
      <c r="Q1090" s="66"/>
      <c r="R1090" s="66"/>
      <c r="S1090" s="66"/>
      <c r="T1090" s="66"/>
      <c r="U1090" s="66"/>
      <c r="V1090" s="66"/>
      <c r="W1090" s="66"/>
      <c r="X1090" s="66"/>
      <c r="Y1090" s="66"/>
      <c r="Z1090" s="66"/>
      <c r="AA1090" s="66"/>
      <c r="AB1090" s="66"/>
      <c r="AC1090" s="66"/>
    </row>
    <row r="1091" spans="1:29" ht="15.5">
      <c r="A1091" s="66"/>
      <c r="B1091" s="66"/>
      <c r="C1091" s="66"/>
      <c r="D1091" s="66"/>
      <c r="E1091" s="66"/>
      <c r="F1091" s="66"/>
      <c r="G1091" s="66"/>
      <c r="H1091" s="66"/>
      <c r="I1091" s="66"/>
      <c r="J1091" s="66"/>
      <c r="K1091" s="66"/>
      <c r="L1091" s="66"/>
      <c r="M1091" s="66"/>
      <c r="N1091" s="66"/>
      <c r="O1091" s="66"/>
      <c r="P1091" s="66"/>
      <c r="Q1091" s="66"/>
      <c r="R1091" s="66"/>
      <c r="S1091" s="66"/>
      <c r="T1091" s="66"/>
      <c r="U1091" s="66"/>
      <c r="V1091" s="66"/>
      <c r="W1091" s="66"/>
      <c r="X1091" s="66"/>
      <c r="Y1091" s="66"/>
      <c r="Z1091" s="66"/>
      <c r="AA1091" s="66"/>
      <c r="AB1091" s="66"/>
      <c r="AC1091" s="66"/>
    </row>
    <row r="1092" spans="1:29" ht="15.5">
      <c r="A1092" s="66"/>
      <c r="B1092" s="66"/>
      <c r="C1092" s="66"/>
      <c r="D1092" s="66"/>
      <c r="E1092" s="66"/>
      <c r="F1092" s="66"/>
      <c r="G1092" s="66"/>
      <c r="H1092" s="66"/>
      <c r="I1092" s="66"/>
      <c r="J1092" s="66"/>
      <c r="K1092" s="66"/>
      <c r="L1092" s="66"/>
      <c r="M1092" s="66"/>
      <c r="N1092" s="66"/>
      <c r="O1092" s="66"/>
      <c r="P1092" s="66"/>
      <c r="Q1092" s="66"/>
      <c r="R1092" s="66"/>
      <c r="S1092" s="66"/>
      <c r="T1092" s="66"/>
      <c r="U1092" s="66"/>
      <c r="V1092" s="66"/>
      <c r="W1092" s="66"/>
      <c r="X1092" s="66"/>
      <c r="Y1092" s="66"/>
      <c r="Z1092" s="66"/>
      <c r="AA1092" s="66"/>
      <c r="AB1092" s="66"/>
      <c r="AC1092" s="66"/>
    </row>
    <row r="1093" spans="1:29" ht="15.5">
      <c r="A1093" s="66"/>
      <c r="B1093" s="66"/>
      <c r="C1093" s="66"/>
      <c r="D1093" s="66"/>
      <c r="E1093" s="66"/>
      <c r="F1093" s="66"/>
      <c r="G1093" s="66"/>
      <c r="H1093" s="66"/>
      <c r="I1093" s="66"/>
      <c r="J1093" s="66"/>
      <c r="K1093" s="66"/>
      <c r="L1093" s="66"/>
      <c r="M1093" s="66"/>
      <c r="N1093" s="66"/>
      <c r="O1093" s="66"/>
      <c r="P1093" s="66"/>
      <c r="Q1093" s="66"/>
      <c r="R1093" s="66"/>
      <c r="S1093" s="66"/>
      <c r="T1093" s="66"/>
      <c r="U1093" s="66"/>
      <c r="V1093" s="66"/>
      <c r="W1093" s="66"/>
      <c r="X1093" s="66"/>
      <c r="Y1093" s="66"/>
      <c r="Z1093" s="66"/>
      <c r="AA1093" s="66"/>
      <c r="AB1093" s="66"/>
      <c r="AC1093" s="66"/>
    </row>
    <row r="1094" spans="1:29" ht="15.5">
      <c r="A1094" s="66"/>
      <c r="B1094" s="66"/>
      <c r="C1094" s="66"/>
      <c r="D1094" s="66"/>
      <c r="E1094" s="66"/>
      <c r="F1094" s="66"/>
      <c r="G1094" s="66"/>
      <c r="H1094" s="66"/>
      <c r="I1094" s="66"/>
      <c r="J1094" s="66"/>
      <c r="K1094" s="66"/>
      <c r="L1094" s="66"/>
      <c r="M1094" s="66"/>
      <c r="N1094" s="66"/>
      <c r="O1094" s="66"/>
      <c r="P1094" s="66"/>
      <c r="Q1094" s="66"/>
      <c r="R1094" s="66"/>
      <c r="S1094" s="66"/>
      <c r="T1094" s="66"/>
      <c r="U1094" s="66"/>
      <c r="V1094" s="66"/>
      <c r="W1094" s="66"/>
      <c r="X1094" s="66"/>
      <c r="Y1094" s="66"/>
      <c r="Z1094" s="66"/>
      <c r="AA1094" s="66"/>
      <c r="AB1094" s="66"/>
      <c r="AC1094" s="66"/>
    </row>
    <row r="1095" spans="1:29" ht="15.5">
      <c r="A1095" s="66"/>
      <c r="B1095" s="66"/>
      <c r="C1095" s="66"/>
      <c r="D1095" s="66"/>
      <c r="E1095" s="66"/>
      <c r="F1095" s="66"/>
      <c r="G1095" s="66"/>
      <c r="H1095" s="66"/>
      <c r="I1095" s="66"/>
      <c r="J1095" s="66"/>
      <c r="K1095" s="66"/>
      <c r="L1095" s="66"/>
      <c r="M1095" s="66"/>
      <c r="N1095" s="66"/>
      <c r="O1095" s="66"/>
      <c r="P1095" s="66"/>
      <c r="Q1095" s="66"/>
      <c r="R1095" s="66"/>
      <c r="S1095" s="66"/>
      <c r="T1095" s="66"/>
      <c r="U1095" s="66"/>
      <c r="V1095" s="66"/>
      <c r="W1095" s="66"/>
      <c r="X1095" s="66"/>
      <c r="Y1095" s="66"/>
      <c r="Z1095" s="66"/>
      <c r="AA1095" s="66"/>
      <c r="AB1095" s="66"/>
      <c r="AC1095" s="66"/>
    </row>
    <row r="1096" spans="1:29" ht="15.5">
      <c r="A1096" s="66"/>
      <c r="B1096" s="66"/>
      <c r="C1096" s="66"/>
      <c r="D1096" s="66"/>
      <c r="E1096" s="66"/>
      <c r="F1096" s="66"/>
      <c r="G1096" s="66"/>
      <c r="H1096" s="66"/>
      <c r="I1096" s="66"/>
      <c r="J1096" s="66"/>
      <c r="K1096" s="66"/>
      <c r="L1096" s="66"/>
      <c r="M1096" s="66"/>
      <c r="N1096" s="66"/>
      <c r="O1096" s="66"/>
      <c r="P1096" s="66"/>
      <c r="Q1096" s="66"/>
      <c r="R1096" s="66"/>
      <c r="S1096" s="66"/>
      <c r="T1096" s="66"/>
      <c r="U1096" s="66"/>
      <c r="V1096" s="66"/>
      <c r="W1096" s="66"/>
      <c r="X1096" s="66"/>
      <c r="Y1096" s="66"/>
      <c r="Z1096" s="66"/>
      <c r="AA1096" s="66"/>
      <c r="AB1096" s="66"/>
      <c r="AC1096" s="66"/>
    </row>
    <row r="1097" spans="1:29" ht="15.5">
      <c r="A1097" s="66"/>
      <c r="B1097" s="66"/>
      <c r="C1097" s="66"/>
      <c r="D1097" s="66"/>
      <c r="E1097" s="66"/>
      <c r="F1097" s="66"/>
      <c r="G1097" s="66"/>
      <c r="H1097" s="66"/>
      <c r="I1097" s="66"/>
      <c r="J1097" s="66"/>
      <c r="K1097" s="66"/>
      <c r="L1097" s="66"/>
      <c r="M1097" s="66"/>
      <c r="N1097" s="66"/>
      <c r="O1097" s="66"/>
      <c r="P1097" s="66"/>
      <c r="Q1097" s="66"/>
      <c r="R1097" s="66"/>
      <c r="S1097" s="66"/>
      <c r="T1097" s="66"/>
      <c r="U1097" s="66"/>
      <c r="V1097" s="66"/>
      <c r="W1097" s="66"/>
      <c r="X1097" s="66"/>
      <c r="Y1097" s="66"/>
      <c r="Z1097" s="66"/>
      <c r="AA1097" s="66"/>
      <c r="AB1097" s="66"/>
      <c r="AC1097" s="66"/>
    </row>
    <row r="1098" spans="1:29" ht="15.5">
      <c r="A1098" s="66"/>
      <c r="B1098" s="66"/>
      <c r="C1098" s="66"/>
      <c r="D1098" s="66"/>
      <c r="E1098" s="66"/>
      <c r="F1098" s="66"/>
      <c r="G1098" s="66"/>
      <c r="H1098" s="66"/>
      <c r="I1098" s="66"/>
      <c r="J1098" s="66"/>
      <c r="K1098" s="66"/>
      <c r="L1098" s="66"/>
      <c r="M1098" s="66"/>
      <c r="N1098" s="66"/>
      <c r="O1098" s="66"/>
      <c r="P1098" s="66"/>
      <c r="Q1098" s="66"/>
      <c r="R1098" s="66"/>
      <c r="S1098" s="66"/>
      <c r="T1098" s="66"/>
      <c r="U1098" s="66"/>
      <c r="V1098" s="66"/>
      <c r="W1098" s="66"/>
      <c r="X1098" s="66"/>
      <c r="Y1098" s="66"/>
      <c r="Z1098" s="66"/>
      <c r="AA1098" s="66"/>
      <c r="AB1098" s="66"/>
      <c r="AC1098" s="66"/>
    </row>
    <row r="1099" spans="1:29" ht="15.5">
      <c r="A1099" s="66"/>
      <c r="B1099" s="66"/>
      <c r="C1099" s="66"/>
      <c r="D1099" s="66"/>
      <c r="E1099" s="66"/>
      <c r="F1099" s="66"/>
      <c r="G1099" s="66"/>
      <c r="H1099" s="66"/>
      <c r="I1099" s="66"/>
      <c r="J1099" s="66"/>
      <c r="K1099" s="66"/>
      <c r="L1099" s="66"/>
      <c r="M1099" s="66"/>
      <c r="N1099" s="66"/>
      <c r="O1099" s="66"/>
      <c r="P1099" s="66"/>
      <c r="Q1099" s="66"/>
      <c r="R1099" s="66"/>
      <c r="S1099" s="66"/>
      <c r="T1099" s="66"/>
      <c r="U1099" s="66"/>
      <c r="V1099" s="66"/>
      <c r="W1099" s="66"/>
      <c r="X1099" s="66"/>
      <c r="Y1099" s="66"/>
      <c r="Z1099" s="66"/>
      <c r="AA1099" s="66"/>
      <c r="AB1099" s="66"/>
      <c r="AC1099" s="66"/>
    </row>
    <row r="1100" spans="1:29" ht="15.5">
      <c r="A1100" s="66"/>
      <c r="B1100" s="66"/>
      <c r="C1100" s="66"/>
      <c r="D1100" s="66"/>
      <c r="E1100" s="66"/>
      <c r="F1100" s="66"/>
      <c r="G1100" s="66"/>
      <c r="H1100" s="66"/>
      <c r="I1100" s="66"/>
      <c r="J1100" s="66"/>
      <c r="K1100" s="66"/>
      <c r="L1100" s="66"/>
      <c r="M1100" s="66"/>
      <c r="N1100" s="66"/>
      <c r="O1100" s="66"/>
      <c r="P1100" s="66"/>
      <c r="Q1100" s="66"/>
      <c r="R1100" s="66"/>
      <c r="S1100" s="66"/>
      <c r="T1100" s="66"/>
      <c r="U1100" s="66"/>
      <c r="V1100" s="66"/>
      <c r="W1100" s="66"/>
      <c r="X1100" s="66"/>
      <c r="Y1100" s="66"/>
      <c r="Z1100" s="66"/>
      <c r="AA1100" s="66"/>
      <c r="AB1100" s="66"/>
      <c r="AC1100" s="66"/>
    </row>
    <row r="1101" spans="1:29" ht="15.5">
      <c r="A1101" s="66"/>
      <c r="B1101" s="66"/>
      <c r="C1101" s="66"/>
      <c r="D1101" s="66"/>
      <c r="E1101" s="66"/>
      <c r="F1101" s="66"/>
      <c r="G1101" s="66"/>
      <c r="H1101" s="66"/>
      <c r="I1101" s="66"/>
      <c r="J1101" s="66"/>
      <c r="K1101" s="66"/>
      <c r="L1101" s="66"/>
      <c r="M1101" s="66"/>
      <c r="N1101" s="66"/>
      <c r="O1101" s="66"/>
      <c r="P1101" s="66"/>
      <c r="Q1101" s="66"/>
      <c r="R1101" s="66"/>
      <c r="S1101" s="66"/>
      <c r="T1101" s="66"/>
      <c r="U1101" s="66"/>
      <c r="V1101" s="66"/>
      <c r="W1101" s="66"/>
      <c r="X1101" s="66"/>
      <c r="Y1101" s="66"/>
      <c r="Z1101" s="66"/>
      <c r="AA1101" s="66"/>
      <c r="AB1101" s="66"/>
      <c r="AC1101" s="66"/>
    </row>
    <row r="1102" spans="1:29" ht="15.5">
      <c r="A1102" s="66"/>
      <c r="B1102" s="66"/>
      <c r="C1102" s="66"/>
      <c r="D1102" s="66"/>
      <c r="E1102" s="66"/>
      <c r="F1102" s="66"/>
      <c r="G1102" s="66"/>
      <c r="H1102" s="66"/>
      <c r="I1102" s="66"/>
      <c r="J1102" s="66"/>
      <c r="K1102" s="66"/>
      <c r="L1102" s="66"/>
      <c r="M1102" s="66"/>
      <c r="N1102" s="66"/>
      <c r="O1102" s="66"/>
      <c r="P1102" s="66"/>
      <c r="Q1102" s="66"/>
      <c r="R1102" s="66"/>
      <c r="S1102" s="66"/>
      <c r="T1102" s="66"/>
      <c r="U1102" s="66"/>
      <c r="V1102" s="66"/>
      <c r="W1102" s="66"/>
      <c r="X1102" s="66"/>
      <c r="Y1102" s="66"/>
      <c r="Z1102" s="66"/>
      <c r="AA1102" s="66"/>
      <c r="AB1102" s="66"/>
      <c r="AC1102" s="66"/>
    </row>
    <row r="1103" spans="1:29" ht="15.5">
      <c r="A1103" s="66"/>
      <c r="B1103" s="66"/>
      <c r="C1103" s="66"/>
      <c r="D1103" s="66"/>
      <c r="E1103" s="66"/>
      <c r="F1103" s="66"/>
      <c r="G1103" s="66"/>
      <c r="H1103" s="66"/>
      <c r="I1103" s="66"/>
      <c r="J1103" s="66"/>
      <c r="K1103" s="66"/>
      <c r="L1103" s="66"/>
      <c r="M1103" s="66"/>
      <c r="N1103" s="66"/>
      <c r="O1103" s="66"/>
      <c r="P1103" s="66"/>
      <c r="Q1103" s="66"/>
      <c r="R1103" s="66"/>
      <c r="S1103" s="66"/>
      <c r="T1103" s="66"/>
      <c r="U1103" s="66"/>
      <c r="V1103" s="66"/>
      <c r="W1103" s="66"/>
      <c r="X1103" s="66"/>
      <c r="Y1103" s="66"/>
      <c r="Z1103" s="66"/>
      <c r="AA1103" s="66"/>
      <c r="AB1103" s="66"/>
      <c r="AC1103" s="66"/>
    </row>
    <row r="1104" spans="1:29" ht="15.5">
      <c r="A1104" s="66"/>
      <c r="B1104" s="66"/>
      <c r="C1104" s="66"/>
      <c r="D1104" s="66"/>
      <c r="E1104" s="66"/>
      <c r="F1104" s="66"/>
      <c r="G1104" s="66"/>
      <c r="H1104" s="66"/>
      <c r="I1104" s="66"/>
      <c r="J1104" s="66"/>
      <c r="K1104" s="66"/>
      <c r="L1104" s="66"/>
      <c r="M1104" s="66"/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  <c r="X1104" s="66"/>
      <c r="Y1104" s="66"/>
      <c r="Z1104" s="66"/>
      <c r="AA1104" s="66"/>
      <c r="AB1104" s="66"/>
      <c r="AC1104" s="66"/>
    </row>
    <row r="1105" spans="1:29" ht="15.5">
      <c r="A1105" s="66"/>
      <c r="B1105" s="66"/>
      <c r="C1105" s="66"/>
      <c r="D1105" s="66"/>
      <c r="E1105" s="66"/>
      <c r="F1105" s="66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  <c r="X1105" s="66"/>
      <c r="Y1105" s="66"/>
      <c r="Z1105" s="66"/>
      <c r="AA1105" s="66"/>
      <c r="AB1105" s="66"/>
      <c r="AC1105" s="66"/>
    </row>
    <row r="1106" spans="1:29" ht="15.5">
      <c r="A1106" s="66"/>
      <c r="B1106" s="66"/>
      <c r="C1106" s="66"/>
      <c r="D1106" s="66"/>
      <c r="E1106" s="66"/>
      <c r="F1106" s="66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  <c r="X1106" s="66"/>
      <c r="Y1106" s="66"/>
      <c r="Z1106" s="66"/>
      <c r="AA1106" s="66"/>
      <c r="AB1106" s="66"/>
      <c r="AC1106" s="66"/>
    </row>
    <row r="1107" spans="1:29" ht="15.5">
      <c r="A1107" s="66"/>
      <c r="B1107" s="66"/>
      <c r="C1107" s="66"/>
      <c r="D1107" s="66"/>
      <c r="E1107" s="66"/>
      <c r="F1107" s="66"/>
      <c r="G1107" s="66"/>
      <c r="H1107" s="66"/>
      <c r="I1107" s="66"/>
      <c r="J1107" s="66"/>
      <c r="K1107" s="66"/>
      <c r="L1107" s="66"/>
      <c r="M1107" s="66"/>
      <c r="N1107" s="66"/>
      <c r="O1107" s="66"/>
      <c r="P1107" s="66"/>
      <c r="Q1107" s="66"/>
      <c r="R1107" s="66"/>
      <c r="S1107" s="66"/>
      <c r="T1107" s="66"/>
      <c r="U1107" s="66"/>
      <c r="V1107" s="66"/>
      <c r="W1107" s="66"/>
      <c r="X1107" s="66"/>
      <c r="Y1107" s="66"/>
      <c r="Z1107" s="66"/>
      <c r="AA1107" s="66"/>
      <c r="AB1107" s="66"/>
      <c r="AC1107" s="66"/>
    </row>
    <row r="1108" spans="1:29" ht="15.5">
      <c r="A1108" s="66"/>
      <c r="B1108" s="66"/>
      <c r="C1108" s="66"/>
      <c r="D1108" s="66"/>
      <c r="E1108" s="66"/>
      <c r="F1108" s="66"/>
      <c r="G1108" s="66"/>
      <c r="H1108" s="66"/>
      <c r="I1108" s="66"/>
      <c r="J1108" s="66"/>
      <c r="K1108" s="66"/>
      <c r="L1108" s="66"/>
      <c r="M1108" s="66"/>
      <c r="N1108" s="66"/>
      <c r="O1108" s="66"/>
      <c r="P1108" s="66"/>
      <c r="Q1108" s="66"/>
      <c r="R1108" s="66"/>
      <c r="S1108" s="66"/>
      <c r="T1108" s="66"/>
      <c r="U1108" s="66"/>
      <c r="V1108" s="66"/>
      <c r="W1108" s="66"/>
      <c r="X1108" s="66"/>
      <c r="Y1108" s="66"/>
      <c r="Z1108" s="66"/>
      <c r="AA1108" s="66"/>
      <c r="AB1108" s="66"/>
      <c r="AC1108" s="66"/>
    </row>
    <row r="1109" spans="1:29" ht="15.5">
      <c r="A1109" s="66"/>
      <c r="B1109" s="66"/>
      <c r="C1109" s="66"/>
      <c r="D1109" s="66"/>
      <c r="E1109" s="66"/>
      <c r="F1109" s="66"/>
      <c r="G1109" s="66"/>
      <c r="H1109" s="66"/>
      <c r="I1109" s="66"/>
      <c r="J1109" s="66"/>
      <c r="K1109" s="66"/>
      <c r="L1109" s="66"/>
      <c r="M1109" s="66"/>
      <c r="N1109" s="66"/>
      <c r="O1109" s="66"/>
      <c r="P1109" s="66"/>
      <c r="Q1109" s="66"/>
      <c r="R1109" s="66"/>
      <c r="S1109" s="66"/>
      <c r="T1109" s="66"/>
      <c r="U1109" s="66"/>
      <c r="V1109" s="66"/>
      <c r="W1109" s="66"/>
      <c r="X1109" s="66"/>
      <c r="Y1109" s="66"/>
      <c r="Z1109" s="66"/>
      <c r="AA1109" s="66"/>
      <c r="AB1109" s="66"/>
      <c r="AC1109" s="66"/>
    </row>
    <row r="1110" spans="1:29" ht="15.5">
      <c r="A1110" s="66"/>
      <c r="B1110" s="66"/>
      <c r="C1110" s="66"/>
      <c r="D1110" s="66"/>
      <c r="E1110" s="66"/>
      <c r="F1110" s="66"/>
      <c r="G1110" s="66"/>
      <c r="H1110" s="66"/>
      <c r="I1110" s="66"/>
      <c r="J1110" s="66"/>
      <c r="K1110" s="66"/>
      <c r="L1110" s="66"/>
      <c r="M1110" s="66"/>
      <c r="N1110" s="66"/>
      <c r="O1110" s="66"/>
      <c r="P1110" s="66"/>
      <c r="Q1110" s="66"/>
      <c r="R1110" s="66"/>
      <c r="S1110" s="66"/>
      <c r="T1110" s="66"/>
      <c r="U1110" s="66"/>
      <c r="V1110" s="66"/>
      <c r="W1110" s="66"/>
      <c r="X1110" s="66"/>
      <c r="Y1110" s="66"/>
      <c r="Z1110" s="66"/>
      <c r="AA1110" s="66"/>
      <c r="AB1110" s="66"/>
      <c r="AC1110" s="66"/>
    </row>
    <row r="1111" spans="1:29" ht="15.5">
      <c r="A1111" s="66"/>
      <c r="B1111" s="66"/>
      <c r="C1111" s="66"/>
      <c r="D1111" s="66"/>
      <c r="E1111" s="66"/>
      <c r="F1111" s="66"/>
      <c r="G1111" s="66"/>
      <c r="H1111" s="66"/>
      <c r="I1111" s="66"/>
      <c r="J1111" s="66"/>
      <c r="K1111" s="66"/>
      <c r="L1111" s="66"/>
      <c r="M1111" s="66"/>
      <c r="N1111" s="66"/>
      <c r="O1111" s="66"/>
      <c r="P1111" s="66"/>
      <c r="Q1111" s="66"/>
      <c r="R1111" s="66"/>
      <c r="S1111" s="66"/>
      <c r="T1111" s="66"/>
      <c r="U1111" s="66"/>
      <c r="V1111" s="66"/>
      <c r="W1111" s="66"/>
      <c r="X1111" s="66"/>
      <c r="Y1111" s="66"/>
      <c r="Z1111" s="66"/>
      <c r="AA1111" s="66"/>
      <c r="AB1111" s="66"/>
      <c r="AC1111" s="66"/>
    </row>
    <row r="1112" spans="1:29" ht="15.5">
      <c r="A1112" s="66"/>
      <c r="B1112" s="66"/>
      <c r="C1112" s="66"/>
      <c r="D1112" s="66"/>
      <c r="E1112" s="66"/>
      <c r="F1112" s="66"/>
      <c r="G1112" s="66"/>
      <c r="H1112" s="66"/>
      <c r="I1112" s="66"/>
      <c r="J1112" s="66"/>
      <c r="K1112" s="66"/>
      <c r="L1112" s="66"/>
      <c r="M1112" s="66"/>
      <c r="N1112" s="66"/>
      <c r="O1112" s="66"/>
      <c r="P1112" s="66"/>
      <c r="Q1112" s="66"/>
      <c r="R1112" s="66"/>
      <c r="S1112" s="66"/>
      <c r="T1112" s="66"/>
      <c r="U1112" s="66"/>
      <c r="V1112" s="66"/>
      <c r="W1112" s="66"/>
      <c r="X1112" s="66"/>
      <c r="Y1112" s="66"/>
      <c r="Z1112" s="66"/>
      <c r="AA1112" s="66"/>
      <c r="AB1112" s="66"/>
      <c r="AC1112" s="66"/>
    </row>
    <row r="1113" spans="1:29" ht="15.5">
      <c r="A1113" s="66"/>
      <c r="B1113" s="66"/>
      <c r="C1113" s="66"/>
      <c r="D1113" s="66"/>
      <c r="E1113" s="66"/>
      <c r="F1113" s="66"/>
      <c r="G1113" s="66"/>
      <c r="H1113" s="66"/>
      <c r="I1113" s="66"/>
      <c r="J1113" s="66"/>
      <c r="K1113" s="66"/>
      <c r="L1113" s="66"/>
      <c r="M1113" s="66"/>
      <c r="N1113" s="66"/>
      <c r="O1113" s="66"/>
      <c r="P1113" s="66"/>
      <c r="Q1113" s="66"/>
      <c r="R1113" s="66"/>
      <c r="S1113" s="66"/>
      <c r="T1113" s="66"/>
      <c r="U1113" s="66"/>
      <c r="V1113" s="66"/>
      <c r="W1113" s="66"/>
      <c r="X1113" s="66"/>
      <c r="Y1113" s="66"/>
      <c r="Z1113" s="66"/>
      <c r="AA1113" s="66"/>
      <c r="AB1113" s="66"/>
      <c r="AC1113" s="66"/>
    </row>
    <row r="1114" spans="1:29" ht="15.5">
      <c r="A1114" s="66"/>
      <c r="B1114" s="66"/>
      <c r="C1114" s="66"/>
      <c r="D1114" s="66"/>
      <c r="E1114" s="66"/>
      <c r="F1114" s="66"/>
      <c r="G1114" s="66"/>
      <c r="H1114" s="66"/>
      <c r="I1114" s="66"/>
      <c r="J1114" s="66"/>
      <c r="K1114" s="66"/>
      <c r="L1114" s="66"/>
      <c r="M1114" s="66"/>
      <c r="N1114" s="66"/>
      <c r="O1114" s="66"/>
      <c r="P1114" s="66"/>
      <c r="Q1114" s="66"/>
      <c r="R1114" s="66"/>
      <c r="S1114" s="66"/>
      <c r="T1114" s="66"/>
      <c r="U1114" s="66"/>
      <c r="V1114" s="66"/>
      <c r="W1114" s="66"/>
      <c r="X1114" s="66"/>
      <c r="Y1114" s="66"/>
      <c r="Z1114" s="66"/>
      <c r="AA1114" s="66"/>
      <c r="AB1114" s="66"/>
      <c r="AC1114" s="66"/>
    </row>
    <row r="1115" spans="1:29" ht="15.5">
      <c r="A1115" s="66"/>
      <c r="B1115" s="66"/>
      <c r="C1115" s="66"/>
      <c r="D1115" s="66"/>
      <c r="E1115" s="66"/>
      <c r="F1115" s="66"/>
      <c r="G1115" s="66"/>
      <c r="H1115" s="66"/>
      <c r="I1115" s="66"/>
      <c r="J1115" s="66"/>
      <c r="K1115" s="66"/>
      <c r="L1115" s="66"/>
      <c r="M1115" s="66"/>
      <c r="N1115" s="66"/>
      <c r="O1115" s="66"/>
      <c r="P1115" s="66"/>
      <c r="Q1115" s="66"/>
      <c r="R1115" s="66"/>
      <c r="S1115" s="66"/>
      <c r="T1115" s="66"/>
      <c r="U1115" s="66"/>
      <c r="V1115" s="66"/>
      <c r="W1115" s="66"/>
      <c r="X1115" s="66"/>
      <c r="Y1115" s="66"/>
      <c r="Z1115" s="66"/>
      <c r="AA1115" s="66"/>
      <c r="AB1115" s="66"/>
      <c r="AC1115" s="66"/>
    </row>
    <row r="1116" spans="1:29" ht="15.5">
      <c r="A1116" s="66"/>
      <c r="B1116" s="66"/>
      <c r="C1116" s="66"/>
      <c r="D1116" s="66"/>
      <c r="E1116" s="66"/>
      <c r="F1116" s="66"/>
      <c r="G1116" s="66"/>
      <c r="H1116" s="66"/>
      <c r="I1116" s="66"/>
      <c r="J1116" s="66"/>
      <c r="K1116" s="66"/>
      <c r="L1116" s="66"/>
      <c r="M1116" s="66"/>
      <c r="N1116" s="66"/>
      <c r="O1116" s="66"/>
      <c r="P1116" s="66"/>
      <c r="Q1116" s="66"/>
      <c r="R1116" s="66"/>
      <c r="S1116" s="66"/>
      <c r="T1116" s="66"/>
      <c r="U1116" s="66"/>
      <c r="V1116" s="66"/>
      <c r="W1116" s="66"/>
      <c r="X1116" s="66"/>
      <c r="Y1116" s="66"/>
      <c r="Z1116" s="66"/>
      <c r="AA1116" s="66"/>
      <c r="AB1116" s="66"/>
      <c r="AC1116" s="66"/>
    </row>
    <row r="1117" spans="1:29" ht="15.5">
      <c r="A1117" s="66"/>
      <c r="B1117" s="66"/>
      <c r="C1117" s="66"/>
      <c r="D1117" s="66"/>
      <c r="E1117" s="66"/>
      <c r="F1117" s="66"/>
      <c r="G1117" s="66"/>
      <c r="H1117" s="66"/>
      <c r="I1117" s="66"/>
      <c r="J1117" s="66"/>
      <c r="K1117" s="66"/>
      <c r="L1117" s="66"/>
      <c r="M1117" s="66"/>
      <c r="N1117" s="66"/>
      <c r="O1117" s="66"/>
      <c r="P1117" s="66"/>
      <c r="Q1117" s="66"/>
      <c r="R1117" s="66"/>
      <c r="S1117" s="66"/>
      <c r="T1117" s="66"/>
      <c r="U1117" s="66"/>
      <c r="V1117" s="66"/>
      <c r="W1117" s="66"/>
      <c r="X1117" s="66"/>
      <c r="Y1117" s="66"/>
      <c r="Z1117" s="66"/>
      <c r="AA1117" s="66"/>
      <c r="AB1117" s="66"/>
      <c r="AC1117" s="66"/>
    </row>
    <row r="1118" spans="1:29" ht="15.5">
      <c r="A1118" s="66"/>
      <c r="B1118" s="66"/>
      <c r="C1118" s="66"/>
      <c r="D1118" s="66"/>
      <c r="E1118" s="66"/>
      <c r="F1118" s="66"/>
      <c r="G1118" s="66"/>
      <c r="H1118" s="66"/>
      <c r="I1118" s="66"/>
      <c r="J1118" s="66"/>
      <c r="K1118" s="66"/>
      <c r="L1118" s="66"/>
      <c r="M1118" s="66"/>
      <c r="N1118" s="66"/>
      <c r="O1118" s="66"/>
      <c r="P1118" s="66"/>
      <c r="Q1118" s="66"/>
      <c r="R1118" s="66"/>
      <c r="S1118" s="66"/>
      <c r="T1118" s="66"/>
      <c r="U1118" s="66"/>
      <c r="V1118" s="66"/>
      <c r="W1118" s="66"/>
      <c r="X1118" s="66"/>
      <c r="Y1118" s="66"/>
      <c r="Z1118" s="66"/>
      <c r="AA1118" s="66"/>
      <c r="AB1118" s="66"/>
      <c r="AC1118" s="66"/>
    </row>
    <row r="1119" spans="1:29" ht="15.5">
      <c r="A1119" s="66"/>
      <c r="B1119" s="66"/>
      <c r="C1119" s="66"/>
      <c r="D1119" s="66"/>
      <c r="E1119" s="66"/>
      <c r="F1119" s="66"/>
      <c r="G1119" s="66"/>
      <c r="H1119" s="66"/>
      <c r="I1119" s="66"/>
      <c r="J1119" s="66"/>
      <c r="K1119" s="66"/>
      <c r="L1119" s="66"/>
      <c r="M1119" s="66"/>
      <c r="N1119" s="66"/>
      <c r="O1119" s="66"/>
      <c r="P1119" s="66"/>
      <c r="Q1119" s="66"/>
      <c r="R1119" s="66"/>
      <c r="S1119" s="66"/>
      <c r="T1119" s="66"/>
      <c r="U1119" s="66"/>
      <c r="V1119" s="66"/>
      <c r="W1119" s="66"/>
      <c r="X1119" s="66"/>
      <c r="Y1119" s="66"/>
      <c r="Z1119" s="66"/>
      <c r="AA1119" s="66"/>
      <c r="AB1119" s="66"/>
      <c r="AC1119" s="66"/>
    </row>
    <row r="1120" spans="1:29" ht="15.5">
      <c r="A1120" s="66"/>
      <c r="B1120" s="66"/>
      <c r="C1120" s="66"/>
      <c r="D1120" s="66"/>
      <c r="E1120" s="66"/>
      <c r="F1120" s="66"/>
      <c r="G1120" s="66"/>
      <c r="H1120" s="66"/>
      <c r="I1120" s="66"/>
      <c r="J1120" s="66"/>
      <c r="K1120" s="66"/>
      <c r="L1120" s="66"/>
      <c r="M1120" s="66"/>
      <c r="N1120" s="66"/>
      <c r="O1120" s="66"/>
      <c r="P1120" s="66"/>
      <c r="Q1120" s="66"/>
      <c r="R1120" s="66"/>
      <c r="S1120" s="66"/>
      <c r="T1120" s="66"/>
      <c r="U1120" s="66"/>
      <c r="V1120" s="66"/>
      <c r="W1120" s="66"/>
      <c r="X1120" s="66"/>
      <c r="Y1120" s="66"/>
      <c r="Z1120" s="66"/>
      <c r="AA1120" s="66"/>
      <c r="AB1120" s="66"/>
      <c r="AC1120" s="66"/>
    </row>
    <row r="1121" spans="1:29" ht="15.5">
      <c r="A1121" s="66"/>
      <c r="B1121" s="66"/>
      <c r="C1121" s="66"/>
      <c r="D1121" s="66"/>
      <c r="E1121" s="66"/>
      <c r="F1121" s="66"/>
      <c r="G1121" s="66"/>
      <c r="H1121" s="66"/>
      <c r="I1121" s="66"/>
      <c r="J1121" s="66"/>
      <c r="K1121" s="66"/>
      <c r="L1121" s="66"/>
      <c r="M1121" s="66"/>
      <c r="N1121" s="66"/>
      <c r="O1121" s="66"/>
      <c r="P1121" s="66"/>
      <c r="Q1121" s="66"/>
      <c r="R1121" s="66"/>
      <c r="S1121" s="66"/>
      <c r="T1121" s="66"/>
      <c r="U1121" s="66"/>
      <c r="V1121" s="66"/>
      <c r="W1121" s="66"/>
      <c r="X1121" s="66"/>
      <c r="Y1121" s="66"/>
      <c r="Z1121" s="66"/>
      <c r="AA1121" s="66"/>
      <c r="AB1121" s="66"/>
      <c r="AC1121" s="66"/>
    </row>
    <row r="1122" spans="1:29" ht="15.5">
      <c r="A1122" s="66"/>
      <c r="B1122" s="66"/>
      <c r="C1122" s="66"/>
      <c r="D1122" s="66"/>
      <c r="E1122" s="66"/>
      <c r="F1122" s="66"/>
      <c r="G1122" s="66"/>
      <c r="H1122" s="66"/>
      <c r="I1122" s="66"/>
      <c r="J1122" s="66"/>
      <c r="K1122" s="66"/>
      <c r="L1122" s="66"/>
      <c r="M1122" s="66"/>
      <c r="N1122" s="66"/>
      <c r="O1122" s="66"/>
      <c r="P1122" s="66"/>
      <c r="Q1122" s="66"/>
      <c r="R1122" s="66"/>
      <c r="S1122" s="66"/>
      <c r="T1122" s="66"/>
      <c r="U1122" s="66"/>
      <c r="V1122" s="66"/>
      <c r="W1122" s="66"/>
      <c r="X1122" s="66"/>
      <c r="Y1122" s="66"/>
      <c r="Z1122" s="66"/>
      <c r="AA1122" s="66"/>
      <c r="AB1122" s="66"/>
      <c r="AC1122" s="66"/>
    </row>
    <row r="1123" spans="1:29" ht="15.5">
      <c r="A1123" s="66"/>
      <c r="B1123" s="66"/>
      <c r="C1123" s="66"/>
      <c r="D1123" s="66"/>
      <c r="E1123" s="66"/>
      <c r="F1123" s="66"/>
      <c r="G1123" s="66"/>
      <c r="H1123" s="66"/>
      <c r="I1123" s="66"/>
      <c r="J1123" s="66"/>
      <c r="K1123" s="66"/>
      <c r="L1123" s="66"/>
      <c r="M1123" s="66"/>
      <c r="N1123" s="66"/>
      <c r="O1123" s="66"/>
      <c r="P1123" s="66"/>
      <c r="Q1123" s="66"/>
      <c r="R1123" s="66"/>
      <c r="S1123" s="66"/>
      <c r="T1123" s="66"/>
      <c r="U1123" s="66"/>
      <c r="V1123" s="66"/>
      <c r="W1123" s="66"/>
      <c r="X1123" s="66"/>
      <c r="Y1123" s="66"/>
      <c r="Z1123" s="66"/>
      <c r="AA1123" s="66"/>
      <c r="AB1123" s="66"/>
      <c r="AC1123" s="66"/>
    </row>
    <row r="1124" spans="1:29" ht="15.5">
      <c r="A1124" s="66"/>
      <c r="B1124" s="66"/>
      <c r="C1124" s="66"/>
      <c r="D1124" s="66"/>
      <c r="E1124" s="66"/>
      <c r="F1124" s="66"/>
      <c r="G1124" s="66"/>
      <c r="H1124" s="66"/>
      <c r="I1124" s="66"/>
      <c r="J1124" s="66"/>
      <c r="K1124" s="66"/>
      <c r="L1124" s="66"/>
      <c r="M1124" s="66"/>
      <c r="N1124" s="66"/>
      <c r="O1124" s="66"/>
      <c r="P1124" s="66"/>
      <c r="Q1124" s="66"/>
      <c r="R1124" s="66"/>
      <c r="S1124" s="66"/>
      <c r="T1124" s="66"/>
      <c r="U1124" s="66"/>
      <c r="V1124" s="66"/>
      <c r="W1124" s="66"/>
      <c r="X1124" s="66"/>
      <c r="Y1124" s="66"/>
      <c r="Z1124" s="66"/>
      <c r="AA1124" s="66"/>
      <c r="AB1124" s="66"/>
      <c r="AC1124" s="66"/>
    </row>
    <row r="1125" spans="1:29" ht="15.5">
      <c r="A1125" s="66"/>
      <c r="B1125" s="66"/>
      <c r="C1125" s="66"/>
      <c r="D1125" s="66"/>
      <c r="E1125" s="66"/>
      <c r="F1125" s="66"/>
      <c r="G1125" s="66"/>
      <c r="H1125" s="66"/>
      <c r="I1125" s="66"/>
      <c r="J1125" s="66"/>
      <c r="K1125" s="66"/>
      <c r="L1125" s="66"/>
      <c r="M1125" s="66"/>
      <c r="N1125" s="66"/>
      <c r="O1125" s="66"/>
      <c r="P1125" s="66"/>
      <c r="Q1125" s="66"/>
      <c r="R1125" s="66"/>
      <c r="S1125" s="66"/>
      <c r="T1125" s="66"/>
      <c r="U1125" s="66"/>
      <c r="V1125" s="66"/>
      <c r="W1125" s="66"/>
      <c r="X1125" s="66"/>
      <c r="Y1125" s="66"/>
      <c r="Z1125" s="66"/>
      <c r="AA1125" s="66"/>
      <c r="AB1125" s="66"/>
      <c r="AC1125" s="66"/>
    </row>
    <row r="1126" spans="1:29" ht="15.5">
      <c r="A1126" s="66"/>
      <c r="B1126" s="66"/>
      <c r="C1126" s="66"/>
      <c r="D1126" s="66"/>
      <c r="E1126" s="66"/>
      <c r="F1126" s="66"/>
      <c r="G1126" s="66"/>
      <c r="H1126" s="66"/>
      <c r="I1126" s="66"/>
      <c r="J1126" s="66"/>
      <c r="K1126" s="66"/>
      <c r="L1126" s="66"/>
      <c r="M1126" s="66"/>
      <c r="N1126" s="66"/>
      <c r="O1126" s="66"/>
      <c r="P1126" s="66"/>
      <c r="Q1126" s="66"/>
      <c r="R1126" s="66"/>
      <c r="S1126" s="66"/>
      <c r="T1126" s="66"/>
      <c r="U1126" s="66"/>
      <c r="V1126" s="66"/>
      <c r="W1126" s="66"/>
      <c r="X1126" s="66"/>
      <c r="Y1126" s="66"/>
      <c r="Z1126" s="66"/>
      <c r="AA1126" s="66"/>
      <c r="AB1126" s="66"/>
      <c r="AC1126" s="66"/>
    </row>
    <row r="1127" spans="1:29" ht="15.5">
      <c r="A1127" s="66"/>
      <c r="B1127" s="66"/>
      <c r="C1127" s="66"/>
      <c r="D1127" s="66"/>
      <c r="E1127" s="66"/>
      <c r="F1127" s="66"/>
      <c r="G1127" s="66"/>
      <c r="H1127" s="66"/>
      <c r="I1127" s="66"/>
      <c r="J1127" s="66"/>
      <c r="K1127" s="66"/>
      <c r="L1127" s="66"/>
      <c r="M1127" s="66"/>
      <c r="N1127" s="66"/>
      <c r="O1127" s="66"/>
      <c r="P1127" s="66"/>
      <c r="Q1127" s="66"/>
      <c r="R1127" s="66"/>
      <c r="S1127" s="66"/>
      <c r="T1127" s="66"/>
      <c r="U1127" s="66"/>
      <c r="V1127" s="66"/>
      <c r="W1127" s="66"/>
      <c r="X1127" s="66"/>
      <c r="Y1127" s="66"/>
      <c r="Z1127" s="66"/>
      <c r="AA1127" s="66"/>
      <c r="AB1127" s="66"/>
      <c r="AC1127" s="66"/>
    </row>
    <row r="1128" spans="1:29" ht="15.5">
      <c r="A1128" s="66"/>
      <c r="B1128" s="66"/>
      <c r="C1128" s="66"/>
      <c r="D1128" s="66"/>
      <c r="E1128" s="66"/>
      <c r="F1128" s="66"/>
      <c r="G1128" s="66"/>
      <c r="H1128" s="66"/>
      <c r="I1128" s="66"/>
      <c r="J1128" s="66"/>
      <c r="K1128" s="66"/>
      <c r="L1128" s="66"/>
      <c r="M1128" s="66"/>
      <c r="N1128" s="66"/>
      <c r="O1128" s="66"/>
      <c r="P1128" s="66"/>
      <c r="Q1128" s="66"/>
      <c r="R1128" s="66"/>
      <c r="S1128" s="66"/>
      <c r="T1128" s="66"/>
      <c r="U1128" s="66"/>
      <c r="V1128" s="66"/>
      <c r="W1128" s="66"/>
      <c r="X1128" s="66"/>
      <c r="Y1128" s="66"/>
      <c r="Z1128" s="66"/>
      <c r="AA1128" s="66"/>
      <c r="AB1128" s="66"/>
      <c r="AC1128" s="66"/>
    </row>
    <row r="1129" spans="1:29" ht="15.5">
      <c r="A1129" s="66"/>
      <c r="B1129" s="66"/>
      <c r="C1129" s="66"/>
      <c r="D1129" s="66"/>
      <c r="E1129" s="66"/>
      <c r="F1129" s="66"/>
      <c r="G1129" s="66"/>
      <c r="H1129" s="66"/>
      <c r="I1129" s="66"/>
      <c r="J1129" s="66"/>
      <c r="K1129" s="66"/>
      <c r="L1129" s="66"/>
      <c r="M1129" s="66"/>
      <c r="N1129" s="66"/>
      <c r="O1129" s="66"/>
      <c r="P1129" s="66"/>
      <c r="Q1129" s="66"/>
      <c r="R1129" s="66"/>
      <c r="S1129" s="66"/>
      <c r="T1129" s="66"/>
      <c r="U1129" s="66"/>
      <c r="V1129" s="66"/>
      <c r="W1129" s="66"/>
      <c r="X1129" s="66"/>
      <c r="Y1129" s="66"/>
      <c r="Z1129" s="66"/>
      <c r="AA1129" s="66"/>
      <c r="AB1129" s="66"/>
      <c r="AC1129" s="66"/>
    </row>
    <row r="1130" spans="1:29" ht="15.5">
      <c r="A1130" s="66"/>
      <c r="B1130" s="66"/>
      <c r="C1130" s="66"/>
      <c r="D1130" s="66"/>
      <c r="E1130" s="66"/>
      <c r="F1130" s="66"/>
      <c r="G1130" s="66"/>
      <c r="H1130" s="66"/>
      <c r="I1130" s="66"/>
      <c r="J1130" s="66"/>
      <c r="K1130" s="66"/>
      <c r="L1130" s="66"/>
      <c r="M1130" s="66"/>
      <c r="N1130" s="66"/>
      <c r="O1130" s="66"/>
      <c r="P1130" s="66"/>
      <c r="Q1130" s="66"/>
      <c r="R1130" s="66"/>
      <c r="S1130" s="66"/>
      <c r="T1130" s="66"/>
      <c r="U1130" s="66"/>
      <c r="V1130" s="66"/>
      <c r="W1130" s="66"/>
      <c r="X1130" s="66"/>
      <c r="Y1130" s="66"/>
      <c r="Z1130" s="66"/>
      <c r="AA1130" s="66"/>
      <c r="AB1130" s="66"/>
      <c r="AC1130" s="66"/>
    </row>
    <row r="1131" spans="1:29" ht="15.5">
      <c r="A1131" s="66"/>
      <c r="B1131" s="66"/>
      <c r="C1131" s="66"/>
      <c r="D1131" s="66"/>
      <c r="E1131" s="66"/>
      <c r="F1131" s="66"/>
      <c r="G1131" s="66"/>
      <c r="H1131" s="66"/>
      <c r="I1131" s="66"/>
      <c r="J1131" s="66"/>
      <c r="K1131" s="66"/>
      <c r="L1131" s="66"/>
      <c r="M1131" s="66"/>
      <c r="N1131" s="66"/>
      <c r="O1131" s="66"/>
      <c r="P1131" s="66"/>
      <c r="Q1131" s="66"/>
      <c r="R1131" s="66"/>
      <c r="S1131" s="66"/>
      <c r="T1131" s="66"/>
      <c r="U1131" s="66"/>
      <c r="V1131" s="66"/>
      <c r="W1131" s="66"/>
      <c r="X1131" s="66"/>
      <c r="Y1131" s="66"/>
      <c r="Z1131" s="66"/>
      <c r="AA1131" s="66"/>
      <c r="AB1131" s="66"/>
      <c r="AC1131" s="66"/>
    </row>
    <row r="1132" spans="1:29" ht="15.5">
      <c r="A1132" s="66"/>
      <c r="B1132" s="66"/>
      <c r="C1132" s="66"/>
      <c r="D1132" s="66"/>
      <c r="E1132" s="66"/>
      <c r="F1132" s="66"/>
      <c r="G1132" s="66"/>
      <c r="H1132" s="66"/>
      <c r="I1132" s="66"/>
      <c r="J1132" s="66"/>
      <c r="K1132" s="66"/>
      <c r="L1132" s="66"/>
      <c r="M1132" s="66"/>
      <c r="N1132" s="66"/>
      <c r="O1132" s="66"/>
      <c r="P1132" s="66"/>
      <c r="Q1132" s="66"/>
      <c r="R1132" s="66"/>
      <c r="S1132" s="66"/>
      <c r="T1132" s="66"/>
      <c r="U1132" s="66"/>
      <c r="V1132" s="66"/>
      <c r="W1132" s="66"/>
      <c r="X1132" s="66"/>
      <c r="Y1132" s="66"/>
      <c r="Z1132" s="66"/>
      <c r="AA1132" s="66"/>
      <c r="AB1132" s="66"/>
      <c r="AC1132" s="66"/>
    </row>
    <row r="1133" spans="1:29" ht="15.5">
      <c r="A1133" s="66"/>
      <c r="B1133" s="66"/>
      <c r="C1133" s="66"/>
      <c r="D1133" s="66"/>
      <c r="E1133" s="66"/>
      <c r="F1133" s="66"/>
      <c r="G1133" s="66"/>
      <c r="H1133" s="66"/>
      <c r="I1133" s="66"/>
      <c r="J1133" s="66"/>
      <c r="K1133" s="66"/>
      <c r="L1133" s="66"/>
      <c r="M1133" s="66"/>
      <c r="N1133" s="66"/>
      <c r="O1133" s="66"/>
      <c r="P1133" s="66"/>
      <c r="Q1133" s="66"/>
      <c r="R1133" s="66"/>
      <c r="S1133" s="66"/>
      <c r="T1133" s="66"/>
      <c r="U1133" s="66"/>
      <c r="V1133" s="66"/>
      <c r="W1133" s="66"/>
      <c r="X1133" s="66"/>
      <c r="Y1133" s="66"/>
      <c r="Z1133" s="66"/>
      <c r="AA1133" s="66"/>
      <c r="AB1133" s="66"/>
      <c r="AC1133" s="66"/>
    </row>
    <row r="1134" spans="1:29" ht="15.5">
      <c r="A1134" s="66"/>
      <c r="B1134" s="66"/>
      <c r="C1134" s="66"/>
      <c r="D1134" s="66"/>
      <c r="E1134" s="66"/>
      <c r="F1134" s="66"/>
      <c r="G1134" s="66"/>
      <c r="H1134" s="66"/>
      <c r="I1134" s="66"/>
      <c r="J1134" s="66"/>
      <c r="K1134" s="66"/>
      <c r="L1134" s="66"/>
      <c r="M1134" s="66"/>
      <c r="N1134" s="66"/>
      <c r="O1134" s="66"/>
      <c r="P1134" s="66"/>
      <c r="Q1134" s="66"/>
      <c r="R1134" s="66"/>
      <c r="S1134" s="66"/>
      <c r="T1134" s="66"/>
      <c r="U1134" s="66"/>
      <c r="V1134" s="66"/>
      <c r="W1134" s="66"/>
      <c r="X1134" s="66"/>
      <c r="Y1134" s="66"/>
      <c r="Z1134" s="66"/>
      <c r="AA1134" s="66"/>
      <c r="AB1134" s="66"/>
      <c r="AC1134" s="66"/>
    </row>
    <row r="1135" spans="1:29" ht="15.5">
      <c r="A1135" s="66"/>
      <c r="B1135" s="66"/>
      <c r="C1135" s="66"/>
      <c r="D1135" s="66"/>
      <c r="E1135" s="66"/>
      <c r="F1135" s="66"/>
      <c r="G1135" s="66"/>
      <c r="H1135" s="66"/>
      <c r="I1135" s="66"/>
      <c r="J1135" s="66"/>
      <c r="K1135" s="66"/>
      <c r="L1135" s="66"/>
      <c r="M1135" s="66"/>
      <c r="N1135" s="66"/>
      <c r="O1135" s="66"/>
      <c r="P1135" s="66"/>
      <c r="Q1135" s="66"/>
      <c r="R1135" s="66"/>
      <c r="S1135" s="66"/>
      <c r="T1135" s="66"/>
      <c r="U1135" s="66"/>
      <c r="V1135" s="66"/>
      <c r="W1135" s="66"/>
      <c r="X1135" s="66"/>
      <c r="Y1135" s="66"/>
      <c r="Z1135" s="66"/>
      <c r="AA1135" s="66"/>
      <c r="AB1135" s="66"/>
      <c r="AC1135" s="66"/>
    </row>
    <row r="1136" spans="1:29" ht="15.5">
      <c r="A1136" s="66"/>
      <c r="B1136" s="66"/>
      <c r="C1136" s="66"/>
      <c r="D1136" s="66"/>
      <c r="E1136" s="66"/>
      <c r="F1136" s="66"/>
      <c r="G1136" s="66"/>
      <c r="H1136" s="66"/>
      <c r="I1136" s="66"/>
      <c r="J1136" s="66"/>
      <c r="K1136" s="66"/>
      <c r="L1136" s="66"/>
      <c r="M1136" s="66"/>
      <c r="N1136" s="66"/>
      <c r="O1136" s="66"/>
      <c r="P1136" s="66"/>
      <c r="Q1136" s="66"/>
      <c r="R1136" s="66"/>
      <c r="S1136" s="66"/>
      <c r="T1136" s="66"/>
      <c r="U1136" s="66"/>
      <c r="V1136" s="66"/>
      <c r="W1136" s="66"/>
      <c r="X1136" s="66"/>
      <c r="Y1136" s="66"/>
      <c r="Z1136" s="66"/>
      <c r="AA1136" s="66"/>
      <c r="AB1136" s="66"/>
      <c r="AC1136" s="66"/>
    </row>
    <row r="1137" spans="1:29" ht="15.5">
      <c r="A1137" s="66"/>
      <c r="B1137" s="66"/>
      <c r="C1137" s="66"/>
      <c r="D1137" s="66"/>
      <c r="E1137" s="66"/>
      <c r="F1137" s="66"/>
      <c r="G1137" s="66"/>
      <c r="H1137" s="66"/>
      <c r="I1137" s="66"/>
      <c r="J1137" s="66"/>
      <c r="K1137" s="66"/>
      <c r="L1137" s="66"/>
      <c r="M1137" s="66"/>
      <c r="N1137" s="66"/>
      <c r="O1137" s="66"/>
      <c r="P1137" s="66"/>
      <c r="Q1137" s="66"/>
      <c r="R1137" s="66"/>
      <c r="S1137" s="66"/>
      <c r="T1137" s="66"/>
      <c r="U1137" s="66"/>
      <c r="V1137" s="66"/>
      <c r="W1137" s="66"/>
      <c r="X1137" s="66"/>
      <c r="Y1137" s="66"/>
      <c r="Z1137" s="66"/>
      <c r="AA1137" s="66"/>
      <c r="AB1137" s="66"/>
      <c r="AC1137" s="66"/>
    </row>
    <row r="1138" spans="1:29" ht="15.5">
      <c r="A1138" s="66"/>
      <c r="B1138" s="66"/>
      <c r="C1138" s="66"/>
      <c r="D1138" s="66"/>
      <c r="E1138" s="66"/>
      <c r="F1138" s="66"/>
      <c r="G1138" s="66"/>
      <c r="H1138" s="66"/>
      <c r="I1138" s="66"/>
      <c r="J1138" s="66"/>
      <c r="K1138" s="66"/>
      <c r="L1138" s="66"/>
      <c r="M1138" s="66"/>
      <c r="N1138" s="66"/>
      <c r="O1138" s="66"/>
      <c r="P1138" s="66"/>
      <c r="Q1138" s="66"/>
      <c r="R1138" s="66"/>
      <c r="S1138" s="66"/>
      <c r="T1138" s="66"/>
      <c r="U1138" s="66"/>
      <c r="V1138" s="66"/>
      <c r="W1138" s="66"/>
      <c r="X1138" s="66"/>
      <c r="Y1138" s="66"/>
      <c r="Z1138" s="66"/>
      <c r="AA1138" s="66"/>
      <c r="AB1138" s="66"/>
      <c r="AC1138" s="66"/>
    </row>
    <row r="1139" spans="1:29" ht="15.5">
      <c r="A1139" s="66"/>
      <c r="B1139" s="66"/>
      <c r="C1139" s="66"/>
      <c r="D1139" s="66"/>
      <c r="E1139" s="66"/>
      <c r="F1139" s="66"/>
      <c r="G1139" s="66"/>
      <c r="H1139" s="66"/>
      <c r="I1139" s="66"/>
      <c r="J1139" s="66"/>
      <c r="K1139" s="66"/>
      <c r="L1139" s="66"/>
      <c r="M1139" s="66"/>
      <c r="N1139" s="66"/>
      <c r="O1139" s="66"/>
      <c r="P1139" s="66"/>
      <c r="Q1139" s="66"/>
      <c r="R1139" s="66"/>
      <c r="S1139" s="66"/>
      <c r="T1139" s="66"/>
      <c r="U1139" s="66"/>
      <c r="V1139" s="66"/>
      <c r="W1139" s="66"/>
      <c r="X1139" s="66"/>
      <c r="Y1139" s="66"/>
      <c r="Z1139" s="66"/>
      <c r="AA1139" s="66"/>
      <c r="AB1139" s="66"/>
      <c r="AC1139" s="66"/>
    </row>
    <row r="1140" spans="1:29" ht="15.5">
      <c r="A1140" s="66"/>
      <c r="B1140" s="66"/>
      <c r="C1140" s="66"/>
      <c r="D1140" s="66"/>
      <c r="E1140" s="66"/>
      <c r="F1140" s="66"/>
      <c r="G1140" s="66"/>
      <c r="H1140" s="66"/>
      <c r="I1140" s="66"/>
      <c r="J1140" s="66"/>
      <c r="K1140" s="66"/>
      <c r="L1140" s="66"/>
      <c r="M1140" s="66"/>
      <c r="N1140" s="66"/>
      <c r="O1140" s="66"/>
      <c r="P1140" s="66"/>
      <c r="Q1140" s="66"/>
      <c r="R1140" s="66"/>
      <c r="S1140" s="66"/>
      <c r="T1140" s="66"/>
      <c r="U1140" s="66"/>
      <c r="V1140" s="66"/>
      <c r="W1140" s="66"/>
      <c r="X1140" s="66"/>
      <c r="Y1140" s="66"/>
      <c r="Z1140" s="66"/>
      <c r="AA1140" s="66"/>
      <c r="AB1140" s="66"/>
      <c r="AC1140" s="66"/>
    </row>
    <row r="1141" spans="1:29" ht="15.5">
      <c r="A1141" s="66"/>
      <c r="B1141" s="66"/>
      <c r="C1141" s="66"/>
      <c r="D1141" s="66"/>
      <c r="E1141" s="66"/>
      <c r="F1141" s="66"/>
      <c r="G1141" s="66"/>
      <c r="H1141" s="66"/>
      <c r="I1141" s="66"/>
      <c r="J1141" s="66"/>
      <c r="K1141" s="66"/>
      <c r="L1141" s="66"/>
      <c r="M1141" s="66"/>
      <c r="N1141" s="66"/>
      <c r="O1141" s="66"/>
      <c r="P1141" s="66"/>
      <c r="Q1141" s="66"/>
      <c r="R1141" s="66"/>
      <c r="S1141" s="66"/>
      <c r="T1141" s="66"/>
      <c r="U1141" s="66"/>
      <c r="V1141" s="66"/>
      <c r="W1141" s="66"/>
      <c r="X1141" s="66"/>
      <c r="Y1141" s="66"/>
      <c r="Z1141" s="66"/>
      <c r="AA1141" s="66"/>
      <c r="AB1141" s="66"/>
      <c r="AC1141" s="66"/>
    </row>
    <row r="1142" spans="1:29" ht="15.5">
      <c r="A1142" s="66"/>
      <c r="B1142" s="66"/>
      <c r="C1142" s="66"/>
      <c r="D1142" s="66"/>
      <c r="E1142" s="66"/>
      <c r="F1142" s="66"/>
      <c r="G1142" s="66"/>
      <c r="H1142" s="66"/>
      <c r="I1142" s="66"/>
      <c r="J1142" s="66"/>
      <c r="K1142" s="66"/>
      <c r="L1142" s="66"/>
      <c r="M1142" s="66"/>
      <c r="N1142" s="66"/>
      <c r="O1142" s="66"/>
      <c r="P1142" s="66"/>
      <c r="Q1142" s="66"/>
      <c r="R1142" s="66"/>
      <c r="S1142" s="66"/>
      <c r="T1142" s="66"/>
      <c r="U1142" s="66"/>
      <c r="V1142" s="66"/>
      <c r="W1142" s="66"/>
      <c r="X1142" s="66"/>
      <c r="Y1142" s="66"/>
      <c r="Z1142" s="66"/>
      <c r="AA1142" s="66"/>
      <c r="AB1142" s="66"/>
      <c r="AC1142" s="66"/>
    </row>
    <row r="1143" spans="1:29" ht="15.5">
      <c r="A1143" s="66"/>
      <c r="B1143" s="66"/>
      <c r="C1143" s="66"/>
      <c r="D1143" s="66"/>
      <c r="E1143" s="66"/>
      <c r="F1143" s="66"/>
      <c r="G1143" s="66"/>
      <c r="H1143" s="66"/>
      <c r="I1143" s="66"/>
      <c r="J1143" s="66"/>
      <c r="K1143" s="66"/>
      <c r="L1143" s="66"/>
      <c r="M1143" s="66"/>
      <c r="N1143" s="66"/>
      <c r="O1143" s="66"/>
      <c r="P1143" s="66"/>
      <c r="Q1143" s="66"/>
      <c r="R1143" s="66"/>
      <c r="S1143" s="66"/>
      <c r="T1143" s="66"/>
      <c r="U1143" s="66"/>
      <c r="V1143" s="66"/>
      <c r="W1143" s="66"/>
      <c r="X1143" s="66"/>
      <c r="Y1143" s="66"/>
      <c r="Z1143" s="66"/>
      <c r="AA1143" s="66"/>
      <c r="AB1143" s="66"/>
      <c r="AC1143" s="66"/>
    </row>
    <row r="1144" spans="1:29" ht="15.5">
      <c r="A1144" s="66"/>
      <c r="B1144" s="66"/>
      <c r="C1144" s="66"/>
      <c r="D1144" s="66"/>
      <c r="E1144" s="66"/>
      <c r="F1144" s="66"/>
      <c r="G1144" s="66"/>
      <c r="H1144" s="66"/>
      <c r="I1144" s="66"/>
      <c r="J1144" s="66"/>
      <c r="K1144" s="66"/>
      <c r="L1144" s="66"/>
      <c r="M1144" s="66"/>
      <c r="N1144" s="66"/>
      <c r="O1144" s="66"/>
      <c r="P1144" s="66"/>
      <c r="Q1144" s="66"/>
      <c r="R1144" s="66"/>
      <c r="S1144" s="66"/>
      <c r="T1144" s="66"/>
      <c r="U1144" s="66"/>
      <c r="V1144" s="66"/>
      <c r="W1144" s="66"/>
      <c r="X1144" s="66"/>
      <c r="Y1144" s="66"/>
      <c r="Z1144" s="66"/>
      <c r="AA1144" s="66"/>
      <c r="AB1144" s="66"/>
      <c r="AC1144" s="66"/>
    </row>
    <row r="1145" spans="1:29" ht="15.5">
      <c r="A1145" s="66"/>
      <c r="B1145" s="66"/>
      <c r="C1145" s="66"/>
      <c r="D1145" s="66"/>
      <c r="E1145" s="66"/>
      <c r="F1145" s="66"/>
      <c r="G1145" s="66"/>
      <c r="H1145" s="66"/>
      <c r="I1145" s="66"/>
      <c r="J1145" s="66"/>
      <c r="K1145" s="66"/>
      <c r="L1145" s="66"/>
      <c r="M1145" s="66"/>
      <c r="N1145" s="66"/>
      <c r="O1145" s="66"/>
      <c r="P1145" s="66"/>
      <c r="Q1145" s="66"/>
      <c r="R1145" s="66"/>
      <c r="S1145" s="66"/>
      <c r="T1145" s="66"/>
      <c r="U1145" s="66"/>
      <c r="V1145" s="66"/>
      <c r="W1145" s="66"/>
      <c r="X1145" s="66"/>
      <c r="Y1145" s="66"/>
      <c r="Z1145" s="66"/>
      <c r="AA1145" s="66"/>
      <c r="AB1145" s="66"/>
      <c r="AC1145" s="66"/>
    </row>
    <row r="1146" spans="1:29" ht="15.5">
      <c r="A1146" s="66"/>
      <c r="B1146" s="66"/>
      <c r="C1146" s="66"/>
      <c r="D1146" s="66"/>
      <c r="E1146" s="66"/>
      <c r="F1146" s="66"/>
      <c r="G1146" s="66"/>
      <c r="H1146" s="66"/>
      <c r="I1146" s="66"/>
      <c r="J1146" s="66"/>
      <c r="K1146" s="66"/>
      <c r="L1146" s="66"/>
      <c r="M1146" s="66"/>
      <c r="N1146" s="66"/>
      <c r="O1146" s="66"/>
      <c r="P1146" s="66"/>
      <c r="Q1146" s="66"/>
      <c r="R1146" s="66"/>
      <c r="S1146" s="66"/>
      <c r="T1146" s="66"/>
      <c r="U1146" s="66"/>
      <c r="V1146" s="66"/>
      <c r="W1146" s="66"/>
      <c r="X1146" s="66"/>
      <c r="Y1146" s="66"/>
      <c r="Z1146" s="66"/>
      <c r="AA1146" s="66"/>
      <c r="AB1146" s="66"/>
      <c r="AC1146" s="66"/>
    </row>
    <row r="1147" spans="1:29" ht="15.5">
      <c r="A1147" s="66"/>
      <c r="B1147" s="66"/>
      <c r="C1147" s="66"/>
      <c r="D1147" s="66"/>
      <c r="E1147" s="66"/>
      <c r="F1147" s="66"/>
      <c r="G1147" s="66"/>
      <c r="H1147" s="66"/>
      <c r="I1147" s="66"/>
      <c r="J1147" s="66"/>
      <c r="K1147" s="66"/>
      <c r="L1147" s="66"/>
      <c r="M1147" s="66"/>
      <c r="N1147" s="66"/>
      <c r="O1147" s="66"/>
      <c r="P1147" s="66"/>
      <c r="Q1147" s="66"/>
      <c r="R1147" s="66"/>
      <c r="S1147" s="66"/>
      <c r="T1147" s="66"/>
      <c r="U1147" s="66"/>
      <c r="V1147" s="66"/>
      <c r="W1147" s="66"/>
      <c r="X1147" s="66"/>
      <c r="Y1147" s="66"/>
      <c r="Z1147" s="66"/>
      <c r="AA1147" s="66"/>
      <c r="AB1147" s="66"/>
      <c r="AC1147" s="66"/>
    </row>
    <row r="1148" spans="1:29" ht="15.5">
      <c r="A1148" s="66"/>
      <c r="B1148" s="66"/>
      <c r="C1148" s="66"/>
      <c r="D1148" s="66"/>
      <c r="E1148" s="66"/>
      <c r="F1148" s="66"/>
      <c r="G1148" s="66"/>
      <c r="H1148" s="66"/>
      <c r="I1148" s="66"/>
      <c r="J1148" s="66"/>
      <c r="K1148" s="66"/>
      <c r="L1148" s="66"/>
      <c r="M1148" s="66"/>
      <c r="N1148" s="66"/>
      <c r="O1148" s="66"/>
      <c r="P1148" s="66"/>
      <c r="Q1148" s="66"/>
      <c r="R1148" s="66"/>
      <c r="S1148" s="66"/>
      <c r="T1148" s="66"/>
      <c r="U1148" s="66"/>
      <c r="V1148" s="66"/>
      <c r="W1148" s="66"/>
      <c r="X1148" s="66"/>
      <c r="Y1148" s="66"/>
      <c r="Z1148" s="66"/>
      <c r="AA1148" s="66"/>
      <c r="AB1148" s="66"/>
      <c r="AC1148" s="66"/>
    </row>
    <row r="1149" spans="1:29" ht="15.5">
      <c r="A1149" s="66"/>
      <c r="B1149" s="66"/>
      <c r="C1149" s="66"/>
      <c r="D1149" s="66"/>
      <c r="E1149" s="66"/>
      <c r="F1149" s="66"/>
      <c r="G1149" s="66"/>
      <c r="H1149" s="66"/>
      <c r="I1149" s="66"/>
      <c r="J1149" s="66"/>
      <c r="K1149" s="66"/>
      <c r="L1149" s="66"/>
      <c r="M1149" s="66"/>
      <c r="N1149" s="66"/>
      <c r="O1149" s="66"/>
      <c r="P1149" s="66"/>
      <c r="Q1149" s="66"/>
      <c r="R1149" s="66"/>
      <c r="S1149" s="66"/>
      <c r="T1149" s="66"/>
      <c r="U1149" s="66"/>
      <c r="V1149" s="66"/>
      <c r="W1149" s="66"/>
      <c r="X1149" s="66"/>
      <c r="Y1149" s="66"/>
      <c r="Z1149" s="66"/>
      <c r="AA1149" s="66"/>
      <c r="AB1149" s="66"/>
      <c r="AC1149" s="66"/>
    </row>
    <row r="1150" spans="1:29" ht="15.5">
      <c r="A1150" s="66"/>
      <c r="B1150" s="66"/>
      <c r="C1150" s="66"/>
      <c r="D1150" s="66"/>
      <c r="E1150" s="66"/>
      <c r="F1150" s="66"/>
      <c r="G1150" s="66"/>
      <c r="H1150" s="66"/>
      <c r="I1150" s="66"/>
      <c r="J1150" s="66"/>
      <c r="K1150" s="66"/>
      <c r="L1150" s="66"/>
      <c r="M1150" s="66"/>
      <c r="N1150" s="66"/>
      <c r="O1150" s="66"/>
      <c r="P1150" s="66"/>
      <c r="Q1150" s="66"/>
      <c r="R1150" s="66"/>
      <c r="S1150" s="66"/>
      <c r="T1150" s="66"/>
      <c r="U1150" s="66"/>
      <c r="V1150" s="66"/>
      <c r="W1150" s="66"/>
      <c r="X1150" s="66"/>
      <c r="Y1150" s="66"/>
      <c r="Z1150" s="66"/>
      <c r="AA1150" s="66"/>
      <c r="AB1150" s="66"/>
      <c r="AC1150" s="66"/>
    </row>
    <row r="1151" spans="1:29" ht="15.5">
      <c r="A1151" s="66"/>
      <c r="B1151" s="66"/>
      <c r="C1151" s="66"/>
      <c r="D1151" s="66"/>
      <c r="E1151" s="66"/>
      <c r="F1151" s="66"/>
      <c r="G1151" s="66"/>
      <c r="H1151" s="66"/>
      <c r="I1151" s="66"/>
      <c r="J1151" s="66"/>
      <c r="K1151" s="66"/>
      <c r="L1151" s="66"/>
      <c r="M1151" s="66"/>
      <c r="N1151" s="66"/>
      <c r="O1151" s="66"/>
      <c r="P1151" s="66"/>
      <c r="Q1151" s="66"/>
      <c r="R1151" s="66"/>
      <c r="S1151" s="66"/>
      <c r="T1151" s="66"/>
      <c r="U1151" s="66"/>
      <c r="V1151" s="66"/>
      <c r="W1151" s="66"/>
      <c r="X1151" s="66"/>
      <c r="Y1151" s="66"/>
      <c r="Z1151" s="66"/>
      <c r="AA1151" s="66"/>
      <c r="AB1151" s="66"/>
      <c r="AC1151" s="66"/>
    </row>
    <row r="1152" spans="1:29" ht="15.5">
      <c r="A1152" s="66"/>
      <c r="B1152" s="66"/>
      <c r="C1152" s="66"/>
      <c r="D1152" s="66"/>
      <c r="E1152" s="66"/>
      <c r="F1152" s="66"/>
      <c r="G1152" s="66"/>
      <c r="H1152" s="66"/>
      <c r="I1152" s="66"/>
      <c r="J1152" s="66"/>
      <c r="K1152" s="66"/>
      <c r="L1152" s="66"/>
      <c r="M1152" s="66"/>
      <c r="N1152" s="66"/>
      <c r="O1152" s="66"/>
      <c r="P1152" s="66"/>
      <c r="Q1152" s="66"/>
      <c r="R1152" s="66"/>
      <c r="S1152" s="66"/>
      <c r="T1152" s="66"/>
      <c r="U1152" s="66"/>
      <c r="V1152" s="66"/>
      <c r="W1152" s="66"/>
      <c r="X1152" s="66"/>
      <c r="Y1152" s="66"/>
      <c r="Z1152" s="66"/>
      <c r="AA1152" s="66"/>
      <c r="AB1152" s="66"/>
      <c r="AC1152" s="66"/>
    </row>
    <row r="1153" spans="1:29" ht="15.5">
      <c r="A1153" s="66"/>
      <c r="B1153" s="66"/>
      <c r="C1153" s="66"/>
      <c r="D1153" s="66"/>
      <c r="E1153" s="66"/>
      <c r="F1153" s="66"/>
      <c r="G1153" s="66"/>
      <c r="H1153" s="66"/>
      <c r="I1153" s="66"/>
      <c r="J1153" s="66"/>
      <c r="K1153" s="66"/>
      <c r="L1153" s="66"/>
      <c r="M1153" s="66"/>
      <c r="N1153" s="66"/>
      <c r="O1153" s="66"/>
      <c r="P1153" s="66"/>
      <c r="Q1153" s="66"/>
      <c r="R1153" s="66"/>
      <c r="S1153" s="66"/>
      <c r="T1153" s="66"/>
      <c r="U1153" s="66"/>
      <c r="V1153" s="66"/>
      <c r="W1153" s="66"/>
      <c r="X1153" s="66"/>
      <c r="Y1153" s="66"/>
      <c r="Z1153" s="66"/>
      <c r="AA1153" s="66"/>
      <c r="AB1153" s="66"/>
      <c r="AC1153" s="66"/>
    </row>
    <row r="1154" spans="1:29" ht="15.5">
      <c r="A1154" s="66"/>
      <c r="B1154" s="66"/>
      <c r="C1154" s="66"/>
      <c r="D1154" s="66"/>
      <c r="E1154" s="66"/>
      <c r="F1154" s="66"/>
      <c r="G1154" s="66"/>
      <c r="H1154" s="66"/>
      <c r="I1154" s="66"/>
      <c r="J1154" s="66"/>
      <c r="K1154" s="66"/>
      <c r="L1154" s="66"/>
      <c r="M1154" s="66"/>
      <c r="N1154" s="66"/>
      <c r="O1154" s="66"/>
      <c r="P1154" s="66"/>
      <c r="Q1154" s="66"/>
      <c r="R1154" s="66"/>
      <c r="S1154" s="66"/>
      <c r="T1154" s="66"/>
      <c r="U1154" s="66"/>
      <c r="V1154" s="66"/>
      <c r="W1154" s="66"/>
      <c r="X1154" s="66"/>
      <c r="Y1154" s="66"/>
      <c r="Z1154" s="66"/>
      <c r="AA1154" s="66"/>
      <c r="AB1154" s="66"/>
      <c r="AC1154" s="66"/>
    </row>
    <row r="1155" spans="1:29" ht="15.5">
      <c r="A1155" s="66"/>
      <c r="B1155" s="66"/>
      <c r="C1155" s="66"/>
      <c r="D1155" s="66"/>
      <c r="E1155" s="66"/>
      <c r="F1155" s="66"/>
      <c r="G1155" s="66"/>
      <c r="H1155" s="66"/>
      <c r="I1155" s="66"/>
      <c r="J1155" s="66"/>
      <c r="K1155" s="66"/>
      <c r="L1155" s="66"/>
      <c r="M1155" s="66"/>
      <c r="N1155" s="66"/>
      <c r="O1155" s="66"/>
      <c r="P1155" s="66"/>
      <c r="Q1155" s="66"/>
      <c r="R1155" s="66"/>
      <c r="S1155" s="66"/>
      <c r="T1155" s="66"/>
      <c r="U1155" s="66"/>
      <c r="V1155" s="66"/>
      <c r="W1155" s="66"/>
      <c r="X1155" s="66"/>
      <c r="Y1155" s="66"/>
      <c r="Z1155" s="66"/>
      <c r="AA1155" s="66"/>
      <c r="AB1155" s="66"/>
      <c r="AC1155" s="66"/>
    </row>
    <row r="1156" spans="1:29" ht="15.5">
      <c r="A1156" s="66"/>
      <c r="B1156" s="66"/>
      <c r="C1156" s="66"/>
      <c r="D1156" s="66"/>
      <c r="E1156" s="66"/>
      <c r="F1156" s="66"/>
      <c r="G1156" s="66"/>
      <c r="H1156" s="66"/>
      <c r="I1156" s="66"/>
      <c r="J1156" s="66"/>
      <c r="K1156" s="66"/>
      <c r="L1156" s="66"/>
      <c r="M1156" s="66"/>
      <c r="N1156" s="66"/>
      <c r="O1156" s="66"/>
      <c r="P1156" s="66"/>
      <c r="Q1156" s="66"/>
      <c r="R1156" s="66"/>
      <c r="S1156" s="66"/>
      <c r="T1156" s="66"/>
      <c r="U1156" s="66"/>
      <c r="V1156" s="66"/>
      <c r="W1156" s="66"/>
      <c r="X1156" s="66"/>
      <c r="Y1156" s="66"/>
      <c r="Z1156" s="66"/>
      <c r="AA1156" s="66"/>
      <c r="AB1156" s="66"/>
      <c r="AC1156" s="66"/>
    </row>
    <row r="1157" spans="1:29" ht="15.5">
      <c r="A1157" s="66"/>
      <c r="B1157" s="66"/>
      <c r="C1157" s="66"/>
      <c r="D1157" s="66"/>
      <c r="E1157" s="66"/>
      <c r="F1157" s="66"/>
      <c r="G1157" s="66"/>
      <c r="H1157" s="66"/>
      <c r="I1157" s="66"/>
      <c r="J1157" s="66"/>
      <c r="K1157" s="66"/>
      <c r="L1157" s="66"/>
      <c r="M1157" s="66"/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  <c r="X1157" s="66"/>
      <c r="Y1157" s="66"/>
      <c r="Z1157" s="66"/>
      <c r="AA1157" s="66"/>
      <c r="AB1157" s="66"/>
      <c r="AC1157" s="66"/>
    </row>
    <row r="1158" spans="1:29" ht="15.5">
      <c r="A1158" s="66"/>
      <c r="B1158" s="66"/>
      <c r="C1158" s="66"/>
      <c r="D1158" s="66"/>
      <c r="E1158" s="66"/>
      <c r="F1158" s="66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  <c r="X1158" s="66"/>
      <c r="Y1158" s="66"/>
      <c r="Z1158" s="66"/>
      <c r="AA1158" s="66"/>
      <c r="AB1158" s="66"/>
      <c r="AC1158" s="66"/>
    </row>
    <row r="1159" spans="1:29" ht="15.5">
      <c r="A1159" s="66"/>
      <c r="B1159" s="66"/>
      <c r="C1159" s="66"/>
      <c r="D1159" s="66"/>
      <c r="E1159" s="66"/>
      <c r="F1159" s="66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  <c r="X1159" s="66"/>
      <c r="Y1159" s="66"/>
      <c r="Z1159" s="66"/>
      <c r="AA1159" s="66"/>
      <c r="AB1159" s="66"/>
      <c r="AC1159" s="66"/>
    </row>
    <row r="1160" spans="1:29" ht="15.5">
      <c r="A1160" s="66"/>
      <c r="B1160" s="66"/>
      <c r="C1160" s="66"/>
      <c r="D1160" s="66"/>
      <c r="E1160" s="66"/>
      <c r="F1160" s="66"/>
      <c r="G1160" s="66"/>
      <c r="H1160" s="66"/>
      <c r="I1160" s="66"/>
      <c r="J1160" s="66"/>
      <c r="K1160" s="66"/>
      <c r="L1160" s="66"/>
      <c r="M1160" s="66"/>
      <c r="N1160" s="66"/>
      <c r="O1160" s="66"/>
      <c r="P1160" s="66"/>
      <c r="Q1160" s="66"/>
      <c r="R1160" s="66"/>
      <c r="S1160" s="66"/>
      <c r="T1160" s="66"/>
      <c r="U1160" s="66"/>
      <c r="V1160" s="66"/>
      <c r="W1160" s="66"/>
      <c r="X1160" s="66"/>
      <c r="Y1160" s="66"/>
      <c r="Z1160" s="66"/>
      <c r="AA1160" s="66"/>
      <c r="AB1160" s="66"/>
      <c r="AC1160" s="66"/>
    </row>
    <row r="1161" spans="1:29" ht="15.5">
      <c r="A1161" s="66"/>
      <c r="B1161" s="66"/>
      <c r="C1161" s="66"/>
      <c r="D1161" s="66"/>
      <c r="E1161" s="66"/>
      <c r="F1161" s="66"/>
      <c r="G1161" s="66"/>
      <c r="H1161" s="66"/>
      <c r="I1161" s="66"/>
      <c r="J1161" s="66"/>
      <c r="K1161" s="66"/>
      <c r="L1161" s="66"/>
      <c r="M1161" s="66"/>
      <c r="N1161" s="66"/>
      <c r="O1161" s="66"/>
      <c r="P1161" s="66"/>
      <c r="Q1161" s="66"/>
      <c r="R1161" s="66"/>
      <c r="S1161" s="66"/>
      <c r="T1161" s="66"/>
      <c r="U1161" s="66"/>
      <c r="V1161" s="66"/>
      <c r="W1161" s="66"/>
      <c r="X1161" s="66"/>
      <c r="Y1161" s="66"/>
      <c r="Z1161" s="66"/>
      <c r="AA1161" s="66"/>
      <c r="AB1161" s="66"/>
      <c r="AC1161" s="66"/>
    </row>
    <row r="1162" spans="1:29" ht="15.5">
      <c r="A1162" s="66"/>
      <c r="B1162" s="66"/>
      <c r="C1162" s="66"/>
      <c r="D1162" s="66"/>
      <c r="E1162" s="66"/>
      <c r="F1162" s="66"/>
      <c r="G1162" s="66"/>
      <c r="H1162" s="66"/>
      <c r="I1162" s="66"/>
      <c r="J1162" s="66"/>
      <c r="K1162" s="66"/>
      <c r="L1162" s="66"/>
      <c r="M1162" s="66"/>
      <c r="N1162" s="66"/>
      <c r="O1162" s="66"/>
      <c r="P1162" s="66"/>
      <c r="Q1162" s="66"/>
      <c r="R1162" s="66"/>
      <c r="S1162" s="66"/>
      <c r="T1162" s="66"/>
      <c r="U1162" s="66"/>
      <c r="V1162" s="66"/>
      <c r="W1162" s="66"/>
      <c r="X1162" s="66"/>
      <c r="Y1162" s="66"/>
      <c r="Z1162" s="66"/>
      <c r="AA1162" s="66"/>
      <c r="AB1162" s="66"/>
      <c r="AC1162" s="66"/>
    </row>
    <row r="1163" spans="1:29" ht="15.5">
      <c r="A1163" s="66"/>
      <c r="B1163" s="66"/>
      <c r="C1163" s="66"/>
      <c r="D1163" s="66"/>
      <c r="E1163" s="66"/>
      <c r="F1163" s="66"/>
      <c r="G1163" s="66"/>
      <c r="H1163" s="66"/>
      <c r="I1163" s="66"/>
      <c r="J1163" s="66"/>
      <c r="K1163" s="66"/>
      <c r="L1163" s="66"/>
      <c r="M1163" s="66"/>
      <c r="N1163" s="66"/>
      <c r="O1163" s="66"/>
      <c r="P1163" s="66"/>
      <c r="Q1163" s="66"/>
      <c r="R1163" s="66"/>
      <c r="S1163" s="66"/>
      <c r="T1163" s="66"/>
      <c r="U1163" s="66"/>
      <c r="V1163" s="66"/>
      <c r="W1163" s="66"/>
      <c r="X1163" s="66"/>
      <c r="Y1163" s="66"/>
      <c r="Z1163" s="66"/>
      <c r="AA1163" s="66"/>
      <c r="AB1163" s="66"/>
      <c r="AC1163" s="66"/>
    </row>
    <row r="1164" spans="1:29" ht="15.5">
      <c r="A1164" s="66"/>
      <c r="B1164" s="66"/>
      <c r="C1164" s="66"/>
      <c r="D1164" s="66"/>
      <c r="E1164" s="66"/>
      <c r="F1164" s="66"/>
      <c r="G1164" s="66"/>
      <c r="H1164" s="66"/>
      <c r="I1164" s="66"/>
      <c r="J1164" s="66"/>
      <c r="K1164" s="66"/>
      <c r="L1164" s="66"/>
      <c r="M1164" s="66"/>
      <c r="N1164" s="66"/>
      <c r="O1164" s="66"/>
      <c r="P1164" s="66"/>
      <c r="Q1164" s="66"/>
      <c r="R1164" s="66"/>
      <c r="S1164" s="66"/>
      <c r="T1164" s="66"/>
      <c r="U1164" s="66"/>
      <c r="V1164" s="66"/>
      <c r="W1164" s="66"/>
      <c r="X1164" s="66"/>
      <c r="Y1164" s="66"/>
      <c r="Z1164" s="66"/>
      <c r="AA1164" s="66"/>
      <c r="AB1164" s="66"/>
      <c r="AC1164" s="66"/>
    </row>
    <row r="1165" spans="1:29" ht="15.5">
      <c r="A1165" s="66"/>
      <c r="B1165" s="66"/>
      <c r="C1165" s="66"/>
      <c r="D1165" s="66"/>
      <c r="E1165" s="66"/>
      <c r="F1165" s="66"/>
      <c r="G1165" s="66"/>
      <c r="H1165" s="66"/>
      <c r="I1165" s="66"/>
      <c r="J1165" s="66"/>
      <c r="K1165" s="66"/>
      <c r="L1165" s="66"/>
      <c r="M1165" s="66"/>
      <c r="N1165" s="66"/>
      <c r="O1165" s="66"/>
      <c r="P1165" s="66"/>
      <c r="Q1165" s="66"/>
      <c r="R1165" s="66"/>
      <c r="S1165" s="66"/>
      <c r="T1165" s="66"/>
      <c r="U1165" s="66"/>
      <c r="V1165" s="66"/>
      <c r="W1165" s="66"/>
      <c r="X1165" s="66"/>
      <c r="Y1165" s="66"/>
      <c r="Z1165" s="66"/>
      <c r="AA1165" s="66"/>
      <c r="AB1165" s="66"/>
      <c r="AC1165" s="66"/>
    </row>
    <row r="1166" spans="1:29" ht="15.5">
      <c r="A1166" s="66"/>
      <c r="B1166" s="66"/>
      <c r="C1166" s="66"/>
      <c r="D1166" s="66"/>
      <c r="E1166" s="66"/>
      <c r="F1166" s="66"/>
      <c r="G1166" s="66"/>
      <c r="H1166" s="66"/>
      <c r="I1166" s="66"/>
      <c r="J1166" s="66"/>
      <c r="K1166" s="66"/>
      <c r="L1166" s="66"/>
      <c r="M1166" s="66"/>
      <c r="N1166" s="66"/>
      <c r="O1166" s="66"/>
      <c r="P1166" s="66"/>
      <c r="Q1166" s="66"/>
      <c r="R1166" s="66"/>
      <c r="S1166" s="66"/>
      <c r="T1166" s="66"/>
      <c r="U1166" s="66"/>
      <c r="V1166" s="66"/>
      <c r="W1166" s="66"/>
      <c r="X1166" s="66"/>
      <c r="Y1166" s="66"/>
      <c r="Z1166" s="66"/>
      <c r="AA1166" s="66"/>
      <c r="AB1166" s="66"/>
      <c r="AC1166" s="66"/>
    </row>
    <row r="1167" spans="1:29" ht="15.5">
      <c r="A1167" s="66"/>
      <c r="B1167" s="66"/>
      <c r="C1167" s="66"/>
      <c r="D1167" s="66"/>
      <c r="E1167" s="66"/>
      <c r="F1167" s="66"/>
      <c r="G1167" s="66"/>
      <c r="H1167" s="66"/>
      <c r="I1167" s="66"/>
      <c r="J1167" s="66"/>
      <c r="K1167" s="66"/>
      <c r="L1167" s="66"/>
      <c r="M1167" s="66"/>
      <c r="N1167" s="66"/>
      <c r="O1167" s="66"/>
      <c r="P1167" s="66"/>
      <c r="Q1167" s="66"/>
      <c r="R1167" s="66"/>
      <c r="S1167" s="66"/>
      <c r="T1167" s="66"/>
      <c r="U1167" s="66"/>
      <c r="V1167" s="66"/>
      <c r="W1167" s="66"/>
      <c r="X1167" s="66"/>
      <c r="Y1167" s="66"/>
      <c r="Z1167" s="66"/>
      <c r="AA1167" s="66"/>
      <c r="AB1167" s="66"/>
      <c r="AC1167" s="66"/>
    </row>
    <row r="1168" spans="1:29" ht="15.5">
      <c r="A1168" s="66"/>
      <c r="B1168" s="66"/>
      <c r="C1168" s="66"/>
      <c r="D1168" s="66"/>
      <c r="E1168" s="66"/>
      <c r="F1168" s="66"/>
      <c r="G1168" s="66"/>
      <c r="H1168" s="66"/>
      <c r="I1168" s="66"/>
      <c r="J1168" s="66"/>
      <c r="K1168" s="66"/>
      <c r="L1168" s="66"/>
      <c r="M1168" s="66"/>
      <c r="N1168" s="66"/>
      <c r="O1168" s="66"/>
      <c r="P1168" s="66"/>
      <c r="Q1168" s="66"/>
      <c r="R1168" s="66"/>
      <c r="S1168" s="66"/>
      <c r="T1168" s="66"/>
      <c r="U1168" s="66"/>
      <c r="V1168" s="66"/>
      <c r="W1168" s="66"/>
      <c r="X1168" s="66"/>
      <c r="Y1168" s="66"/>
      <c r="Z1168" s="66"/>
      <c r="AA1168" s="66"/>
      <c r="AB1168" s="66"/>
      <c r="AC1168" s="66"/>
    </row>
    <row r="1169" spans="1:29" ht="15.5">
      <c r="A1169" s="66"/>
      <c r="B1169" s="66"/>
      <c r="C1169" s="66"/>
      <c r="D1169" s="66"/>
      <c r="E1169" s="66"/>
      <c r="F1169" s="66"/>
      <c r="G1169" s="66"/>
      <c r="H1169" s="66"/>
      <c r="I1169" s="66"/>
      <c r="J1169" s="66"/>
      <c r="K1169" s="66"/>
      <c r="L1169" s="66"/>
      <c r="M1169" s="66"/>
      <c r="N1169" s="66"/>
      <c r="O1169" s="66"/>
      <c r="P1169" s="66"/>
      <c r="Q1169" s="66"/>
      <c r="R1169" s="66"/>
      <c r="S1169" s="66"/>
      <c r="T1169" s="66"/>
      <c r="U1169" s="66"/>
      <c r="V1169" s="66"/>
      <c r="W1169" s="66"/>
      <c r="X1169" s="66"/>
      <c r="Y1169" s="66"/>
      <c r="Z1169" s="66"/>
      <c r="AA1169" s="66"/>
      <c r="AB1169" s="66"/>
      <c r="AC1169" s="66"/>
    </row>
    <row r="1170" spans="1:29" ht="15.5">
      <c r="A1170" s="66"/>
      <c r="B1170" s="66"/>
      <c r="C1170" s="66"/>
      <c r="D1170" s="66"/>
      <c r="E1170" s="66"/>
      <c r="F1170" s="66"/>
      <c r="G1170" s="66"/>
      <c r="H1170" s="66"/>
      <c r="I1170" s="66"/>
      <c r="J1170" s="66"/>
      <c r="K1170" s="66"/>
      <c r="L1170" s="66"/>
      <c r="M1170" s="66"/>
      <c r="N1170" s="66"/>
      <c r="O1170" s="66"/>
      <c r="P1170" s="66"/>
      <c r="Q1170" s="66"/>
      <c r="R1170" s="66"/>
      <c r="S1170" s="66"/>
      <c r="T1170" s="66"/>
      <c r="U1170" s="66"/>
      <c r="V1170" s="66"/>
      <c r="W1170" s="66"/>
      <c r="X1170" s="66"/>
      <c r="Y1170" s="66"/>
      <c r="Z1170" s="66"/>
      <c r="AA1170" s="66"/>
      <c r="AB1170" s="66"/>
      <c r="AC1170" s="66"/>
    </row>
    <row r="1171" spans="1:29" ht="15.5">
      <c r="A1171" s="66"/>
      <c r="B1171" s="66"/>
      <c r="C1171" s="66"/>
      <c r="D1171" s="66"/>
      <c r="E1171" s="66"/>
      <c r="F1171" s="66"/>
      <c r="G1171" s="66"/>
      <c r="H1171" s="66"/>
      <c r="I1171" s="66"/>
      <c r="J1171" s="66"/>
      <c r="K1171" s="66"/>
      <c r="L1171" s="66"/>
      <c r="M1171" s="66"/>
      <c r="N1171" s="66"/>
      <c r="O1171" s="66"/>
      <c r="P1171" s="66"/>
      <c r="Q1171" s="66"/>
      <c r="R1171" s="66"/>
      <c r="S1171" s="66"/>
      <c r="T1171" s="66"/>
      <c r="U1171" s="66"/>
      <c r="V1171" s="66"/>
      <c r="W1171" s="66"/>
      <c r="X1171" s="66"/>
      <c r="Y1171" s="66"/>
      <c r="Z1171" s="66"/>
      <c r="AA1171" s="66"/>
      <c r="AB1171" s="66"/>
      <c r="AC1171" s="66"/>
    </row>
    <row r="1172" spans="1:29" ht="15.5">
      <c r="A1172" s="66"/>
      <c r="B1172" s="66"/>
      <c r="C1172" s="66"/>
      <c r="D1172" s="66"/>
      <c r="E1172" s="66"/>
      <c r="F1172" s="66"/>
      <c r="G1172" s="66"/>
      <c r="H1172" s="66"/>
      <c r="I1172" s="66"/>
      <c r="J1172" s="66"/>
      <c r="K1172" s="66"/>
      <c r="L1172" s="66"/>
      <c r="M1172" s="66"/>
      <c r="N1172" s="66"/>
      <c r="O1172" s="66"/>
      <c r="P1172" s="66"/>
      <c r="Q1172" s="66"/>
      <c r="R1172" s="66"/>
      <c r="S1172" s="66"/>
      <c r="T1172" s="66"/>
      <c r="U1172" s="66"/>
      <c r="V1172" s="66"/>
      <c r="W1172" s="66"/>
      <c r="X1172" s="66"/>
      <c r="Y1172" s="66"/>
      <c r="Z1172" s="66"/>
      <c r="AA1172" s="66"/>
      <c r="AB1172" s="66"/>
      <c r="AC1172" s="66"/>
    </row>
    <row r="1173" spans="1:29" ht="15.5">
      <c r="A1173" s="66"/>
      <c r="B1173" s="66"/>
      <c r="C1173" s="66"/>
      <c r="D1173" s="66"/>
      <c r="E1173" s="66"/>
      <c r="F1173" s="66"/>
      <c r="G1173" s="66"/>
      <c r="H1173" s="66"/>
      <c r="I1173" s="66"/>
      <c r="J1173" s="66"/>
      <c r="K1173" s="66"/>
      <c r="L1173" s="66"/>
      <c r="M1173" s="66"/>
      <c r="N1173" s="66"/>
      <c r="O1173" s="66"/>
      <c r="P1173" s="66"/>
      <c r="Q1173" s="66"/>
      <c r="R1173" s="66"/>
      <c r="S1173" s="66"/>
      <c r="T1173" s="66"/>
      <c r="U1173" s="66"/>
      <c r="V1173" s="66"/>
      <c r="W1173" s="66"/>
      <c r="X1173" s="66"/>
      <c r="Y1173" s="66"/>
      <c r="Z1173" s="66"/>
      <c r="AA1173" s="66"/>
      <c r="AB1173" s="66"/>
      <c r="AC1173" s="66"/>
    </row>
    <row r="1174" spans="1:29" ht="15.5">
      <c r="A1174" s="66"/>
      <c r="B1174" s="66"/>
      <c r="C1174" s="66"/>
      <c r="D1174" s="66"/>
      <c r="E1174" s="66"/>
      <c r="F1174" s="66"/>
      <c r="G1174" s="66"/>
      <c r="H1174" s="66"/>
      <c r="I1174" s="66"/>
      <c r="J1174" s="66"/>
      <c r="K1174" s="66"/>
      <c r="L1174" s="66"/>
      <c r="M1174" s="66"/>
      <c r="N1174" s="66"/>
      <c r="O1174" s="66"/>
      <c r="P1174" s="66"/>
      <c r="Q1174" s="66"/>
      <c r="R1174" s="66"/>
      <c r="S1174" s="66"/>
      <c r="T1174" s="66"/>
      <c r="U1174" s="66"/>
      <c r="V1174" s="66"/>
      <c r="W1174" s="66"/>
      <c r="X1174" s="66"/>
      <c r="Y1174" s="66"/>
      <c r="Z1174" s="66"/>
      <c r="AA1174" s="66"/>
      <c r="AB1174" s="66"/>
      <c r="AC1174" s="66"/>
    </row>
    <row r="1175" spans="1:29" ht="15.5">
      <c r="A1175" s="66"/>
      <c r="B1175" s="66"/>
      <c r="C1175" s="66"/>
      <c r="D1175" s="66"/>
      <c r="E1175" s="66"/>
      <c r="F1175" s="66"/>
      <c r="G1175" s="66"/>
      <c r="H1175" s="66"/>
      <c r="I1175" s="66"/>
      <c r="J1175" s="66"/>
      <c r="K1175" s="66"/>
      <c r="L1175" s="66"/>
      <c r="M1175" s="66"/>
      <c r="N1175" s="66"/>
      <c r="O1175" s="66"/>
      <c r="P1175" s="66"/>
      <c r="Q1175" s="66"/>
      <c r="R1175" s="66"/>
      <c r="S1175" s="66"/>
      <c r="T1175" s="66"/>
      <c r="U1175" s="66"/>
      <c r="V1175" s="66"/>
      <c r="W1175" s="66"/>
      <c r="X1175" s="66"/>
      <c r="Y1175" s="66"/>
      <c r="Z1175" s="66"/>
      <c r="AA1175" s="66"/>
      <c r="AB1175" s="66"/>
      <c r="AC1175" s="66"/>
    </row>
    <row r="1176" spans="1:29" ht="15.5">
      <c r="A1176" s="66"/>
      <c r="B1176" s="66"/>
      <c r="C1176" s="66"/>
      <c r="D1176" s="66"/>
      <c r="E1176" s="66"/>
      <c r="F1176" s="66"/>
      <c r="G1176" s="66"/>
      <c r="H1176" s="66"/>
      <c r="I1176" s="66"/>
      <c r="J1176" s="66"/>
      <c r="K1176" s="66"/>
      <c r="L1176" s="66"/>
      <c r="M1176" s="66"/>
      <c r="N1176" s="66"/>
      <c r="O1176" s="66"/>
      <c r="P1176" s="66"/>
      <c r="Q1176" s="66"/>
      <c r="R1176" s="66"/>
      <c r="S1176" s="66"/>
      <c r="T1176" s="66"/>
      <c r="U1176" s="66"/>
      <c r="V1176" s="66"/>
      <c r="W1176" s="66"/>
      <c r="X1176" s="66"/>
      <c r="Y1176" s="66"/>
      <c r="Z1176" s="66"/>
      <c r="AA1176" s="66"/>
      <c r="AB1176" s="66"/>
      <c r="AC1176" s="66"/>
    </row>
    <row r="1177" spans="1:29" ht="15.5">
      <c r="A1177" s="66"/>
      <c r="B1177" s="66"/>
      <c r="C1177" s="66"/>
      <c r="D1177" s="66"/>
      <c r="E1177" s="66"/>
      <c r="F1177" s="66"/>
      <c r="G1177" s="66"/>
      <c r="H1177" s="66"/>
      <c r="I1177" s="66"/>
      <c r="J1177" s="66"/>
      <c r="K1177" s="66"/>
      <c r="L1177" s="66"/>
      <c r="M1177" s="66"/>
      <c r="N1177" s="66"/>
      <c r="O1177" s="66"/>
      <c r="P1177" s="66"/>
      <c r="Q1177" s="66"/>
      <c r="R1177" s="66"/>
      <c r="S1177" s="66"/>
      <c r="T1177" s="66"/>
      <c r="U1177" s="66"/>
      <c r="V1177" s="66"/>
      <c r="W1177" s="66"/>
      <c r="X1177" s="66"/>
      <c r="Y1177" s="66"/>
      <c r="Z1177" s="66"/>
      <c r="AA1177" s="66"/>
      <c r="AB1177" s="66"/>
      <c r="AC1177" s="66"/>
    </row>
    <row r="1178" spans="1:29" ht="15.5">
      <c r="A1178" s="66"/>
      <c r="B1178" s="66"/>
      <c r="C1178" s="66"/>
      <c r="D1178" s="66"/>
      <c r="E1178" s="66"/>
      <c r="F1178" s="66"/>
      <c r="G1178" s="66"/>
      <c r="H1178" s="66"/>
      <c r="I1178" s="66"/>
      <c r="J1178" s="66"/>
      <c r="K1178" s="66"/>
      <c r="L1178" s="66"/>
      <c r="M1178" s="66"/>
      <c r="N1178" s="66"/>
      <c r="O1178" s="66"/>
      <c r="P1178" s="66"/>
      <c r="Q1178" s="66"/>
      <c r="R1178" s="66"/>
      <c r="S1178" s="66"/>
      <c r="T1178" s="66"/>
      <c r="U1178" s="66"/>
      <c r="V1178" s="66"/>
      <c r="W1178" s="66"/>
      <c r="X1178" s="66"/>
      <c r="Y1178" s="66"/>
      <c r="Z1178" s="66"/>
      <c r="AA1178" s="66"/>
      <c r="AB1178" s="66"/>
      <c r="AC1178" s="66"/>
    </row>
    <row r="1179" spans="1:29" ht="15.5">
      <c r="A1179" s="66"/>
      <c r="B1179" s="66"/>
      <c r="C1179" s="66"/>
      <c r="D1179" s="66"/>
      <c r="E1179" s="66"/>
      <c r="F1179" s="66"/>
      <c r="G1179" s="66"/>
      <c r="H1179" s="66"/>
      <c r="I1179" s="66"/>
      <c r="J1179" s="66"/>
      <c r="K1179" s="66"/>
      <c r="L1179" s="66"/>
      <c r="M1179" s="66"/>
      <c r="N1179" s="66"/>
      <c r="O1179" s="66"/>
      <c r="P1179" s="66"/>
      <c r="Q1179" s="66"/>
      <c r="R1179" s="66"/>
      <c r="S1179" s="66"/>
      <c r="T1179" s="66"/>
      <c r="U1179" s="66"/>
      <c r="V1179" s="66"/>
      <c r="W1179" s="66"/>
      <c r="X1179" s="66"/>
      <c r="Y1179" s="66"/>
      <c r="Z1179" s="66"/>
      <c r="AA1179" s="66"/>
      <c r="AB1179" s="66"/>
      <c r="AC1179" s="66"/>
    </row>
    <row r="1180" spans="1:29" ht="15.5">
      <c r="A1180" s="66"/>
      <c r="B1180" s="66"/>
      <c r="C1180" s="66"/>
      <c r="D1180" s="66"/>
      <c r="E1180" s="66"/>
      <c r="F1180" s="66"/>
      <c r="G1180" s="66"/>
      <c r="H1180" s="66"/>
      <c r="I1180" s="66"/>
      <c r="J1180" s="66"/>
      <c r="K1180" s="66"/>
      <c r="L1180" s="66"/>
      <c r="M1180" s="66"/>
      <c r="N1180" s="66"/>
      <c r="O1180" s="66"/>
      <c r="P1180" s="66"/>
      <c r="Q1180" s="66"/>
      <c r="R1180" s="66"/>
      <c r="S1180" s="66"/>
      <c r="T1180" s="66"/>
      <c r="U1180" s="66"/>
      <c r="V1180" s="66"/>
      <c r="W1180" s="66"/>
      <c r="X1180" s="66"/>
      <c r="Y1180" s="66"/>
      <c r="Z1180" s="66"/>
      <c r="AA1180" s="66"/>
      <c r="AB1180" s="66"/>
      <c r="AC1180" s="66"/>
    </row>
    <row r="1181" spans="1:29" ht="15.5">
      <c r="A1181" s="66"/>
      <c r="B1181" s="66"/>
      <c r="C1181" s="66"/>
      <c r="D1181" s="66"/>
      <c r="E1181" s="66"/>
      <c r="F1181" s="66"/>
      <c r="G1181" s="66"/>
      <c r="H1181" s="66"/>
      <c r="I1181" s="66"/>
      <c r="J1181" s="66"/>
      <c r="K1181" s="66"/>
      <c r="L1181" s="66"/>
      <c r="M1181" s="66"/>
      <c r="N1181" s="66"/>
      <c r="O1181" s="66"/>
      <c r="P1181" s="66"/>
      <c r="Q1181" s="66"/>
      <c r="R1181" s="66"/>
      <c r="S1181" s="66"/>
      <c r="T1181" s="66"/>
      <c r="U1181" s="66"/>
      <c r="V1181" s="66"/>
      <c r="W1181" s="66"/>
      <c r="X1181" s="66"/>
      <c r="Y1181" s="66"/>
      <c r="Z1181" s="66"/>
      <c r="AA1181" s="66"/>
      <c r="AB1181" s="66"/>
      <c r="AC1181" s="66"/>
    </row>
    <row r="1182" spans="1:29" ht="15.5">
      <c r="A1182" s="66"/>
      <c r="B1182" s="66"/>
      <c r="C1182" s="66"/>
      <c r="D1182" s="66"/>
      <c r="E1182" s="66"/>
      <c r="F1182" s="66"/>
      <c r="G1182" s="66"/>
      <c r="H1182" s="66"/>
      <c r="I1182" s="66"/>
      <c r="J1182" s="66"/>
      <c r="K1182" s="66"/>
      <c r="L1182" s="66"/>
      <c r="M1182" s="66"/>
      <c r="N1182" s="66"/>
      <c r="O1182" s="66"/>
      <c r="P1182" s="66"/>
      <c r="Q1182" s="66"/>
      <c r="R1182" s="66"/>
      <c r="S1182" s="66"/>
      <c r="T1182" s="66"/>
      <c r="U1182" s="66"/>
      <c r="V1182" s="66"/>
      <c r="W1182" s="66"/>
      <c r="X1182" s="66"/>
      <c r="Y1182" s="66"/>
      <c r="Z1182" s="66"/>
      <c r="AA1182" s="66"/>
      <c r="AB1182" s="66"/>
      <c r="AC1182" s="66"/>
    </row>
    <row r="1183" spans="1:29" ht="15.5">
      <c r="A1183" s="66"/>
      <c r="B1183" s="66"/>
      <c r="C1183" s="66"/>
      <c r="D1183" s="66"/>
      <c r="E1183" s="66"/>
      <c r="F1183" s="66"/>
      <c r="G1183" s="66"/>
      <c r="H1183" s="66"/>
      <c r="I1183" s="66"/>
      <c r="J1183" s="66"/>
      <c r="K1183" s="66"/>
      <c r="L1183" s="66"/>
      <c r="M1183" s="66"/>
      <c r="N1183" s="66"/>
      <c r="O1183" s="66"/>
      <c r="P1183" s="66"/>
      <c r="Q1183" s="66"/>
      <c r="R1183" s="66"/>
      <c r="S1183" s="66"/>
      <c r="T1183" s="66"/>
      <c r="U1183" s="66"/>
      <c r="V1183" s="66"/>
      <c r="W1183" s="66"/>
      <c r="X1183" s="66"/>
      <c r="Y1183" s="66"/>
      <c r="Z1183" s="66"/>
      <c r="AA1183" s="66"/>
      <c r="AB1183" s="66"/>
      <c r="AC1183" s="66"/>
    </row>
    <row r="1184" spans="1:29" ht="15.5">
      <c r="A1184" s="66"/>
      <c r="B1184" s="66"/>
      <c r="C1184" s="66"/>
      <c r="D1184" s="66"/>
      <c r="E1184" s="66"/>
      <c r="F1184" s="66"/>
      <c r="G1184" s="66"/>
      <c r="H1184" s="66"/>
      <c r="I1184" s="66"/>
      <c r="J1184" s="66"/>
      <c r="K1184" s="66"/>
      <c r="L1184" s="66"/>
      <c r="M1184" s="66"/>
      <c r="N1184" s="66"/>
      <c r="O1184" s="66"/>
      <c r="P1184" s="66"/>
      <c r="Q1184" s="66"/>
      <c r="R1184" s="66"/>
      <c r="S1184" s="66"/>
      <c r="T1184" s="66"/>
      <c r="U1184" s="66"/>
      <c r="V1184" s="66"/>
      <c r="W1184" s="66"/>
      <c r="X1184" s="66"/>
      <c r="Y1184" s="66"/>
      <c r="Z1184" s="66"/>
      <c r="AA1184" s="66"/>
      <c r="AB1184" s="66"/>
      <c r="AC1184" s="66"/>
    </row>
    <row r="1185" spans="1:29" ht="15.5">
      <c r="A1185" s="66"/>
      <c r="B1185" s="66"/>
      <c r="C1185" s="66"/>
      <c r="D1185" s="66"/>
      <c r="E1185" s="66"/>
      <c r="F1185" s="66"/>
      <c r="G1185" s="66"/>
      <c r="H1185" s="66"/>
      <c r="I1185" s="66"/>
      <c r="J1185" s="66"/>
      <c r="K1185" s="66"/>
      <c r="L1185" s="66"/>
      <c r="M1185" s="66"/>
      <c r="N1185" s="66"/>
      <c r="O1185" s="66"/>
      <c r="P1185" s="66"/>
      <c r="Q1185" s="66"/>
      <c r="R1185" s="66"/>
      <c r="S1185" s="66"/>
      <c r="T1185" s="66"/>
      <c r="U1185" s="66"/>
      <c r="V1185" s="66"/>
      <c r="W1185" s="66"/>
      <c r="X1185" s="66"/>
      <c r="Y1185" s="66"/>
      <c r="Z1185" s="66"/>
      <c r="AA1185" s="66"/>
      <c r="AB1185" s="66"/>
      <c r="AC1185" s="66"/>
    </row>
    <row r="1186" spans="1:29" ht="15.5">
      <c r="A1186" s="66"/>
      <c r="B1186" s="66"/>
      <c r="C1186" s="66"/>
      <c r="D1186" s="66"/>
      <c r="E1186" s="66"/>
      <c r="F1186" s="66"/>
      <c r="G1186" s="66"/>
      <c r="H1186" s="66"/>
      <c r="I1186" s="66"/>
      <c r="J1186" s="66"/>
      <c r="K1186" s="66"/>
      <c r="L1186" s="66"/>
      <c r="M1186" s="66"/>
      <c r="N1186" s="66"/>
      <c r="O1186" s="66"/>
      <c r="P1186" s="66"/>
      <c r="Q1186" s="66"/>
      <c r="R1186" s="66"/>
      <c r="S1186" s="66"/>
      <c r="T1186" s="66"/>
      <c r="U1186" s="66"/>
      <c r="V1186" s="66"/>
      <c r="W1186" s="66"/>
      <c r="X1186" s="66"/>
      <c r="Y1186" s="66"/>
      <c r="Z1186" s="66"/>
      <c r="AA1186" s="66"/>
      <c r="AB1186" s="66"/>
      <c r="AC1186" s="66"/>
    </row>
    <row r="1187" spans="1:29" ht="15.5">
      <c r="A1187" s="66"/>
      <c r="B1187" s="66"/>
      <c r="C1187" s="66"/>
      <c r="D1187" s="66"/>
      <c r="E1187" s="66"/>
      <c r="F1187" s="66"/>
      <c r="G1187" s="66"/>
      <c r="H1187" s="66"/>
      <c r="I1187" s="66"/>
      <c r="J1187" s="66"/>
      <c r="K1187" s="66"/>
      <c r="L1187" s="66"/>
      <c r="M1187" s="66"/>
      <c r="N1187" s="66"/>
      <c r="O1187" s="66"/>
      <c r="P1187" s="66"/>
      <c r="Q1187" s="66"/>
      <c r="R1187" s="66"/>
      <c r="S1187" s="66"/>
      <c r="T1187" s="66"/>
      <c r="U1187" s="66"/>
      <c r="V1187" s="66"/>
      <c r="W1187" s="66"/>
      <c r="X1187" s="66"/>
      <c r="Y1187" s="66"/>
      <c r="Z1187" s="66"/>
      <c r="AA1187" s="66"/>
      <c r="AB1187" s="66"/>
      <c r="AC1187" s="66"/>
    </row>
    <row r="1188" spans="1:29" ht="15.5">
      <c r="A1188" s="66"/>
      <c r="B1188" s="66"/>
      <c r="C1188" s="66"/>
      <c r="D1188" s="66"/>
      <c r="E1188" s="66"/>
      <c r="F1188" s="66"/>
      <c r="G1188" s="66"/>
      <c r="H1188" s="66"/>
      <c r="I1188" s="66"/>
      <c r="J1188" s="66"/>
      <c r="K1188" s="66"/>
      <c r="L1188" s="66"/>
      <c r="M1188" s="66"/>
      <c r="N1188" s="66"/>
      <c r="O1188" s="66"/>
      <c r="P1188" s="66"/>
      <c r="Q1188" s="66"/>
      <c r="R1188" s="66"/>
      <c r="S1188" s="66"/>
      <c r="T1188" s="66"/>
      <c r="U1188" s="66"/>
      <c r="V1188" s="66"/>
      <c r="W1188" s="66"/>
      <c r="X1188" s="66"/>
      <c r="Y1188" s="66"/>
      <c r="Z1188" s="66"/>
      <c r="AA1188" s="66"/>
      <c r="AB1188" s="66"/>
      <c r="AC1188" s="66"/>
    </row>
    <row r="1189" spans="1:29" ht="15.5">
      <c r="A1189" s="66"/>
      <c r="B1189" s="66"/>
      <c r="C1189" s="66"/>
      <c r="D1189" s="66"/>
      <c r="E1189" s="66"/>
      <c r="F1189" s="66"/>
      <c r="G1189" s="66"/>
      <c r="H1189" s="66"/>
      <c r="I1189" s="66"/>
      <c r="J1189" s="66"/>
      <c r="K1189" s="66"/>
      <c r="L1189" s="66"/>
      <c r="M1189" s="66"/>
      <c r="N1189" s="66"/>
      <c r="O1189" s="66"/>
      <c r="P1189" s="66"/>
      <c r="Q1189" s="66"/>
      <c r="R1189" s="66"/>
      <c r="S1189" s="66"/>
      <c r="T1189" s="66"/>
      <c r="U1189" s="66"/>
      <c r="V1189" s="66"/>
      <c r="W1189" s="66"/>
      <c r="X1189" s="66"/>
      <c r="Y1189" s="66"/>
      <c r="Z1189" s="66"/>
      <c r="AA1189" s="66"/>
      <c r="AB1189" s="66"/>
      <c r="AC1189" s="66"/>
    </row>
    <row r="1190" spans="1:29" ht="15.5">
      <c r="A1190" s="66"/>
      <c r="B1190" s="66"/>
      <c r="C1190" s="66"/>
      <c r="D1190" s="66"/>
      <c r="E1190" s="66"/>
      <c r="F1190" s="66"/>
      <c r="G1190" s="66"/>
      <c r="H1190" s="66"/>
      <c r="I1190" s="66"/>
      <c r="J1190" s="66"/>
      <c r="K1190" s="66"/>
      <c r="L1190" s="66"/>
      <c r="M1190" s="66"/>
      <c r="N1190" s="66"/>
      <c r="O1190" s="66"/>
      <c r="P1190" s="66"/>
      <c r="Q1190" s="66"/>
      <c r="R1190" s="66"/>
      <c r="S1190" s="66"/>
      <c r="T1190" s="66"/>
      <c r="U1190" s="66"/>
      <c r="V1190" s="66"/>
      <c r="W1190" s="66"/>
      <c r="X1190" s="66"/>
      <c r="Y1190" s="66"/>
      <c r="Z1190" s="66"/>
      <c r="AA1190" s="66"/>
      <c r="AB1190" s="66"/>
      <c r="AC1190" s="66"/>
    </row>
    <row r="1191" spans="1:29" ht="15.5">
      <c r="A1191" s="66"/>
      <c r="B1191" s="66"/>
      <c r="C1191" s="66"/>
      <c r="D1191" s="66"/>
      <c r="E1191" s="66"/>
      <c r="F1191" s="66"/>
      <c r="G1191" s="66"/>
      <c r="H1191" s="66"/>
      <c r="I1191" s="66"/>
      <c r="J1191" s="66"/>
      <c r="K1191" s="66"/>
      <c r="L1191" s="66"/>
      <c r="M1191" s="66"/>
      <c r="N1191" s="66"/>
      <c r="O1191" s="66"/>
      <c r="P1191" s="66"/>
      <c r="Q1191" s="66"/>
      <c r="R1191" s="66"/>
      <c r="S1191" s="66"/>
      <c r="T1191" s="66"/>
      <c r="U1191" s="66"/>
      <c r="V1191" s="66"/>
      <c r="W1191" s="66"/>
      <c r="X1191" s="66"/>
      <c r="Y1191" s="66"/>
      <c r="Z1191" s="66"/>
      <c r="AA1191" s="66"/>
      <c r="AB1191" s="66"/>
      <c r="AC1191" s="66"/>
    </row>
    <row r="1192" spans="1:29" ht="15.5">
      <c r="A1192" s="66"/>
      <c r="B1192" s="66"/>
      <c r="C1192" s="66"/>
      <c r="D1192" s="66"/>
      <c r="E1192" s="66"/>
      <c r="F1192" s="66"/>
      <c r="G1192" s="66"/>
      <c r="H1192" s="66"/>
      <c r="I1192" s="66"/>
      <c r="J1192" s="66"/>
      <c r="K1192" s="66"/>
      <c r="L1192" s="66"/>
      <c r="M1192" s="66"/>
      <c r="N1192" s="66"/>
      <c r="O1192" s="66"/>
      <c r="P1192" s="66"/>
      <c r="Q1192" s="66"/>
      <c r="R1192" s="66"/>
      <c r="S1192" s="66"/>
      <c r="T1192" s="66"/>
      <c r="U1192" s="66"/>
      <c r="V1192" s="66"/>
      <c r="W1192" s="66"/>
      <c r="X1192" s="66"/>
      <c r="Y1192" s="66"/>
      <c r="Z1192" s="66"/>
      <c r="AA1192" s="66"/>
      <c r="AB1192" s="66"/>
      <c r="AC1192" s="66"/>
    </row>
    <row r="1193" spans="1:29" ht="15.5">
      <c r="A1193" s="66"/>
      <c r="B1193" s="66"/>
      <c r="C1193" s="66"/>
      <c r="D1193" s="66"/>
      <c r="E1193" s="66"/>
      <c r="F1193" s="66"/>
      <c r="G1193" s="66"/>
      <c r="H1193" s="66"/>
      <c r="I1193" s="66"/>
      <c r="J1193" s="66"/>
      <c r="K1193" s="66"/>
      <c r="L1193" s="66"/>
      <c r="M1193" s="66"/>
      <c r="N1193" s="66"/>
      <c r="O1193" s="66"/>
      <c r="P1193" s="66"/>
      <c r="Q1193" s="66"/>
      <c r="R1193" s="66"/>
      <c r="S1193" s="66"/>
      <c r="T1193" s="66"/>
      <c r="U1193" s="66"/>
      <c r="V1193" s="66"/>
      <c r="W1193" s="66"/>
      <c r="X1193" s="66"/>
      <c r="Y1193" s="66"/>
      <c r="Z1193" s="66"/>
      <c r="AA1193" s="66"/>
      <c r="AB1193" s="66"/>
      <c r="AC1193" s="66"/>
    </row>
    <row r="1194" spans="1:29" ht="15.5">
      <c r="A1194" s="66"/>
      <c r="B1194" s="66"/>
      <c r="C1194" s="66"/>
      <c r="D1194" s="66"/>
      <c r="E1194" s="66"/>
      <c r="F1194" s="66"/>
      <c r="G1194" s="66"/>
      <c r="H1194" s="66"/>
      <c r="I1194" s="66"/>
      <c r="J1194" s="66"/>
      <c r="K1194" s="66"/>
      <c r="L1194" s="66"/>
      <c r="M1194" s="66"/>
      <c r="N1194" s="66"/>
      <c r="O1194" s="66"/>
      <c r="P1194" s="66"/>
      <c r="Q1194" s="66"/>
      <c r="R1194" s="66"/>
      <c r="S1194" s="66"/>
      <c r="T1194" s="66"/>
      <c r="U1194" s="66"/>
      <c r="V1194" s="66"/>
      <c r="W1194" s="66"/>
      <c r="X1194" s="66"/>
      <c r="Y1194" s="66"/>
      <c r="Z1194" s="66"/>
      <c r="AA1194" s="66"/>
      <c r="AB1194" s="66"/>
      <c r="AC1194" s="66"/>
    </row>
    <row r="1195" spans="1:29" ht="15.5">
      <c r="A1195" s="66"/>
      <c r="B1195" s="66"/>
      <c r="C1195" s="66"/>
      <c r="D1195" s="66"/>
      <c r="E1195" s="66"/>
      <c r="F1195" s="66"/>
      <c r="G1195" s="66"/>
      <c r="H1195" s="66"/>
      <c r="I1195" s="66"/>
      <c r="J1195" s="66"/>
      <c r="K1195" s="66"/>
      <c r="L1195" s="66"/>
      <c r="M1195" s="66"/>
      <c r="N1195" s="66"/>
      <c r="O1195" s="66"/>
      <c r="P1195" s="66"/>
      <c r="Q1195" s="66"/>
      <c r="R1195" s="66"/>
      <c r="S1195" s="66"/>
      <c r="T1195" s="66"/>
      <c r="U1195" s="66"/>
      <c r="V1195" s="66"/>
      <c r="W1195" s="66"/>
      <c r="X1195" s="66"/>
      <c r="Y1195" s="66"/>
      <c r="Z1195" s="66"/>
      <c r="AA1195" s="66"/>
      <c r="AB1195" s="66"/>
      <c r="AC1195" s="66"/>
    </row>
    <row r="1196" spans="1:29" ht="15.5">
      <c r="A1196" s="66"/>
      <c r="B1196" s="66"/>
      <c r="C1196" s="66"/>
      <c r="D1196" s="66"/>
      <c r="E1196" s="66"/>
      <c r="F1196" s="66"/>
      <c r="G1196" s="66"/>
      <c r="H1196" s="66"/>
      <c r="I1196" s="66"/>
      <c r="J1196" s="66"/>
      <c r="K1196" s="66"/>
      <c r="L1196" s="66"/>
      <c r="M1196" s="66"/>
      <c r="N1196" s="66"/>
      <c r="O1196" s="66"/>
      <c r="P1196" s="66"/>
      <c r="Q1196" s="66"/>
      <c r="R1196" s="66"/>
      <c r="S1196" s="66"/>
      <c r="T1196" s="66"/>
      <c r="U1196" s="66"/>
      <c r="V1196" s="66"/>
      <c r="W1196" s="66"/>
      <c r="X1196" s="66"/>
      <c r="Y1196" s="66"/>
      <c r="Z1196" s="66"/>
      <c r="AA1196" s="66"/>
      <c r="AB1196" s="66"/>
      <c r="AC1196" s="66"/>
    </row>
    <row r="1197" spans="1:29" ht="15.5">
      <c r="A1197" s="66"/>
      <c r="B1197" s="66"/>
      <c r="C1197" s="66"/>
      <c r="D1197" s="66"/>
      <c r="E1197" s="66"/>
      <c r="F1197" s="66"/>
      <c r="G1197" s="66"/>
      <c r="H1197" s="66"/>
      <c r="I1197" s="66"/>
      <c r="J1197" s="66"/>
      <c r="K1197" s="66"/>
      <c r="L1197" s="66"/>
      <c r="M1197" s="66"/>
      <c r="N1197" s="66"/>
      <c r="O1197" s="66"/>
      <c r="P1197" s="66"/>
      <c r="Q1197" s="66"/>
      <c r="R1197" s="66"/>
      <c r="S1197" s="66"/>
      <c r="T1197" s="66"/>
      <c r="U1197" s="66"/>
      <c r="V1197" s="66"/>
      <c r="W1197" s="66"/>
      <c r="X1197" s="66"/>
      <c r="Y1197" s="66"/>
      <c r="Z1197" s="66"/>
      <c r="AA1197" s="66"/>
      <c r="AB1197" s="66"/>
      <c r="AC1197" s="66"/>
    </row>
    <row r="1198" spans="1:29" ht="15.5">
      <c r="A1198" s="66"/>
      <c r="B1198" s="66"/>
      <c r="C1198" s="66"/>
      <c r="D1198" s="66"/>
      <c r="E1198" s="66"/>
      <c r="F1198" s="66"/>
      <c r="G1198" s="66"/>
      <c r="H1198" s="66"/>
      <c r="I1198" s="66"/>
      <c r="J1198" s="66"/>
      <c r="K1198" s="66"/>
      <c r="L1198" s="66"/>
      <c r="M1198" s="66"/>
      <c r="N1198" s="66"/>
      <c r="O1198" s="66"/>
      <c r="P1198" s="66"/>
      <c r="Q1198" s="66"/>
      <c r="R1198" s="66"/>
      <c r="S1198" s="66"/>
      <c r="T1198" s="66"/>
      <c r="U1198" s="66"/>
      <c r="V1198" s="66"/>
      <c r="W1198" s="66"/>
      <c r="X1198" s="66"/>
      <c r="Y1198" s="66"/>
      <c r="Z1198" s="66"/>
      <c r="AA1198" s="66"/>
      <c r="AB1198" s="66"/>
      <c r="AC1198" s="66"/>
    </row>
    <row r="1199" spans="1:29" ht="15.5">
      <c r="A1199" s="66"/>
      <c r="B1199" s="66"/>
      <c r="C1199" s="66"/>
      <c r="D1199" s="66"/>
      <c r="E1199" s="66"/>
      <c r="F1199" s="66"/>
      <c r="G1199" s="66"/>
      <c r="H1199" s="66"/>
      <c r="I1199" s="66"/>
      <c r="J1199" s="66"/>
      <c r="K1199" s="66"/>
      <c r="L1199" s="66"/>
      <c r="M1199" s="66"/>
      <c r="N1199" s="66"/>
      <c r="O1199" s="66"/>
      <c r="P1199" s="66"/>
      <c r="Q1199" s="66"/>
      <c r="R1199" s="66"/>
      <c r="S1199" s="66"/>
      <c r="T1199" s="66"/>
      <c r="U1199" s="66"/>
      <c r="V1199" s="66"/>
      <c r="W1199" s="66"/>
      <c r="X1199" s="66"/>
      <c r="Y1199" s="66"/>
      <c r="Z1199" s="66"/>
      <c r="AA1199" s="66"/>
      <c r="AB1199" s="66"/>
      <c r="AC1199" s="66"/>
    </row>
    <row r="1200" spans="1:29" ht="15.5">
      <c r="A1200" s="66"/>
      <c r="B1200" s="66"/>
      <c r="C1200" s="66"/>
      <c r="D1200" s="66"/>
      <c r="E1200" s="66"/>
      <c r="F1200" s="66"/>
      <c r="G1200" s="66"/>
      <c r="H1200" s="66"/>
      <c r="I1200" s="66"/>
      <c r="J1200" s="66"/>
      <c r="K1200" s="66"/>
      <c r="L1200" s="66"/>
      <c r="M1200" s="66"/>
      <c r="N1200" s="66"/>
      <c r="O1200" s="66"/>
      <c r="P1200" s="66"/>
      <c r="Q1200" s="66"/>
      <c r="R1200" s="66"/>
      <c r="S1200" s="66"/>
      <c r="T1200" s="66"/>
      <c r="U1200" s="66"/>
      <c r="V1200" s="66"/>
      <c r="W1200" s="66"/>
      <c r="X1200" s="66"/>
      <c r="Y1200" s="66"/>
      <c r="Z1200" s="66"/>
      <c r="AA1200" s="66"/>
      <c r="AB1200" s="66"/>
      <c r="AC1200" s="66"/>
    </row>
    <row r="1201" spans="1:29" ht="15.5">
      <c r="A1201" s="66"/>
      <c r="B1201" s="66"/>
      <c r="C1201" s="66"/>
      <c r="D1201" s="66"/>
      <c r="E1201" s="66"/>
      <c r="F1201" s="66"/>
      <c r="G1201" s="66"/>
      <c r="H1201" s="66"/>
      <c r="I1201" s="66"/>
      <c r="J1201" s="66"/>
      <c r="K1201" s="66"/>
      <c r="L1201" s="66"/>
      <c r="M1201" s="66"/>
      <c r="N1201" s="66"/>
      <c r="O1201" s="66"/>
      <c r="P1201" s="66"/>
      <c r="Q1201" s="66"/>
      <c r="R1201" s="66"/>
      <c r="S1201" s="66"/>
      <c r="T1201" s="66"/>
      <c r="U1201" s="66"/>
      <c r="V1201" s="66"/>
      <c r="W1201" s="66"/>
      <c r="X1201" s="66"/>
      <c r="Y1201" s="66"/>
      <c r="Z1201" s="66"/>
      <c r="AA1201" s="66"/>
      <c r="AB1201" s="66"/>
      <c r="AC1201" s="66"/>
    </row>
    <row r="1202" spans="1:29" ht="15.5">
      <c r="A1202" s="66"/>
      <c r="B1202" s="66"/>
      <c r="C1202" s="66"/>
      <c r="D1202" s="66"/>
      <c r="E1202" s="66"/>
      <c r="F1202" s="66"/>
      <c r="G1202" s="66"/>
      <c r="H1202" s="66"/>
      <c r="I1202" s="66"/>
      <c r="J1202" s="66"/>
      <c r="K1202" s="66"/>
      <c r="L1202" s="66"/>
      <c r="M1202" s="66"/>
      <c r="N1202" s="66"/>
      <c r="O1202" s="66"/>
      <c r="P1202" s="66"/>
      <c r="Q1202" s="66"/>
      <c r="R1202" s="66"/>
      <c r="S1202" s="66"/>
      <c r="T1202" s="66"/>
      <c r="U1202" s="66"/>
      <c r="V1202" s="66"/>
      <c r="W1202" s="66"/>
      <c r="X1202" s="66"/>
      <c r="Y1202" s="66"/>
      <c r="Z1202" s="66"/>
      <c r="AA1202" s="66"/>
      <c r="AB1202" s="66"/>
      <c r="AC1202" s="66"/>
    </row>
    <row r="1203" spans="1:29" ht="15.5">
      <c r="A1203" s="66"/>
      <c r="B1203" s="66"/>
      <c r="C1203" s="66"/>
      <c r="D1203" s="66"/>
      <c r="E1203" s="66"/>
      <c r="F1203" s="66"/>
      <c r="G1203" s="66"/>
      <c r="H1203" s="66"/>
      <c r="I1203" s="66"/>
      <c r="J1203" s="66"/>
      <c r="K1203" s="66"/>
      <c r="L1203" s="66"/>
      <c r="M1203" s="66"/>
      <c r="N1203" s="66"/>
      <c r="O1203" s="66"/>
      <c r="P1203" s="66"/>
      <c r="Q1203" s="66"/>
      <c r="R1203" s="66"/>
      <c r="S1203" s="66"/>
      <c r="T1203" s="66"/>
      <c r="U1203" s="66"/>
      <c r="V1203" s="66"/>
      <c r="W1203" s="66"/>
      <c r="X1203" s="66"/>
      <c r="Y1203" s="66"/>
      <c r="Z1203" s="66"/>
      <c r="AA1203" s="66"/>
      <c r="AB1203" s="66"/>
      <c r="AC1203" s="66"/>
    </row>
    <row r="1204" spans="1:29" ht="15.5">
      <c r="A1204" s="66"/>
      <c r="B1204" s="66"/>
      <c r="C1204" s="66"/>
      <c r="D1204" s="66"/>
      <c r="E1204" s="66"/>
      <c r="F1204" s="66"/>
      <c r="G1204" s="66"/>
      <c r="H1204" s="66"/>
      <c r="I1204" s="66"/>
      <c r="J1204" s="66"/>
      <c r="K1204" s="66"/>
      <c r="L1204" s="66"/>
      <c r="M1204" s="66"/>
      <c r="N1204" s="66"/>
      <c r="O1204" s="66"/>
      <c r="P1204" s="66"/>
      <c r="Q1204" s="66"/>
      <c r="R1204" s="66"/>
      <c r="S1204" s="66"/>
      <c r="T1204" s="66"/>
      <c r="U1204" s="66"/>
      <c r="V1204" s="66"/>
      <c r="W1204" s="66"/>
      <c r="X1204" s="66"/>
      <c r="Y1204" s="66"/>
      <c r="Z1204" s="66"/>
      <c r="AA1204" s="66"/>
      <c r="AB1204" s="66"/>
      <c r="AC1204" s="66"/>
    </row>
    <row r="1205" spans="1:29" ht="15.5">
      <c r="A1205" s="66"/>
      <c r="B1205" s="66"/>
      <c r="C1205" s="66"/>
      <c r="D1205" s="66"/>
      <c r="E1205" s="66"/>
      <c r="F1205" s="66"/>
      <c r="G1205" s="66"/>
      <c r="H1205" s="66"/>
      <c r="I1205" s="66"/>
      <c r="J1205" s="66"/>
      <c r="K1205" s="66"/>
      <c r="L1205" s="66"/>
      <c r="M1205" s="66"/>
      <c r="N1205" s="66"/>
      <c r="O1205" s="66"/>
      <c r="P1205" s="66"/>
      <c r="Q1205" s="66"/>
      <c r="R1205" s="66"/>
      <c r="S1205" s="66"/>
      <c r="T1205" s="66"/>
      <c r="U1205" s="66"/>
      <c r="V1205" s="66"/>
      <c r="W1205" s="66"/>
      <c r="X1205" s="66"/>
      <c r="Y1205" s="66"/>
      <c r="Z1205" s="66"/>
      <c r="AA1205" s="66"/>
      <c r="AB1205" s="66"/>
      <c r="AC1205" s="66"/>
    </row>
    <row r="1206" spans="1:29" ht="15.5">
      <c r="A1206" s="66"/>
      <c r="B1206" s="66"/>
      <c r="C1206" s="66"/>
      <c r="D1206" s="66"/>
      <c r="E1206" s="66"/>
      <c r="F1206" s="66"/>
      <c r="G1206" s="66"/>
      <c r="H1206" s="66"/>
      <c r="I1206" s="66"/>
      <c r="J1206" s="66"/>
      <c r="K1206" s="66"/>
      <c r="L1206" s="66"/>
      <c r="M1206" s="66"/>
      <c r="N1206" s="66"/>
      <c r="O1206" s="66"/>
      <c r="P1206" s="66"/>
      <c r="Q1206" s="66"/>
      <c r="R1206" s="66"/>
      <c r="S1206" s="66"/>
      <c r="T1206" s="66"/>
      <c r="U1206" s="66"/>
      <c r="V1206" s="66"/>
      <c r="W1206" s="66"/>
      <c r="X1206" s="66"/>
      <c r="Y1206" s="66"/>
      <c r="Z1206" s="66"/>
      <c r="AA1206" s="66"/>
      <c r="AB1206" s="66"/>
      <c r="AC1206" s="66"/>
    </row>
    <row r="1207" spans="1:29" ht="15.5">
      <c r="A1207" s="66"/>
      <c r="B1207" s="66"/>
      <c r="C1207" s="66"/>
      <c r="D1207" s="66"/>
      <c r="E1207" s="66"/>
      <c r="F1207" s="66"/>
      <c r="G1207" s="66"/>
      <c r="H1207" s="66"/>
      <c r="I1207" s="66"/>
      <c r="J1207" s="66"/>
      <c r="K1207" s="66"/>
      <c r="L1207" s="66"/>
      <c r="M1207" s="66"/>
      <c r="N1207" s="66"/>
      <c r="O1207" s="66"/>
      <c r="P1207" s="66"/>
      <c r="Q1207" s="66"/>
      <c r="R1207" s="66"/>
      <c r="S1207" s="66"/>
      <c r="T1207" s="66"/>
      <c r="U1207" s="66"/>
      <c r="V1207" s="66"/>
      <c r="W1207" s="66"/>
      <c r="X1207" s="66"/>
      <c r="Y1207" s="66"/>
      <c r="Z1207" s="66"/>
      <c r="AA1207" s="66"/>
      <c r="AB1207" s="66"/>
      <c r="AC1207" s="66"/>
    </row>
    <row r="1208" spans="1:29" ht="15.5">
      <c r="A1208" s="66"/>
      <c r="B1208" s="66"/>
      <c r="C1208" s="66"/>
      <c r="D1208" s="66"/>
      <c r="E1208" s="66"/>
      <c r="F1208" s="66"/>
      <c r="G1208" s="66"/>
      <c r="H1208" s="66"/>
      <c r="I1208" s="66"/>
      <c r="J1208" s="66"/>
      <c r="K1208" s="66"/>
      <c r="L1208" s="66"/>
      <c r="M1208" s="66"/>
      <c r="N1208" s="66"/>
      <c r="O1208" s="66"/>
      <c r="P1208" s="66"/>
      <c r="Q1208" s="66"/>
      <c r="R1208" s="66"/>
      <c r="S1208" s="66"/>
      <c r="T1208" s="66"/>
      <c r="U1208" s="66"/>
      <c r="V1208" s="66"/>
      <c r="W1208" s="66"/>
      <c r="X1208" s="66"/>
      <c r="Y1208" s="66"/>
      <c r="Z1208" s="66"/>
      <c r="AA1208" s="66"/>
      <c r="AB1208" s="66"/>
      <c r="AC1208" s="66"/>
    </row>
    <row r="1209" spans="1:29" ht="15.5">
      <c r="A1209" s="66"/>
      <c r="B1209" s="66"/>
      <c r="C1209" s="66"/>
      <c r="D1209" s="66"/>
      <c r="E1209" s="66"/>
      <c r="F1209" s="66"/>
      <c r="G1209" s="66"/>
      <c r="H1209" s="66"/>
      <c r="I1209" s="66"/>
      <c r="J1209" s="66"/>
      <c r="K1209" s="66"/>
      <c r="L1209" s="66"/>
      <c r="M1209" s="66"/>
      <c r="N1209" s="66"/>
      <c r="O1209" s="66"/>
      <c r="P1209" s="66"/>
      <c r="Q1209" s="66"/>
      <c r="R1209" s="66"/>
      <c r="S1209" s="66"/>
      <c r="T1209" s="66"/>
      <c r="U1209" s="66"/>
      <c r="V1209" s="66"/>
      <c r="W1209" s="66"/>
      <c r="X1209" s="66"/>
      <c r="Y1209" s="66"/>
      <c r="Z1209" s="66"/>
      <c r="AA1209" s="66"/>
      <c r="AB1209" s="66"/>
      <c r="AC1209" s="66"/>
    </row>
    <row r="1210" spans="1:29" ht="15.5">
      <c r="A1210" s="66"/>
      <c r="B1210" s="66"/>
      <c r="C1210" s="66"/>
      <c r="D1210" s="66"/>
      <c r="E1210" s="66"/>
      <c r="F1210" s="66"/>
      <c r="G1210" s="66"/>
      <c r="H1210" s="66"/>
      <c r="I1210" s="66"/>
      <c r="J1210" s="66"/>
      <c r="K1210" s="66"/>
      <c r="L1210" s="66"/>
      <c r="M1210" s="66"/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  <c r="X1210" s="66"/>
      <c r="Y1210" s="66"/>
      <c r="Z1210" s="66"/>
      <c r="AA1210" s="66"/>
      <c r="AB1210" s="66"/>
      <c r="AC1210" s="66"/>
    </row>
    <row r="1211" spans="1:29" ht="15.5">
      <c r="A1211" s="66"/>
      <c r="B1211" s="66"/>
      <c r="C1211" s="66"/>
      <c r="D1211" s="66"/>
      <c r="E1211" s="66"/>
      <c r="F1211" s="66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  <c r="X1211" s="66"/>
      <c r="Y1211" s="66"/>
      <c r="Z1211" s="66"/>
      <c r="AA1211" s="66"/>
      <c r="AB1211" s="66"/>
      <c r="AC1211" s="66"/>
    </row>
    <row r="1212" spans="1:29" ht="15.5">
      <c r="A1212" s="66"/>
      <c r="B1212" s="66"/>
      <c r="C1212" s="66"/>
      <c r="D1212" s="66"/>
      <c r="E1212" s="66"/>
      <c r="F1212" s="66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  <c r="Y1212" s="66"/>
      <c r="Z1212" s="66"/>
      <c r="AA1212" s="66"/>
      <c r="AB1212" s="66"/>
      <c r="AC1212" s="66"/>
    </row>
    <row r="1213" spans="1:29" ht="15.5">
      <c r="A1213" s="66"/>
      <c r="B1213" s="66"/>
      <c r="C1213" s="66"/>
      <c r="D1213" s="66"/>
      <c r="E1213" s="66"/>
      <c r="F1213" s="66"/>
      <c r="G1213" s="66"/>
      <c r="H1213" s="66"/>
      <c r="I1213" s="66"/>
      <c r="J1213" s="66"/>
      <c r="K1213" s="66"/>
      <c r="L1213" s="66"/>
      <c r="M1213" s="66"/>
      <c r="N1213" s="66"/>
      <c r="O1213" s="66"/>
      <c r="P1213" s="66"/>
      <c r="Q1213" s="66"/>
      <c r="R1213" s="66"/>
      <c r="S1213" s="66"/>
      <c r="T1213" s="66"/>
      <c r="U1213" s="66"/>
      <c r="V1213" s="66"/>
      <c r="W1213" s="66"/>
      <c r="X1213" s="66"/>
      <c r="Y1213" s="66"/>
      <c r="Z1213" s="66"/>
      <c r="AA1213" s="66"/>
      <c r="AB1213" s="66"/>
      <c r="AC1213" s="66"/>
    </row>
    <row r="1214" spans="1:29" ht="15.5">
      <c r="A1214" s="66"/>
      <c r="B1214" s="66"/>
      <c r="C1214" s="66"/>
      <c r="D1214" s="66"/>
      <c r="E1214" s="66"/>
      <c r="F1214" s="66"/>
      <c r="G1214" s="66"/>
      <c r="H1214" s="66"/>
      <c r="I1214" s="66"/>
      <c r="J1214" s="66"/>
      <c r="K1214" s="66"/>
      <c r="L1214" s="66"/>
      <c r="M1214" s="66"/>
      <c r="N1214" s="66"/>
      <c r="O1214" s="66"/>
      <c r="P1214" s="66"/>
      <c r="Q1214" s="66"/>
      <c r="R1214" s="66"/>
      <c r="S1214" s="66"/>
      <c r="T1214" s="66"/>
      <c r="U1214" s="66"/>
      <c r="V1214" s="66"/>
      <c r="W1214" s="66"/>
      <c r="X1214" s="66"/>
      <c r="Y1214" s="66"/>
      <c r="Z1214" s="66"/>
      <c r="AA1214" s="66"/>
      <c r="AB1214" s="66"/>
      <c r="AC1214" s="66"/>
    </row>
    <row r="1215" spans="1:29" ht="15.5">
      <c r="A1215" s="66"/>
      <c r="B1215" s="66"/>
      <c r="C1215" s="66"/>
      <c r="D1215" s="66"/>
      <c r="E1215" s="66"/>
      <c r="F1215" s="66"/>
      <c r="G1215" s="66"/>
      <c r="H1215" s="66"/>
      <c r="I1215" s="66"/>
      <c r="J1215" s="66"/>
      <c r="K1215" s="66"/>
      <c r="L1215" s="66"/>
      <c r="M1215" s="66"/>
      <c r="N1215" s="66"/>
      <c r="O1215" s="66"/>
      <c r="P1215" s="66"/>
      <c r="Q1215" s="66"/>
      <c r="R1215" s="66"/>
      <c r="S1215" s="66"/>
      <c r="T1215" s="66"/>
      <c r="U1215" s="66"/>
      <c r="V1215" s="66"/>
      <c r="W1215" s="66"/>
      <c r="X1215" s="66"/>
      <c r="Y1215" s="66"/>
      <c r="Z1215" s="66"/>
      <c r="AA1215" s="66"/>
      <c r="AB1215" s="66"/>
      <c r="AC1215" s="66"/>
    </row>
    <row r="1216" spans="1:29" ht="15.5">
      <c r="A1216" s="66"/>
      <c r="B1216" s="66"/>
      <c r="C1216" s="66"/>
      <c r="D1216" s="66"/>
      <c r="E1216" s="66"/>
      <c r="F1216" s="66"/>
      <c r="G1216" s="66"/>
      <c r="H1216" s="66"/>
      <c r="I1216" s="66"/>
      <c r="J1216" s="66"/>
      <c r="K1216" s="66"/>
      <c r="L1216" s="66"/>
      <c r="M1216" s="66"/>
      <c r="N1216" s="66"/>
      <c r="O1216" s="66"/>
      <c r="P1216" s="66"/>
      <c r="Q1216" s="66"/>
      <c r="R1216" s="66"/>
      <c r="S1216" s="66"/>
      <c r="T1216" s="66"/>
      <c r="U1216" s="66"/>
      <c r="V1216" s="66"/>
      <c r="W1216" s="66"/>
      <c r="X1216" s="66"/>
      <c r="Y1216" s="66"/>
      <c r="Z1216" s="66"/>
      <c r="AA1216" s="66"/>
      <c r="AB1216" s="66"/>
      <c r="AC1216" s="66"/>
    </row>
    <row r="1217" spans="1:29" ht="15.5">
      <c r="A1217" s="66"/>
      <c r="B1217" s="66"/>
      <c r="C1217" s="66"/>
      <c r="D1217" s="66"/>
      <c r="E1217" s="66"/>
      <c r="F1217" s="66"/>
      <c r="G1217" s="66"/>
      <c r="H1217" s="66"/>
      <c r="I1217" s="66"/>
      <c r="J1217" s="66"/>
      <c r="K1217" s="66"/>
      <c r="L1217" s="66"/>
      <c r="M1217" s="66"/>
      <c r="N1217" s="66"/>
      <c r="O1217" s="66"/>
      <c r="P1217" s="66"/>
      <c r="Q1217" s="66"/>
      <c r="R1217" s="66"/>
      <c r="S1217" s="66"/>
      <c r="T1217" s="66"/>
      <c r="U1217" s="66"/>
      <c r="V1217" s="66"/>
      <c r="W1217" s="66"/>
      <c r="X1217" s="66"/>
      <c r="Y1217" s="66"/>
      <c r="Z1217" s="66"/>
      <c r="AA1217" s="66"/>
      <c r="AB1217" s="66"/>
      <c r="AC1217" s="66"/>
    </row>
    <row r="1218" spans="1:29" ht="15.5">
      <c r="A1218" s="66"/>
      <c r="B1218" s="66"/>
      <c r="C1218" s="66"/>
      <c r="D1218" s="66"/>
      <c r="E1218" s="66"/>
      <c r="F1218" s="66"/>
      <c r="G1218" s="66"/>
      <c r="H1218" s="66"/>
      <c r="I1218" s="66"/>
      <c r="J1218" s="66"/>
      <c r="K1218" s="66"/>
      <c r="L1218" s="66"/>
      <c r="M1218" s="66"/>
      <c r="N1218" s="66"/>
      <c r="O1218" s="66"/>
      <c r="P1218" s="66"/>
      <c r="Q1218" s="66"/>
      <c r="R1218" s="66"/>
      <c r="S1218" s="66"/>
      <c r="T1218" s="66"/>
      <c r="U1218" s="66"/>
      <c r="V1218" s="66"/>
      <c r="W1218" s="66"/>
      <c r="X1218" s="66"/>
      <c r="Y1218" s="66"/>
      <c r="Z1218" s="66"/>
      <c r="AA1218" s="66"/>
      <c r="AB1218" s="66"/>
      <c r="AC1218" s="66"/>
    </row>
    <row r="1219" spans="1:29" ht="15.5">
      <c r="A1219" s="66"/>
      <c r="B1219" s="66"/>
      <c r="C1219" s="66"/>
      <c r="D1219" s="66"/>
      <c r="E1219" s="66"/>
      <c r="F1219" s="66"/>
      <c r="G1219" s="66"/>
      <c r="H1219" s="66"/>
      <c r="I1219" s="66"/>
      <c r="J1219" s="66"/>
      <c r="K1219" s="66"/>
      <c r="L1219" s="66"/>
      <c r="M1219" s="66"/>
      <c r="N1219" s="66"/>
      <c r="O1219" s="66"/>
      <c r="P1219" s="66"/>
      <c r="Q1219" s="66"/>
      <c r="R1219" s="66"/>
      <c r="S1219" s="66"/>
      <c r="T1219" s="66"/>
      <c r="U1219" s="66"/>
      <c r="V1219" s="66"/>
      <c r="W1219" s="66"/>
      <c r="X1219" s="66"/>
      <c r="Y1219" s="66"/>
      <c r="Z1219" s="66"/>
      <c r="AA1219" s="66"/>
      <c r="AB1219" s="66"/>
      <c r="AC1219" s="66"/>
    </row>
    <row r="1220" spans="1:29" ht="15.5">
      <c r="A1220" s="66"/>
      <c r="B1220" s="66"/>
      <c r="C1220" s="66"/>
      <c r="D1220" s="66"/>
      <c r="E1220" s="66"/>
      <c r="F1220" s="66"/>
      <c r="G1220" s="66"/>
      <c r="H1220" s="66"/>
      <c r="I1220" s="66"/>
      <c r="J1220" s="66"/>
      <c r="K1220" s="66"/>
      <c r="L1220" s="66"/>
      <c r="M1220" s="66"/>
      <c r="N1220" s="66"/>
      <c r="O1220" s="66"/>
      <c r="P1220" s="66"/>
      <c r="Q1220" s="66"/>
      <c r="R1220" s="66"/>
      <c r="S1220" s="66"/>
      <c r="T1220" s="66"/>
      <c r="U1220" s="66"/>
      <c r="V1220" s="66"/>
      <c r="W1220" s="66"/>
      <c r="X1220" s="66"/>
      <c r="Y1220" s="66"/>
      <c r="Z1220" s="66"/>
      <c r="AA1220" s="66"/>
      <c r="AB1220" s="66"/>
      <c r="AC1220" s="66"/>
    </row>
    <row r="1221" spans="1:29" ht="15.5">
      <c r="A1221" s="66"/>
      <c r="B1221" s="66"/>
      <c r="C1221" s="66"/>
      <c r="D1221" s="66"/>
      <c r="E1221" s="66"/>
      <c r="F1221" s="66"/>
      <c r="G1221" s="66"/>
      <c r="H1221" s="66"/>
      <c r="I1221" s="66"/>
      <c r="J1221" s="66"/>
      <c r="K1221" s="66"/>
      <c r="L1221" s="66"/>
      <c r="M1221" s="66"/>
      <c r="N1221" s="66"/>
      <c r="O1221" s="66"/>
      <c r="P1221" s="66"/>
      <c r="Q1221" s="66"/>
      <c r="R1221" s="66"/>
      <c r="S1221" s="66"/>
      <c r="T1221" s="66"/>
      <c r="U1221" s="66"/>
      <c r="V1221" s="66"/>
      <c r="W1221" s="66"/>
      <c r="X1221" s="66"/>
      <c r="Y1221" s="66"/>
      <c r="Z1221" s="66"/>
      <c r="AA1221" s="66"/>
      <c r="AB1221" s="66"/>
      <c r="AC1221" s="66"/>
    </row>
    <row r="1222" spans="1:29" ht="15.5">
      <c r="A1222" s="66"/>
      <c r="B1222" s="66"/>
      <c r="C1222" s="66"/>
      <c r="D1222" s="66"/>
      <c r="E1222" s="66"/>
      <c r="F1222" s="66"/>
      <c r="G1222" s="66"/>
      <c r="H1222" s="66"/>
      <c r="I1222" s="66"/>
      <c r="J1222" s="66"/>
      <c r="K1222" s="66"/>
      <c r="L1222" s="66"/>
      <c r="M1222" s="66"/>
      <c r="N1222" s="66"/>
      <c r="O1222" s="66"/>
      <c r="P1222" s="66"/>
      <c r="Q1222" s="66"/>
      <c r="R1222" s="66"/>
      <c r="S1222" s="66"/>
      <c r="T1222" s="66"/>
      <c r="U1222" s="66"/>
      <c r="V1222" s="66"/>
      <c r="W1222" s="66"/>
      <c r="X1222" s="66"/>
      <c r="Y1222" s="66"/>
      <c r="Z1222" s="66"/>
      <c r="AA1222" s="66"/>
      <c r="AB1222" s="66"/>
      <c r="AC1222" s="66"/>
    </row>
    <row r="1223" spans="1:29" ht="15.5">
      <c r="A1223" s="66"/>
      <c r="B1223" s="66"/>
      <c r="C1223" s="66"/>
      <c r="D1223" s="66"/>
      <c r="E1223" s="66"/>
      <c r="F1223" s="66"/>
      <c r="G1223" s="66"/>
      <c r="H1223" s="66"/>
      <c r="I1223" s="66"/>
      <c r="J1223" s="66"/>
      <c r="K1223" s="66"/>
      <c r="L1223" s="66"/>
      <c r="M1223" s="66"/>
      <c r="N1223" s="66"/>
      <c r="O1223" s="66"/>
      <c r="P1223" s="66"/>
      <c r="Q1223" s="66"/>
      <c r="R1223" s="66"/>
      <c r="S1223" s="66"/>
      <c r="T1223" s="66"/>
      <c r="U1223" s="66"/>
      <c r="V1223" s="66"/>
      <c r="W1223" s="66"/>
      <c r="X1223" s="66"/>
      <c r="Y1223" s="66"/>
      <c r="Z1223" s="66"/>
      <c r="AA1223" s="66"/>
      <c r="AB1223" s="66"/>
      <c r="AC1223" s="66"/>
    </row>
    <row r="1224" spans="1:29" ht="15.5">
      <c r="A1224" s="66"/>
      <c r="B1224" s="66"/>
      <c r="C1224" s="66"/>
      <c r="D1224" s="66"/>
      <c r="E1224" s="66"/>
      <c r="F1224" s="66"/>
      <c r="G1224" s="66"/>
      <c r="H1224" s="66"/>
      <c r="I1224" s="66"/>
      <c r="J1224" s="66"/>
      <c r="K1224" s="66"/>
      <c r="L1224" s="66"/>
      <c r="M1224" s="66"/>
      <c r="N1224" s="66"/>
      <c r="O1224" s="66"/>
      <c r="P1224" s="66"/>
      <c r="Q1224" s="66"/>
      <c r="R1224" s="66"/>
      <c r="S1224" s="66"/>
      <c r="T1224" s="66"/>
      <c r="U1224" s="66"/>
      <c r="V1224" s="66"/>
      <c r="W1224" s="66"/>
      <c r="X1224" s="66"/>
      <c r="Y1224" s="66"/>
      <c r="Z1224" s="66"/>
      <c r="AA1224" s="66"/>
      <c r="AB1224" s="66"/>
      <c r="AC1224" s="66"/>
    </row>
    <row r="1225" spans="1:29" ht="15.5">
      <c r="A1225" s="66"/>
      <c r="B1225" s="66"/>
      <c r="C1225" s="66"/>
      <c r="D1225" s="66"/>
      <c r="E1225" s="66"/>
      <c r="F1225" s="66"/>
      <c r="G1225" s="66"/>
      <c r="H1225" s="66"/>
      <c r="I1225" s="66"/>
      <c r="J1225" s="66"/>
      <c r="K1225" s="66"/>
      <c r="L1225" s="66"/>
      <c r="M1225" s="66"/>
      <c r="N1225" s="66"/>
      <c r="O1225" s="66"/>
      <c r="P1225" s="66"/>
      <c r="Q1225" s="66"/>
      <c r="R1225" s="66"/>
      <c r="S1225" s="66"/>
      <c r="T1225" s="66"/>
      <c r="U1225" s="66"/>
      <c r="V1225" s="66"/>
      <c r="W1225" s="66"/>
      <c r="X1225" s="66"/>
      <c r="Y1225" s="66"/>
      <c r="Z1225" s="66"/>
      <c r="AA1225" s="66"/>
      <c r="AB1225" s="66"/>
      <c r="AC1225" s="66"/>
    </row>
    <row r="1226" spans="1:29" ht="15.5">
      <c r="A1226" s="66"/>
      <c r="B1226" s="66"/>
      <c r="C1226" s="66"/>
      <c r="D1226" s="66"/>
      <c r="E1226" s="66"/>
      <c r="F1226" s="66"/>
      <c r="G1226" s="66"/>
      <c r="H1226" s="66"/>
      <c r="I1226" s="66"/>
      <c r="J1226" s="66"/>
      <c r="K1226" s="66"/>
      <c r="L1226" s="66"/>
      <c r="M1226" s="66"/>
      <c r="N1226" s="66"/>
      <c r="O1226" s="66"/>
      <c r="P1226" s="66"/>
      <c r="Q1226" s="66"/>
      <c r="R1226" s="66"/>
      <c r="S1226" s="66"/>
      <c r="T1226" s="66"/>
      <c r="U1226" s="66"/>
      <c r="V1226" s="66"/>
      <c r="W1226" s="66"/>
      <c r="X1226" s="66"/>
      <c r="Y1226" s="66"/>
      <c r="Z1226" s="66"/>
      <c r="AA1226" s="66"/>
      <c r="AB1226" s="66"/>
      <c r="AC1226" s="66"/>
    </row>
    <row r="1227" spans="1:29" ht="15.5">
      <c r="A1227" s="66"/>
      <c r="B1227" s="66"/>
      <c r="C1227" s="66"/>
      <c r="D1227" s="66"/>
      <c r="E1227" s="66"/>
      <c r="F1227" s="66"/>
      <c r="G1227" s="66"/>
      <c r="H1227" s="66"/>
      <c r="I1227" s="66"/>
      <c r="J1227" s="66"/>
      <c r="K1227" s="66"/>
      <c r="L1227" s="66"/>
      <c r="M1227" s="66"/>
      <c r="N1227" s="66"/>
      <c r="O1227" s="66"/>
      <c r="P1227" s="66"/>
      <c r="Q1227" s="66"/>
      <c r="R1227" s="66"/>
      <c r="S1227" s="66"/>
      <c r="T1227" s="66"/>
      <c r="U1227" s="66"/>
      <c r="V1227" s="66"/>
      <c r="W1227" s="66"/>
      <c r="X1227" s="66"/>
      <c r="Y1227" s="66"/>
      <c r="Z1227" s="66"/>
      <c r="AA1227" s="66"/>
      <c r="AB1227" s="66"/>
      <c r="AC1227" s="66"/>
    </row>
    <row r="1228" spans="1:29" ht="15.5">
      <c r="A1228" s="66"/>
      <c r="B1228" s="66"/>
      <c r="C1228" s="66"/>
      <c r="D1228" s="66"/>
      <c r="E1228" s="66"/>
      <c r="F1228" s="66"/>
      <c r="G1228" s="66"/>
      <c r="H1228" s="66"/>
      <c r="I1228" s="66"/>
      <c r="J1228" s="66"/>
      <c r="K1228" s="66"/>
      <c r="L1228" s="66"/>
      <c r="M1228" s="66"/>
      <c r="N1228" s="66"/>
      <c r="O1228" s="66"/>
      <c r="P1228" s="66"/>
      <c r="Q1228" s="66"/>
      <c r="R1228" s="66"/>
      <c r="S1228" s="66"/>
      <c r="T1228" s="66"/>
      <c r="U1228" s="66"/>
      <c r="V1228" s="66"/>
      <c r="W1228" s="66"/>
      <c r="X1228" s="66"/>
      <c r="Y1228" s="66"/>
      <c r="Z1228" s="66"/>
      <c r="AA1228" s="66"/>
      <c r="AB1228" s="66"/>
      <c r="AC1228" s="66"/>
    </row>
    <row r="1229" spans="1:29" ht="15.5">
      <c r="A1229" s="66"/>
      <c r="B1229" s="66"/>
      <c r="C1229" s="66"/>
      <c r="D1229" s="66"/>
      <c r="E1229" s="66"/>
      <c r="F1229" s="66"/>
      <c r="G1229" s="66"/>
      <c r="H1229" s="66"/>
      <c r="I1229" s="66"/>
      <c r="J1229" s="66"/>
      <c r="K1229" s="66"/>
      <c r="L1229" s="66"/>
      <c r="M1229" s="66"/>
      <c r="N1229" s="66"/>
      <c r="O1229" s="66"/>
      <c r="P1229" s="66"/>
      <c r="Q1229" s="66"/>
      <c r="R1229" s="66"/>
      <c r="S1229" s="66"/>
      <c r="T1229" s="66"/>
      <c r="U1229" s="66"/>
      <c r="V1229" s="66"/>
      <c r="W1229" s="66"/>
      <c r="X1229" s="66"/>
      <c r="Y1229" s="66"/>
      <c r="Z1229" s="66"/>
      <c r="AA1229" s="66"/>
      <c r="AB1229" s="66"/>
      <c r="AC1229" s="66"/>
    </row>
    <row r="1230" spans="1:29" ht="15.5">
      <c r="A1230" s="66"/>
      <c r="B1230" s="66"/>
      <c r="C1230" s="66"/>
      <c r="D1230" s="66"/>
      <c r="E1230" s="66"/>
      <c r="F1230" s="66"/>
      <c r="G1230" s="66"/>
      <c r="H1230" s="66"/>
      <c r="I1230" s="66"/>
      <c r="J1230" s="66"/>
      <c r="K1230" s="66"/>
      <c r="L1230" s="66"/>
      <c r="M1230" s="66"/>
      <c r="N1230" s="66"/>
      <c r="O1230" s="66"/>
      <c r="P1230" s="66"/>
      <c r="Q1230" s="66"/>
      <c r="R1230" s="66"/>
      <c r="S1230" s="66"/>
      <c r="T1230" s="66"/>
      <c r="U1230" s="66"/>
      <c r="V1230" s="66"/>
      <c r="W1230" s="66"/>
      <c r="X1230" s="66"/>
      <c r="Y1230" s="66"/>
      <c r="Z1230" s="66"/>
      <c r="AA1230" s="66"/>
      <c r="AB1230" s="66"/>
      <c r="AC1230" s="66"/>
    </row>
    <row r="1231" spans="1:29" ht="15.5">
      <c r="A1231" s="66"/>
      <c r="B1231" s="66"/>
      <c r="C1231" s="66"/>
      <c r="D1231" s="66"/>
      <c r="E1231" s="66"/>
      <c r="F1231" s="66"/>
      <c r="G1231" s="66"/>
      <c r="H1231" s="66"/>
      <c r="I1231" s="66"/>
      <c r="J1231" s="66"/>
      <c r="K1231" s="66"/>
      <c r="L1231" s="66"/>
      <c r="M1231" s="66"/>
      <c r="N1231" s="66"/>
      <c r="O1231" s="66"/>
      <c r="P1231" s="66"/>
      <c r="Q1231" s="66"/>
      <c r="R1231" s="66"/>
      <c r="S1231" s="66"/>
      <c r="T1231" s="66"/>
      <c r="U1231" s="66"/>
      <c r="V1231" s="66"/>
      <c r="W1231" s="66"/>
      <c r="X1231" s="66"/>
      <c r="Y1231" s="66"/>
      <c r="Z1231" s="66"/>
      <c r="AA1231" s="66"/>
      <c r="AB1231" s="66"/>
      <c r="AC1231" s="66"/>
    </row>
    <row r="1232" spans="1:29" ht="15.5">
      <c r="A1232" s="66"/>
      <c r="B1232" s="66"/>
      <c r="C1232" s="66"/>
      <c r="D1232" s="66"/>
      <c r="E1232" s="66"/>
      <c r="F1232" s="66"/>
      <c r="G1232" s="66"/>
      <c r="H1232" s="66"/>
      <c r="I1232" s="66"/>
      <c r="J1232" s="66"/>
      <c r="K1232" s="66"/>
      <c r="L1232" s="66"/>
      <c r="M1232" s="66"/>
      <c r="N1232" s="66"/>
      <c r="O1232" s="66"/>
      <c r="P1232" s="66"/>
      <c r="Q1232" s="66"/>
      <c r="R1232" s="66"/>
      <c r="S1232" s="66"/>
      <c r="T1232" s="66"/>
      <c r="U1232" s="66"/>
      <c r="V1232" s="66"/>
      <c r="W1232" s="66"/>
      <c r="X1232" s="66"/>
      <c r="Y1232" s="66"/>
      <c r="Z1232" s="66"/>
      <c r="AA1232" s="66"/>
      <c r="AB1232" s="66"/>
      <c r="AC1232" s="66"/>
    </row>
    <row r="1233" spans="1:29" ht="15.5">
      <c r="A1233" s="66"/>
      <c r="B1233" s="66"/>
      <c r="C1233" s="66"/>
      <c r="D1233" s="66"/>
      <c r="E1233" s="66"/>
      <c r="F1233" s="66"/>
      <c r="G1233" s="66"/>
      <c r="H1233" s="66"/>
      <c r="I1233" s="66"/>
      <c r="J1233" s="66"/>
      <c r="K1233" s="66"/>
      <c r="L1233" s="66"/>
      <c r="M1233" s="66"/>
      <c r="N1233" s="66"/>
      <c r="O1233" s="66"/>
      <c r="P1233" s="66"/>
      <c r="Q1233" s="66"/>
      <c r="R1233" s="66"/>
      <c r="S1233" s="66"/>
      <c r="T1233" s="66"/>
      <c r="U1233" s="66"/>
      <c r="V1233" s="66"/>
      <c r="W1233" s="66"/>
      <c r="X1233" s="66"/>
      <c r="Y1233" s="66"/>
      <c r="Z1233" s="66"/>
      <c r="AA1233" s="66"/>
      <c r="AB1233" s="66"/>
      <c r="AC1233" s="66"/>
    </row>
    <row r="1234" spans="1:29" ht="15.5">
      <c r="A1234" s="66"/>
      <c r="B1234" s="66"/>
      <c r="C1234" s="66"/>
      <c r="D1234" s="66"/>
      <c r="E1234" s="66"/>
      <c r="F1234" s="66"/>
      <c r="G1234" s="66"/>
      <c r="H1234" s="66"/>
      <c r="I1234" s="66"/>
      <c r="J1234" s="66"/>
      <c r="K1234" s="66"/>
      <c r="L1234" s="66"/>
      <c r="M1234" s="66"/>
      <c r="N1234" s="66"/>
      <c r="O1234" s="66"/>
      <c r="P1234" s="66"/>
      <c r="Q1234" s="66"/>
      <c r="R1234" s="66"/>
      <c r="S1234" s="66"/>
      <c r="T1234" s="66"/>
      <c r="U1234" s="66"/>
      <c r="V1234" s="66"/>
      <c r="W1234" s="66"/>
      <c r="X1234" s="66"/>
      <c r="Y1234" s="66"/>
      <c r="Z1234" s="66"/>
      <c r="AA1234" s="66"/>
      <c r="AB1234" s="66"/>
      <c r="AC1234" s="66"/>
    </row>
    <row r="1235" spans="1:29" ht="15.5">
      <c r="A1235" s="66"/>
      <c r="B1235" s="66"/>
      <c r="C1235" s="66"/>
      <c r="D1235" s="66"/>
      <c r="E1235" s="66"/>
      <c r="F1235" s="66"/>
      <c r="G1235" s="66"/>
      <c r="H1235" s="66"/>
      <c r="I1235" s="66"/>
      <c r="J1235" s="66"/>
      <c r="K1235" s="66"/>
      <c r="L1235" s="66"/>
      <c r="M1235" s="66"/>
      <c r="N1235" s="66"/>
      <c r="O1235" s="66"/>
      <c r="P1235" s="66"/>
      <c r="Q1235" s="66"/>
      <c r="R1235" s="66"/>
      <c r="S1235" s="66"/>
      <c r="T1235" s="66"/>
      <c r="U1235" s="66"/>
      <c r="V1235" s="66"/>
      <c r="W1235" s="66"/>
      <c r="X1235" s="66"/>
      <c r="Y1235" s="66"/>
      <c r="Z1235" s="66"/>
      <c r="AA1235" s="66"/>
      <c r="AB1235" s="66"/>
      <c r="AC1235" s="66"/>
    </row>
    <row r="1236" spans="1:29" ht="15.5">
      <c r="A1236" s="66"/>
      <c r="B1236" s="66"/>
      <c r="C1236" s="66"/>
      <c r="D1236" s="66"/>
      <c r="E1236" s="66"/>
      <c r="F1236" s="66"/>
      <c r="G1236" s="66"/>
      <c r="H1236" s="66"/>
      <c r="I1236" s="66"/>
      <c r="J1236" s="66"/>
      <c r="K1236" s="66"/>
      <c r="L1236" s="66"/>
      <c r="M1236" s="66"/>
      <c r="N1236" s="66"/>
      <c r="O1236" s="66"/>
      <c r="P1236" s="66"/>
      <c r="Q1236" s="66"/>
      <c r="R1236" s="66"/>
      <c r="S1236" s="66"/>
      <c r="T1236" s="66"/>
      <c r="U1236" s="66"/>
      <c r="V1236" s="66"/>
      <c r="W1236" s="66"/>
      <c r="X1236" s="66"/>
      <c r="Y1236" s="66"/>
      <c r="Z1236" s="66"/>
      <c r="AA1236" s="66"/>
      <c r="AB1236" s="66"/>
      <c r="AC1236" s="66"/>
    </row>
    <row r="1237" spans="1:29" ht="15.5">
      <c r="A1237" s="66"/>
      <c r="B1237" s="66"/>
      <c r="C1237" s="66"/>
      <c r="D1237" s="66"/>
      <c r="E1237" s="66"/>
      <c r="F1237" s="66"/>
      <c r="G1237" s="66"/>
      <c r="H1237" s="66"/>
      <c r="I1237" s="66"/>
      <c r="J1237" s="66"/>
      <c r="K1237" s="66"/>
      <c r="L1237" s="66"/>
      <c r="M1237" s="66"/>
      <c r="N1237" s="66"/>
      <c r="O1237" s="66"/>
      <c r="P1237" s="66"/>
      <c r="Q1237" s="66"/>
      <c r="R1237" s="66"/>
      <c r="S1237" s="66"/>
      <c r="T1237" s="66"/>
      <c r="U1237" s="66"/>
      <c r="V1237" s="66"/>
      <c r="W1237" s="66"/>
      <c r="X1237" s="66"/>
      <c r="Y1237" s="66"/>
      <c r="Z1237" s="66"/>
      <c r="AA1237" s="66"/>
      <c r="AB1237" s="66"/>
      <c r="AC1237" s="66"/>
    </row>
    <row r="1238" spans="1:29" ht="15.5">
      <c r="A1238" s="66"/>
      <c r="B1238" s="66"/>
      <c r="C1238" s="66"/>
      <c r="D1238" s="66"/>
      <c r="E1238" s="66"/>
      <c r="F1238" s="66"/>
      <c r="G1238" s="66"/>
      <c r="H1238" s="66"/>
      <c r="I1238" s="66"/>
      <c r="J1238" s="66"/>
      <c r="K1238" s="66"/>
      <c r="L1238" s="66"/>
      <c r="M1238" s="66"/>
      <c r="N1238" s="66"/>
      <c r="O1238" s="66"/>
      <c r="P1238" s="66"/>
      <c r="Q1238" s="66"/>
      <c r="R1238" s="66"/>
      <c r="S1238" s="66"/>
      <c r="T1238" s="66"/>
      <c r="U1238" s="66"/>
      <c r="V1238" s="66"/>
      <c r="W1238" s="66"/>
      <c r="X1238" s="66"/>
      <c r="Y1238" s="66"/>
      <c r="Z1238" s="66"/>
      <c r="AA1238" s="66"/>
      <c r="AB1238" s="66"/>
      <c r="AC1238" s="66"/>
    </row>
    <row r="1239" spans="1:29" ht="15.5">
      <c r="A1239" s="66"/>
      <c r="B1239" s="66"/>
      <c r="C1239" s="66"/>
      <c r="D1239" s="66"/>
      <c r="E1239" s="66"/>
      <c r="F1239" s="66"/>
      <c r="G1239" s="66"/>
      <c r="H1239" s="66"/>
      <c r="I1239" s="66"/>
      <c r="J1239" s="66"/>
      <c r="K1239" s="66"/>
      <c r="L1239" s="66"/>
      <c r="M1239" s="66"/>
      <c r="N1239" s="66"/>
      <c r="O1239" s="66"/>
      <c r="P1239" s="66"/>
      <c r="Q1239" s="66"/>
      <c r="R1239" s="66"/>
      <c r="S1239" s="66"/>
      <c r="T1239" s="66"/>
      <c r="U1239" s="66"/>
      <c r="V1239" s="66"/>
      <c r="W1239" s="66"/>
      <c r="X1239" s="66"/>
      <c r="Y1239" s="66"/>
      <c r="Z1239" s="66"/>
      <c r="AA1239" s="66"/>
      <c r="AB1239" s="66"/>
      <c r="AC1239" s="66"/>
    </row>
    <row r="1240" spans="1:29" ht="15.5">
      <c r="A1240" s="66"/>
      <c r="B1240" s="66"/>
      <c r="C1240" s="66"/>
      <c r="D1240" s="66"/>
      <c r="E1240" s="66"/>
      <c r="F1240" s="66"/>
      <c r="G1240" s="66"/>
      <c r="H1240" s="66"/>
      <c r="I1240" s="66"/>
      <c r="J1240" s="66"/>
      <c r="K1240" s="66"/>
      <c r="L1240" s="66"/>
      <c r="M1240" s="66"/>
      <c r="N1240" s="66"/>
      <c r="O1240" s="66"/>
      <c r="P1240" s="66"/>
      <c r="Q1240" s="66"/>
      <c r="R1240" s="66"/>
      <c r="S1240" s="66"/>
      <c r="T1240" s="66"/>
      <c r="U1240" s="66"/>
      <c r="V1240" s="66"/>
      <c r="W1240" s="66"/>
      <c r="X1240" s="66"/>
      <c r="Y1240" s="66"/>
      <c r="Z1240" s="66"/>
      <c r="AA1240" s="66"/>
      <c r="AB1240" s="66"/>
      <c r="AC1240" s="66"/>
    </row>
    <row r="1241" spans="1:29" ht="15.5">
      <c r="A1241" s="66"/>
      <c r="B1241" s="66"/>
      <c r="C1241" s="66"/>
      <c r="D1241" s="66"/>
      <c r="E1241" s="66"/>
      <c r="F1241" s="66"/>
      <c r="G1241" s="66"/>
      <c r="H1241" s="66"/>
      <c r="I1241" s="66"/>
      <c r="J1241" s="66"/>
      <c r="K1241" s="66"/>
      <c r="L1241" s="66"/>
      <c r="M1241" s="66"/>
      <c r="N1241" s="66"/>
      <c r="O1241" s="66"/>
      <c r="P1241" s="66"/>
      <c r="Q1241" s="66"/>
      <c r="R1241" s="66"/>
      <c r="S1241" s="66"/>
      <c r="T1241" s="66"/>
      <c r="U1241" s="66"/>
      <c r="V1241" s="66"/>
      <c r="W1241" s="66"/>
      <c r="X1241" s="66"/>
      <c r="Y1241" s="66"/>
      <c r="Z1241" s="66"/>
      <c r="AA1241" s="66"/>
      <c r="AB1241" s="66"/>
      <c r="AC1241" s="66"/>
    </row>
    <row r="1242" spans="1:29" ht="15.5">
      <c r="A1242" s="66"/>
      <c r="B1242" s="66"/>
      <c r="C1242" s="66"/>
      <c r="D1242" s="66"/>
      <c r="E1242" s="66"/>
      <c r="F1242" s="66"/>
      <c r="G1242" s="66"/>
      <c r="H1242" s="66"/>
      <c r="I1242" s="66"/>
      <c r="J1242" s="66"/>
      <c r="K1242" s="66"/>
      <c r="L1242" s="66"/>
      <c r="M1242" s="66"/>
      <c r="N1242" s="66"/>
      <c r="O1242" s="66"/>
      <c r="P1242" s="66"/>
      <c r="Q1242" s="66"/>
      <c r="R1242" s="66"/>
      <c r="S1242" s="66"/>
      <c r="T1242" s="66"/>
      <c r="U1242" s="66"/>
      <c r="V1242" s="66"/>
      <c r="W1242" s="66"/>
      <c r="X1242" s="66"/>
      <c r="Y1242" s="66"/>
      <c r="Z1242" s="66"/>
      <c r="AA1242" s="66"/>
      <c r="AB1242" s="66"/>
      <c r="AC1242" s="66"/>
    </row>
    <row r="1243" spans="1:29" ht="15.5">
      <c r="A1243" s="66"/>
      <c r="B1243" s="66"/>
      <c r="C1243" s="66"/>
      <c r="D1243" s="66"/>
      <c r="E1243" s="66"/>
      <c r="F1243" s="66"/>
      <c r="G1243" s="66"/>
      <c r="H1243" s="66"/>
      <c r="I1243" s="66"/>
      <c r="J1243" s="66"/>
      <c r="K1243" s="66"/>
      <c r="L1243" s="66"/>
      <c r="M1243" s="66"/>
      <c r="N1243" s="66"/>
      <c r="O1243" s="66"/>
      <c r="P1243" s="66"/>
      <c r="Q1243" s="66"/>
      <c r="R1243" s="66"/>
      <c r="S1243" s="66"/>
      <c r="T1243" s="66"/>
      <c r="U1243" s="66"/>
      <c r="V1243" s="66"/>
      <c r="W1243" s="66"/>
      <c r="X1243" s="66"/>
      <c r="Y1243" s="66"/>
      <c r="Z1243" s="66"/>
      <c r="AA1243" s="66"/>
      <c r="AB1243" s="66"/>
      <c r="AC1243" s="66"/>
    </row>
    <row r="1244" spans="1:29" ht="15.5">
      <c r="A1244" s="66"/>
      <c r="B1244" s="66"/>
      <c r="C1244" s="66"/>
      <c r="D1244" s="66"/>
      <c r="E1244" s="66"/>
      <c r="F1244" s="66"/>
      <c r="G1244" s="66"/>
      <c r="H1244" s="66"/>
      <c r="I1244" s="66"/>
      <c r="J1244" s="66"/>
      <c r="K1244" s="66"/>
      <c r="L1244" s="66"/>
      <c r="M1244" s="66"/>
      <c r="N1244" s="66"/>
      <c r="O1244" s="66"/>
      <c r="P1244" s="66"/>
      <c r="Q1244" s="66"/>
      <c r="R1244" s="66"/>
      <c r="S1244" s="66"/>
      <c r="T1244" s="66"/>
      <c r="U1244" s="66"/>
      <c r="V1244" s="66"/>
      <c r="W1244" s="66"/>
      <c r="X1244" s="66"/>
      <c r="Y1244" s="66"/>
      <c r="Z1244" s="66"/>
      <c r="AA1244" s="66"/>
      <c r="AB1244" s="66"/>
      <c r="AC1244" s="66"/>
    </row>
    <row r="1245" spans="1:29" ht="15.5">
      <c r="A1245" s="66"/>
      <c r="B1245" s="66"/>
      <c r="C1245" s="66"/>
      <c r="D1245" s="66"/>
      <c r="E1245" s="66"/>
      <c r="F1245" s="66"/>
      <c r="G1245" s="66"/>
      <c r="H1245" s="66"/>
      <c r="I1245" s="66"/>
      <c r="J1245" s="66"/>
      <c r="K1245" s="66"/>
      <c r="L1245" s="66"/>
      <c r="M1245" s="66"/>
      <c r="N1245" s="66"/>
      <c r="O1245" s="66"/>
      <c r="P1245" s="66"/>
      <c r="Q1245" s="66"/>
      <c r="R1245" s="66"/>
      <c r="S1245" s="66"/>
      <c r="T1245" s="66"/>
      <c r="U1245" s="66"/>
      <c r="V1245" s="66"/>
      <c r="W1245" s="66"/>
      <c r="X1245" s="66"/>
      <c r="Y1245" s="66"/>
      <c r="Z1245" s="66"/>
      <c r="AA1245" s="66"/>
      <c r="AB1245" s="66"/>
      <c r="AC1245" s="66"/>
    </row>
    <row r="1246" spans="1:29" ht="15.5">
      <c r="A1246" s="66"/>
      <c r="B1246" s="66"/>
      <c r="C1246" s="66"/>
      <c r="D1246" s="66"/>
      <c r="E1246" s="66"/>
      <c r="F1246" s="66"/>
      <c r="G1246" s="66"/>
      <c r="H1246" s="66"/>
      <c r="I1246" s="66"/>
      <c r="J1246" s="66"/>
      <c r="K1246" s="66"/>
      <c r="L1246" s="66"/>
      <c r="M1246" s="66"/>
      <c r="N1246" s="66"/>
      <c r="O1246" s="66"/>
      <c r="P1246" s="66"/>
      <c r="Q1246" s="66"/>
      <c r="R1246" s="66"/>
      <c r="S1246" s="66"/>
      <c r="T1246" s="66"/>
      <c r="U1246" s="66"/>
      <c r="V1246" s="66"/>
      <c r="W1246" s="66"/>
      <c r="X1246" s="66"/>
      <c r="Y1246" s="66"/>
      <c r="Z1246" s="66"/>
      <c r="AA1246" s="66"/>
      <c r="AB1246" s="66"/>
      <c r="AC1246" s="66"/>
    </row>
    <row r="1247" spans="1:29" ht="15.5">
      <c r="A1247" s="66"/>
      <c r="B1247" s="66"/>
      <c r="C1247" s="66"/>
      <c r="D1247" s="66"/>
      <c r="E1247" s="66"/>
      <c r="F1247" s="66"/>
      <c r="G1247" s="66"/>
      <c r="H1247" s="66"/>
      <c r="I1247" s="66"/>
      <c r="J1247" s="66"/>
      <c r="K1247" s="66"/>
      <c r="L1247" s="66"/>
      <c r="M1247" s="66"/>
      <c r="N1247" s="66"/>
      <c r="O1247" s="66"/>
      <c r="P1247" s="66"/>
      <c r="Q1247" s="66"/>
      <c r="R1247" s="66"/>
      <c r="S1247" s="66"/>
      <c r="T1247" s="66"/>
      <c r="U1247" s="66"/>
      <c r="V1247" s="66"/>
      <c r="W1247" s="66"/>
      <c r="X1247" s="66"/>
      <c r="Y1247" s="66"/>
      <c r="Z1247" s="66"/>
      <c r="AA1247" s="66"/>
      <c r="AB1247" s="66"/>
      <c r="AC1247" s="66"/>
    </row>
    <row r="1248" spans="1:29" ht="15.5">
      <c r="A1248" s="66"/>
      <c r="B1248" s="66"/>
      <c r="C1248" s="66"/>
      <c r="D1248" s="66"/>
      <c r="E1248" s="66"/>
      <c r="F1248" s="66"/>
      <c r="G1248" s="66"/>
      <c r="H1248" s="66"/>
      <c r="I1248" s="66"/>
      <c r="J1248" s="66"/>
      <c r="K1248" s="66"/>
      <c r="L1248" s="66"/>
      <c r="M1248" s="66"/>
      <c r="N1248" s="66"/>
      <c r="O1248" s="66"/>
      <c r="P1248" s="66"/>
      <c r="Q1248" s="66"/>
      <c r="R1248" s="66"/>
      <c r="S1248" s="66"/>
      <c r="T1248" s="66"/>
      <c r="U1248" s="66"/>
      <c r="V1248" s="66"/>
      <c r="W1248" s="66"/>
      <c r="X1248" s="66"/>
      <c r="Y1248" s="66"/>
      <c r="Z1248" s="66"/>
      <c r="AA1248" s="66"/>
      <c r="AB1248" s="66"/>
      <c r="AC1248" s="66"/>
    </row>
    <row r="1249" spans="1:29" ht="15.5">
      <c r="A1249" s="66"/>
      <c r="B1249" s="66"/>
      <c r="C1249" s="66"/>
      <c r="D1249" s="66"/>
      <c r="E1249" s="66"/>
      <c r="F1249" s="66"/>
      <c r="G1249" s="66"/>
      <c r="H1249" s="66"/>
      <c r="I1249" s="66"/>
      <c r="J1249" s="66"/>
      <c r="K1249" s="66"/>
      <c r="L1249" s="66"/>
      <c r="M1249" s="66"/>
      <c r="N1249" s="66"/>
      <c r="O1249" s="66"/>
      <c r="P1249" s="66"/>
      <c r="Q1249" s="66"/>
      <c r="R1249" s="66"/>
      <c r="S1249" s="66"/>
      <c r="T1249" s="66"/>
      <c r="U1249" s="66"/>
      <c r="V1249" s="66"/>
      <c r="W1249" s="66"/>
      <c r="X1249" s="66"/>
      <c r="Y1249" s="66"/>
      <c r="Z1249" s="66"/>
      <c r="AA1249" s="66"/>
      <c r="AB1249" s="66"/>
      <c r="AC1249" s="66"/>
    </row>
    <row r="1250" spans="1:29" ht="15.5">
      <c r="A1250" s="66"/>
      <c r="B1250" s="66"/>
      <c r="C1250" s="66"/>
      <c r="D1250" s="66"/>
      <c r="E1250" s="66"/>
      <c r="F1250" s="66"/>
      <c r="G1250" s="66"/>
      <c r="H1250" s="66"/>
      <c r="I1250" s="66"/>
      <c r="J1250" s="66"/>
      <c r="K1250" s="66"/>
      <c r="L1250" s="66"/>
      <c r="M1250" s="66"/>
      <c r="N1250" s="66"/>
      <c r="O1250" s="66"/>
      <c r="P1250" s="66"/>
      <c r="Q1250" s="66"/>
      <c r="R1250" s="66"/>
      <c r="S1250" s="66"/>
      <c r="T1250" s="66"/>
      <c r="U1250" s="66"/>
      <c r="V1250" s="66"/>
      <c r="W1250" s="66"/>
      <c r="X1250" s="66"/>
      <c r="Y1250" s="66"/>
      <c r="Z1250" s="66"/>
      <c r="AA1250" s="66"/>
      <c r="AB1250" s="66"/>
      <c r="AC1250" s="66"/>
    </row>
    <row r="1251" spans="1:29" ht="15.5">
      <c r="A1251" s="66"/>
      <c r="B1251" s="66"/>
      <c r="C1251" s="66"/>
      <c r="D1251" s="66"/>
      <c r="E1251" s="66"/>
      <c r="F1251" s="66"/>
      <c r="G1251" s="66"/>
      <c r="H1251" s="66"/>
      <c r="I1251" s="66"/>
      <c r="J1251" s="66"/>
      <c r="K1251" s="66"/>
      <c r="L1251" s="66"/>
      <c r="M1251" s="66"/>
      <c r="N1251" s="66"/>
      <c r="O1251" s="66"/>
      <c r="P1251" s="66"/>
      <c r="Q1251" s="66"/>
      <c r="R1251" s="66"/>
      <c r="S1251" s="66"/>
      <c r="T1251" s="66"/>
      <c r="U1251" s="66"/>
      <c r="V1251" s="66"/>
      <c r="W1251" s="66"/>
      <c r="X1251" s="66"/>
      <c r="Y1251" s="66"/>
      <c r="Z1251" s="66"/>
      <c r="AA1251" s="66"/>
      <c r="AB1251" s="66"/>
      <c r="AC1251" s="66"/>
    </row>
    <row r="1252" spans="1:29" ht="15.5">
      <c r="A1252" s="66"/>
      <c r="B1252" s="66"/>
      <c r="C1252" s="66"/>
      <c r="D1252" s="66"/>
      <c r="E1252" s="66"/>
      <c r="F1252" s="66"/>
      <c r="G1252" s="66"/>
      <c r="H1252" s="66"/>
      <c r="I1252" s="66"/>
      <c r="J1252" s="66"/>
      <c r="K1252" s="66"/>
      <c r="L1252" s="66"/>
      <c r="M1252" s="66"/>
      <c r="N1252" s="66"/>
      <c r="O1252" s="66"/>
      <c r="P1252" s="66"/>
      <c r="Q1252" s="66"/>
      <c r="R1252" s="66"/>
      <c r="S1252" s="66"/>
      <c r="T1252" s="66"/>
      <c r="U1252" s="66"/>
      <c r="V1252" s="66"/>
      <c r="W1252" s="66"/>
      <c r="X1252" s="66"/>
      <c r="Y1252" s="66"/>
      <c r="Z1252" s="66"/>
      <c r="AA1252" s="66"/>
      <c r="AB1252" s="66"/>
      <c r="AC1252" s="66"/>
    </row>
    <row r="1253" spans="1:29" ht="15.5">
      <c r="A1253" s="66"/>
      <c r="B1253" s="66"/>
      <c r="C1253" s="66"/>
      <c r="D1253" s="66"/>
      <c r="E1253" s="66"/>
      <c r="F1253" s="66"/>
      <c r="G1253" s="66"/>
      <c r="H1253" s="66"/>
      <c r="I1253" s="66"/>
      <c r="J1253" s="66"/>
      <c r="K1253" s="66"/>
      <c r="L1253" s="66"/>
      <c r="M1253" s="66"/>
      <c r="N1253" s="66"/>
      <c r="O1253" s="66"/>
      <c r="P1253" s="66"/>
      <c r="Q1253" s="66"/>
      <c r="R1253" s="66"/>
      <c r="S1253" s="66"/>
      <c r="T1253" s="66"/>
      <c r="U1253" s="66"/>
      <c r="V1253" s="66"/>
      <c r="W1253" s="66"/>
      <c r="X1253" s="66"/>
      <c r="Y1253" s="66"/>
      <c r="Z1253" s="66"/>
      <c r="AA1253" s="66"/>
      <c r="AB1253" s="66"/>
      <c r="AC1253" s="66"/>
    </row>
    <row r="1254" spans="1:29" ht="15.5">
      <c r="A1254" s="66"/>
      <c r="B1254" s="66"/>
      <c r="C1254" s="66"/>
      <c r="D1254" s="66"/>
      <c r="E1254" s="66"/>
      <c r="F1254" s="66"/>
      <c r="G1254" s="66"/>
      <c r="H1254" s="66"/>
      <c r="I1254" s="66"/>
      <c r="J1254" s="66"/>
      <c r="K1254" s="66"/>
      <c r="L1254" s="66"/>
      <c r="M1254" s="66"/>
      <c r="N1254" s="66"/>
      <c r="O1254" s="66"/>
      <c r="P1254" s="66"/>
      <c r="Q1254" s="66"/>
      <c r="R1254" s="66"/>
      <c r="S1254" s="66"/>
      <c r="T1254" s="66"/>
      <c r="U1254" s="66"/>
      <c r="V1254" s="66"/>
      <c r="W1254" s="66"/>
      <c r="X1254" s="66"/>
      <c r="Y1254" s="66"/>
      <c r="Z1254" s="66"/>
      <c r="AA1254" s="66"/>
      <c r="AB1254" s="66"/>
      <c r="AC1254" s="66"/>
    </row>
    <row r="1255" spans="1:29" ht="15.5">
      <c r="A1255" s="66"/>
      <c r="B1255" s="66"/>
      <c r="C1255" s="66"/>
      <c r="D1255" s="66"/>
      <c r="E1255" s="66"/>
      <c r="F1255" s="66"/>
      <c r="G1255" s="66"/>
      <c r="H1255" s="66"/>
      <c r="I1255" s="66"/>
      <c r="J1255" s="66"/>
      <c r="K1255" s="66"/>
      <c r="L1255" s="66"/>
      <c r="M1255" s="66"/>
      <c r="N1255" s="66"/>
      <c r="O1255" s="66"/>
      <c r="P1255" s="66"/>
      <c r="Q1255" s="66"/>
      <c r="R1255" s="66"/>
      <c r="S1255" s="66"/>
      <c r="T1255" s="66"/>
      <c r="U1255" s="66"/>
      <c r="V1255" s="66"/>
      <c r="W1255" s="66"/>
      <c r="X1255" s="66"/>
      <c r="Y1255" s="66"/>
      <c r="Z1255" s="66"/>
      <c r="AA1255" s="66"/>
      <c r="AB1255" s="66"/>
      <c r="AC1255" s="66"/>
    </row>
    <row r="1256" spans="1:29" ht="15.5">
      <c r="A1256" s="66"/>
      <c r="B1256" s="66"/>
      <c r="C1256" s="66"/>
      <c r="D1256" s="66"/>
      <c r="E1256" s="66"/>
      <c r="F1256" s="66"/>
      <c r="G1256" s="66"/>
      <c r="H1256" s="66"/>
      <c r="I1256" s="66"/>
      <c r="J1256" s="66"/>
      <c r="K1256" s="66"/>
      <c r="L1256" s="66"/>
      <c r="M1256" s="66"/>
      <c r="N1256" s="66"/>
      <c r="O1256" s="66"/>
      <c r="P1256" s="66"/>
      <c r="Q1256" s="66"/>
      <c r="R1256" s="66"/>
      <c r="S1256" s="66"/>
      <c r="T1256" s="66"/>
      <c r="U1256" s="66"/>
      <c r="V1256" s="66"/>
      <c r="W1256" s="66"/>
      <c r="X1256" s="66"/>
      <c r="Y1256" s="66"/>
      <c r="Z1256" s="66"/>
      <c r="AA1256" s="66"/>
      <c r="AB1256" s="66"/>
      <c r="AC1256" s="66"/>
    </row>
    <row r="1257" spans="1:29" ht="15.5">
      <c r="A1257" s="66"/>
      <c r="B1257" s="66"/>
      <c r="C1257" s="66"/>
      <c r="D1257" s="66"/>
      <c r="E1257" s="66"/>
      <c r="F1257" s="66"/>
      <c r="G1257" s="66"/>
      <c r="H1257" s="66"/>
      <c r="I1257" s="66"/>
      <c r="J1257" s="66"/>
      <c r="K1257" s="66"/>
      <c r="L1257" s="66"/>
      <c r="M1257" s="66"/>
      <c r="N1257" s="66"/>
      <c r="O1257" s="66"/>
      <c r="P1257" s="66"/>
      <c r="Q1257" s="66"/>
      <c r="R1257" s="66"/>
      <c r="S1257" s="66"/>
      <c r="T1257" s="66"/>
      <c r="U1257" s="66"/>
      <c r="V1257" s="66"/>
      <c r="W1257" s="66"/>
      <c r="X1257" s="66"/>
      <c r="Y1257" s="66"/>
      <c r="Z1257" s="66"/>
      <c r="AA1257" s="66"/>
      <c r="AB1257" s="66"/>
      <c r="AC1257" s="66"/>
    </row>
    <row r="1258" spans="1:29" ht="15.5">
      <c r="A1258" s="66"/>
      <c r="B1258" s="66"/>
      <c r="C1258" s="66"/>
      <c r="D1258" s="66"/>
      <c r="E1258" s="66"/>
      <c r="F1258" s="66"/>
      <c r="G1258" s="66"/>
      <c r="H1258" s="66"/>
      <c r="I1258" s="66"/>
      <c r="J1258" s="66"/>
      <c r="K1258" s="66"/>
      <c r="L1258" s="66"/>
      <c r="M1258" s="66"/>
      <c r="N1258" s="66"/>
      <c r="O1258" s="66"/>
      <c r="P1258" s="66"/>
      <c r="Q1258" s="66"/>
      <c r="R1258" s="66"/>
      <c r="S1258" s="66"/>
      <c r="T1258" s="66"/>
      <c r="U1258" s="66"/>
      <c r="V1258" s="66"/>
      <c r="W1258" s="66"/>
      <c r="X1258" s="66"/>
      <c r="Y1258" s="66"/>
      <c r="Z1258" s="66"/>
      <c r="AA1258" s="66"/>
      <c r="AB1258" s="66"/>
      <c r="AC1258" s="66"/>
    </row>
    <row r="1259" spans="1:29" ht="15.5">
      <c r="A1259" s="66"/>
      <c r="B1259" s="66"/>
      <c r="C1259" s="66"/>
      <c r="D1259" s="66"/>
      <c r="E1259" s="66"/>
      <c r="F1259" s="66"/>
      <c r="G1259" s="66"/>
      <c r="H1259" s="66"/>
      <c r="I1259" s="66"/>
      <c r="J1259" s="66"/>
      <c r="K1259" s="66"/>
      <c r="L1259" s="66"/>
      <c r="M1259" s="66"/>
      <c r="N1259" s="66"/>
      <c r="O1259" s="66"/>
      <c r="P1259" s="66"/>
      <c r="Q1259" s="66"/>
      <c r="R1259" s="66"/>
      <c r="S1259" s="66"/>
      <c r="T1259" s="66"/>
      <c r="U1259" s="66"/>
      <c r="V1259" s="66"/>
      <c r="W1259" s="66"/>
      <c r="X1259" s="66"/>
      <c r="Y1259" s="66"/>
      <c r="Z1259" s="66"/>
      <c r="AA1259" s="66"/>
      <c r="AB1259" s="66"/>
      <c r="AC1259" s="66"/>
    </row>
    <row r="1260" spans="1:29" ht="15.5">
      <c r="A1260" s="66"/>
      <c r="B1260" s="66"/>
      <c r="C1260" s="66"/>
      <c r="D1260" s="66"/>
      <c r="E1260" s="66"/>
      <c r="F1260" s="66"/>
      <c r="G1260" s="66"/>
      <c r="H1260" s="66"/>
      <c r="I1260" s="66"/>
      <c r="J1260" s="66"/>
      <c r="K1260" s="66"/>
      <c r="L1260" s="66"/>
      <c r="M1260" s="66"/>
      <c r="N1260" s="66"/>
      <c r="O1260" s="66"/>
      <c r="P1260" s="66"/>
      <c r="Q1260" s="66"/>
      <c r="R1260" s="66"/>
      <c r="S1260" s="66"/>
      <c r="T1260" s="66"/>
      <c r="U1260" s="66"/>
      <c r="V1260" s="66"/>
      <c r="W1260" s="66"/>
      <c r="X1260" s="66"/>
      <c r="Y1260" s="66"/>
      <c r="Z1260" s="66"/>
      <c r="AA1260" s="66"/>
      <c r="AB1260" s="66"/>
      <c r="AC1260" s="66"/>
    </row>
    <row r="1261" spans="1:29" ht="15.5">
      <c r="A1261" s="66"/>
      <c r="B1261" s="66"/>
      <c r="C1261" s="66"/>
      <c r="D1261" s="66"/>
      <c r="E1261" s="66"/>
      <c r="F1261" s="66"/>
      <c r="G1261" s="66"/>
      <c r="H1261" s="66"/>
      <c r="I1261" s="66"/>
      <c r="J1261" s="66"/>
      <c r="K1261" s="66"/>
      <c r="L1261" s="66"/>
      <c r="M1261" s="66"/>
      <c r="N1261" s="66"/>
      <c r="O1261" s="66"/>
      <c r="P1261" s="66"/>
      <c r="Q1261" s="66"/>
      <c r="R1261" s="66"/>
      <c r="S1261" s="66"/>
      <c r="T1261" s="66"/>
      <c r="U1261" s="66"/>
      <c r="V1261" s="66"/>
      <c r="W1261" s="66"/>
      <c r="X1261" s="66"/>
      <c r="Y1261" s="66"/>
      <c r="Z1261" s="66"/>
      <c r="AA1261" s="66"/>
      <c r="AB1261" s="66"/>
      <c r="AC1261" s="66"/>
    </row>
    <row r="1262" spans="1:29" ht="15.5">
      <c r="A1262" s="66"/>
      <c r="B1262" s="66"/>
      <c r="C1262" s="66"/>
      <c r="D1262" s="66"/>
      <c r="E1262" s="66"/>
      <c r="F1262" s="66"/>
      <c r="G1262" s="66"/>
      <c r="H1262" s="66"/>
      <c r="I1262" s="66"/>
      <c r="J1262" s="66"/>
      <c r="K1262" s="66"/>
      <c r="L1262" s="66"/>
      <c r="M1262" s="66"/>
      <c r="N1262" s="66"/>
      <c r="O1262" s="66"/>
      <c r="P1262" s="66"/>
      <c r="Q1262" s="66"/>
      <c r="R1262" s="66"/>
      <c r="S1262" s="66"/>
      <c r="T1262" s="66"/>
      <c r="U1262" s="66"/>
      <c r="V1262" s="66"/>
      <c r="W1262" s="66"/>
      <c r="X1262" s="66"/>
      <c r="Y1262" s="66"/>
      <c r="Z1262" s="66"/>
      <c r="AA1262" s="66"/>
      <c r="AB1262" s="66"/>
      <c r="AC1262" s="66"/>
    </row>
    <row r="1263" spans="1:29" ht="15.5">
      <c r="A1263" s="66"/>
      <c r="B1263" s="66"/>
      <c r="C1263" s="66"/>
      <c r="D1263" s="66"/>
      <c r="E1263" s="66"/>
      <c r="F1263" s="66"/>
      <c r="G1263" s="66"/>
      <c r="H1263" s="66"/>
      <c r="I1263" s="66"/>
      <c r="J1263" s="66"/>
      <c r="K1263" s="66"/>
      <c r="L1263" s="66"/>
      <c r="M1263" s="66"/>
      <c r="N1263" s="66"/>
      <c r="O1263" s="66"/>
      <c r="P1263" s="66"/>
      <c r="Q1263" s="66"/>
      <c r="R1263" s="66"/>
      <c r="S1263" s="66"/>
      <c r="T1263" s="66"/>
      <c r="U1263" s="66"/>
      <c r="V1263" s="66"/>
      <c r="W1263" s="66"/>
      <c r="X1263" s="66"/>
      <c r="Y1263" s="66"/>
      <c r="Z1263" s="66"/>
      <c r="AA1263" s="66"/>
      <c r="AB1263" s="66"/>
      <c r="AC1263" s="66"/>
    </row>
    <row r="1264" spans="1:29" ht="15.5">
      <c r="A1264" s="66"/>
      <c r="B1264" s="66"/>
      <c r="C1264" s="66"/>
      <c r="D1264" s="66"/>
      <c r="E1264" s="66"/>
      <c r="F1264" s="66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66"/>
      <c r="R1264" s="66"/>
      <c r="S1264" s="66"/>
      <c r="T1264" s="66"/>
      <c r="U1264" s="66"/>
      <c r="V1264" s="66"/>
      <c r="W1264" s="66"/>
      <c r="X1264" s="66"/>
      <c r="Y1264" s="66"/>
      <c r="Z1264" s="66"/>
      <c r="AA1264" s="66"/>
      <c r="AB1264" s="66"/>
      <c r="AC1264" s="66"/>
    </row>
    <row r="1265" spans="1:29" ht="15.5">
      <c r="A1265" s="66"/>
      <c r="B1265" s="66"/>
      <c r="C1265" s="66"/>
      <c r="D1265" s="66"/>
      <c r="E1265" s="66"/>
      <c r="F1265" s="66"/>
      <c r="G1265" s="66"/>
      <c r="H1265" s="66"/>
      <c r="I1265" s="66"/>
      <c r="J1265" s="66"/>
      <c r="K1265" s="66"/>
      <c r="L1265" s="66"/>
      <c r="M1265" s="66"/>
      <c r="N1265" s="66"/>
      <c r="O1265" s="66"/>
      <c r="P1265" s="66"/>
      <c r="Q1265" s="66"/>
      <c r="R1265" s="66"/>
      <c r="S1265" s="66"/>
      <c r="T1265" s="66"/>
      <c r="U1265" s="66"/>
      <c r="V1265" s="66"/>
      <c r="W1265" s="66"/>
      <c r="X1265" s="66"/>
      <c r="Y1265" s="66"/>
      <c r="Z1265" s="66"/>
      <c r="AA1265" s="66"/>
      <c r="AB1265" s="66"/>
      <c r="AC1265" s="66"/>
    </row>
    <row r="1266" spans="1:29" ht="15.5">
      <c r="A1266" s="66"/>
      <c r="B1266" s="66"/>
      <c r="C1266" s="66"/>
      <c r="D1266" s="66"/>
      <c r="E1266" s="66"/>
      <c r="F1266" s="66"/>
      <c r="G1266" s="66"/>
      <c r="H1266" s="66"/>
      <c r="I1266" s="66"/>
      <c r="J1266" s="66"/>
      <c r="K1266" s="66"/>
      <c r="L1266" s="66"/>
      <c r="M1266" s="66"/>
      <c r="N1266" s="66"/>
      <c r="O1266" s="66"/>
      <c r="P1266" s="66"/>
      <c r="Q1266" s="66"/>
      <c r="R1266" s="66"/>
      <c r="S1266" s="66"/>
      <c r="T1266" s="66"/>
      <c r="U1266" s="66"/>
      <c r="V1266" s="66"/>
      <c r="W1266" s="66"/>
      <c r="X1266" s="66"/>
      <c r="Y1266" s="66"/>
      <c r="Z1266" s="66"/>
      <c r="AA1266" s="66"/>
      <c r="AB1266" s="66"/>
      <c r="AC1266" s="66"/>
    </row>
    <row r="1267" spans="1:29" ht="15.5">
      <c r="A1267" s="66"/>
      <c r="B1267" s="66"/>
      <c r="C1267" s="66"/>
      <c r="D1267" s="66"/>
      <c r="E1267" s="66"/>
      <c r="F1267" s="66"/>
      <c r="G1267" s="66"/>
      <c r="H1267" s="66"/>
      <c r="I1267" s="66"/>
      <c r="J1267" s="66"/>
      <c r="K1267" s="66"/>
      <c r="L1267" s="66"/>
      <c r="M1267" s="66"/>
      <c r="N1267" s="66"/>
      <c r="O1267" s="66"/>
      <c r="P1267" s="66"/>
      <c r="Q1267" s="66"/>
      <c r="R1267" s="66"/>
      <c r="S1267" s="66"/>
      <c r="T1267" s="66"/>
      <c r="U1267" s="66"/>
      <c r="V1267" s="66"/>
      <c r="W1267" s="66"/>
      <c r="X1267" s="66"/>
      <c r="Y1267" s="66"/>
      <c r="Z1267" s="66"/>
      <c r="AA1267" s="66"/>
      <c r="AB1267" s="66"/>
      <c r="AC1267" s="66"/>
    </row>
    <row r="1268" spans="1:29" ht="15.5">
      <c r="A1268" s="66"/>
      <c r="B1268" s="66"/>
      <c r="C1268" s="66"/>
      <c r="D1268" s="66"/>
      <c r="E1268" s="66"/>
      <c r="F1268" s="66"/>
      <c r="G1268" s="66"/>
      <c r="H1268" s="66"/>
      <c r="I1268" s="66"/>
      <c r="J1268" s="66"/>
      <c r="K1268" s="66"/>
      <c r="L1268" s="66"/>
      <c r="M1268" s="66"/>
      <c r="N1268" s="66"/>
      <c r="O1268" s="66"/>
      <c r="P1268" s="66"/>
      <c r="Q1268" s="66"/>
      <c r="R1268" s="66"/>
      <c r="S1268" s="66"/>
      <c r="T1268" s="66"/>
      <c r="U1268" s="66"/>
      <c r="V1268" s="66"/>
      <c r="W1268" s="66"/>
      <c r="X1268" s="66"/>
      <c r="Y1268" s="66"/>
      <c r="Z1268" s="66"/>
      <c r="AA1268" s="66"/>
      <c r="AB1268" s="66"/>
      <c r="AC1268" s="66"/>
    </row>
    <row r="1269" spans="1:29" ht="15.5">
      <c r="A1269" s="66"/>
      <c r="B1269" s="66"/>
      <c r="C1269" s="66"/>
      <c r="D1269" s="66"/>
      <c r="E1269" s="66"/>
      <c r="F1269" s="66"/>
      <c r="G1269" s="66"/>
      <c r="H1269" s="66"/>
      <c r="I1269" s="66"/>
      <c r="J1269" s="66"/>
      <c r="K1269" s="66"/>
      <c r="L1269" s="66"/>
      <c r="M1269" s="66"/>
      <c r="N1269" s="66"/>
      <c r="O1269" s="66"/>
      <c r="P1269" s="66"/>
      <c r="Q1269" s="66"/>
      <c r="R1269" s="66"/>
      <c r="S1269" s="66"/>
      <c r="T1269" s="66"/>
      <c r="U1269" s="66"/>
      <c r="V1269" s="66"/>
      <c r="W1269" s="66"/>
      <c r="X1269" s="66"/>
      <c r="Y1269" s="66"/>
      <c r="Z1269" s="66"/>
      <c r="AA1269" s="66"/>
      <c r="AB1269" s="66"/>
      <c r="AC1269" s="66"/>
    </row>
    <row r="1270" spans="1:29" ht="15.5">
      <c r="A1270" s="66"/>
      <c r="B1270" s="66"/>
      <c r="C1270" s="66"/>
      <c r="D1270" s="66"/>
      <c r="E1270" s="66"/>
      <c r="F1270" s="66"/>
      <c r="G1270" s="66"/>
      <c r="H1270" s="66"/>
      <c r="I1270" s="66"/>
      <c r="J1270" s="66"/>
      <c r="K1270" s="66"/>
      <c r="L1270" s="66"/>
      <c r="M1270" s="66"/>
      <c r="N1270" s="66"/>
      <c r="O1270" s="66"/>
      <c r="P1270" s="66"/>
      <c r="Q1270" s="66"/>
      <c r="R1270" s="66"/>
      <c r="S1270" s="66"/>
      <c r="T1270" s="66"/>
      <c r="U1270" s="66"/>
      <c r="V1270" s="66"/>
      <c r="W1270" s="66"/>
      <c r="X1270" s="66"/>
      <c r="Y1270" s="66"/>
      <c r="Z1270" s="66"/>
      <c r="AA1270" s="66"/>
      <c r="AB1270" s="66"/>
      <c r="AC1270" s="66"/>
    </row>
    <row r="1271" spans="1:29" ht="15.5">
      <c r="A1271" s="66"/>
      <c r="B1271" s="66"/>
      <c r="C1271" s="66"/>
      <c r="D1271" s="66"/>
      <c r="E1271" s="66"/>
      <c r="F1271" s="66"/>
      <c r="G1271" s="66"/>
      <c r="H1271" s="66"/>
      <c r="I1271" s="66"/>
      <c r="J1271" s="66"/>
      <c r="K1271" s="66"/>
      <c r="L1271" s="66"/>
      <c r="M1271" s="66"/>
      <c r="N1271" s="66"/>
      <c r="O1271" s="66"/>
      <c r="P1271" s="66"/>
      <c r="Q1271" s="66"/>
      <c r="R1271" s="66"/>
      <c r="S1271" s="66"/>
      <c r="T1271" s="66"/>
      <c r="U1271" s="66"/>
      <c r="V1271" s="66"/>
      <c r="W1271" s="66"/>
      <c r="X1271" s="66"/>
      <c r="Y1271" s="66"/>
      <c r="Z1271" s="66"/>
      <c r="AA1271" s="66"/>
      <c r="AB1271" s="66"/>
      <c r="AC1271" s="66"/>
    </row>
    <row r="1272" spans="1:29" ht="15.5">
      <c r="A1272" s="66"/>
      <c r="B1272" s="66"/>
      <c r="C1272" s="66"/>
      <c r="D1272" s="66"/>
      <c r="E1272" s="66"/>
      <c r="F1272" s="66"/>
      <c r="G1272" s="66"/>
      <c r="H1272" s="66"/>
      <c r="I1272" s="66"/>
      <c r="J1272" s="66"/>
      <c r="K1272" s="66"/>
      <c r="L1272" s="66"/>
      <c r="M1272" s="66"/>
      <c r="N1272" s="66"/>
      <c r="O1272" s="66"/>
      <c r="P1272" s="66"/>
      <c r="Q1272" s="66"/>
      <c r="R1272" s="66"/>
      <c r="S1272" s="66"/>
      <c r="T1272" s="66"/>
      <c r="U1272" s="66"/>
      <c r="V1272" s="66"/>
      <c r="W1272" s="66"/>
      <c r="X1272" s="66"/>
      <c r="Y1272" s="66"/>
      <c r="Z1272" s="66"/>
      <c r="AA1272" s="66"/>
      <c r="AB1272" s="66"/>
      <c r="AC1272" s="66"/>
    </row>
    <row r="1273" spans="1:29" ht="15.5">
      <c r="A1273" s="66"/>
      <c r="B1273" s="66"/>
      <c r="C1273" s="66"/>
      <c r="D1273" s="66"/>
      <c r="E1273" s="66"/>
      <c r="F1273" s="66"/>
      <c r="G1273" s="66"/>
      <c r="H1273" s="66"/>
      <c r="I1273" s="66"/>
      <c r="J1273" s="66"/>
      <c r="K1273" s="66"/>
      <c r="L1273" s="66"/>
      <c r="M1273" s="66"/>
      <c r="N1273" s="66"/>
      <c r="O1273" s="66"/>
      <c r="P1273" s="66"/>
      <c r="Q1273" s="66"/>
      <c r="R1273" s="66"/>
      <c r="S1273" s="66"/>
      <c r="T1273" s="66"/>
      <c r="U1273" s="66"/>
      <c r="V1273" s="66"/>
      <c r="W1273" s="66"/>
      <c r="X1273" s="66"/>
      <c r="Y1273" s="66"/>
      <c r="Z1273" s="66"/>
      <c r="AA1273" s="66"/>
      <c r="AB1273" s="66"/>
      <c r="AC1273" s="66"/>
    </row>
    <row r="1274" spans="1:29" ht="15.5">
      <c r="A1274" s="66"/>
      <c r="B1274" s="66"/>
      <c r="C1274" s="66"/>
      <c r="D1274" s="66"/>
      <c r="E1274" s="66"/>
      <c r="F1274" s="66"/>
      <c r="G1274" s="66"/>
      <c r="H1274" s="66"/>
      <c r="I1274" s="66"/>
      <c r="J1274" s="66"/>
      <c r="K1274" s="66"/>
      <c r="L1274" s="66"/>
      <c r="M1274" s="66"/>
      <c r="N1274" s="66"/>
      <c r="O1274" s="66"/>
      <c r="P1274" s="66"/>
      <c r="Q1274" s="66"/>
      <c r="R1274" s="66"/>
      <c r="S1274" s="66"/>
      <c r="T1274" s="66"/>
      <c r="U1274" s="66"/>
      <c r="V1274" s="66"/>
      <c r="W1274" s="66"/>
      <c r="X1274" s="66"/>
      <c r="Y1274" s="66"/>
      <c r="Z1274" s="66"/>
      <c r="AA1274" s="66"/>
      <c r="AB1274" s="66"/>
      <c r="AC1274" s="66"/>
    </row>
    <row r="1275" spans="1:29" ht="15.5">
      <c r="A1275" s="66"/>
      <c r="B1275" s="66"/>
      <c r="C1275" s="66"/>
      <c r="D1275" s="66"/>
      <c r="E1275" s="66"/>
      <c r="F1275" s="66"/>
      <c r="G1275" s="66"/>
      <c r="H1275" s="66"/>
      <c r="I1275" s="66"/>
      <c r="J1275" s="66"/>
      <c r="K1275" s="66"/>
      <c r="L1275" s="66"/>
      <c r="M1275" s="66"/>
      <c r="N1275" s="66"/>
      <c r="O1275" s="66"/>
      <c r="P1275" s="66"/>
      <c r="Q1275" s="66"/>
      <c r="R1275" s="66"/>
      <c r="S1275" s="66"/>
      <c r="T1275" s="66"/>
      <c r="U1275" s="66"/>
      <c r="V1275" s="66"/>
      <c r="W1275" s="66"/>
      <c r="X1275" s="66"/>
      <c r="Y1275" s="66"/>
      <c r="Z1275" s="66"/>
      <c r="AA1275" s="66"/>
      <c r="AB1275" s="66"/>
      <c r="AC1275" s="66"/>
    </row>
    <row r="1276" spans="1:29" ht="15.5">
      <c r="A1276" s="66"/>
      <c r="B1276" s="66"/>
      <c r="C1276" s="66"/>
      <c r="D1276" s="66"/>
      <c r="E1276" s="66"/>
      <c r="F1276" s="66"/>
      <c r="G1276" s="66"/>
      <c r="H1276" s="66"/>
      <c r="I1276" s="66"/>
      <c r="J1276" s="66"/>
      <c r="K1276" s="66"/>
      <c r="L1276" s="66"/>
      <c r="M1276" s="66"/>
      <c r="N1276" s="66"/>
      <c r="O1276" s="66"/>
      <c r="P1276" s="66"/>
      <c r="Q1276" s="66"/>
      <c r="R1276" s="66"/>
      <c r="S1276" s="66"/>
      <c r="T1276" s="66"/>
      <c r="U1276" s="66"/>
      <c r="V1276" s="66"/>
      <c r="W1276" s="66"/>
      <c r="X1276" s="66"/>
      <c r="Y1276" s="66"/>
      <c r="Z1276" s="66"/>
      <c r="AA1276" s="66"/>
      <c r="AB1276" s="66"/>
      <c r="AC1276" s="66"/>
    </row>
    <row r="1277" spans="1:29" ht="15.5">
      <c r="A1277" s="66"/>
      <c r="B1277" s="66"/>
      <c r="C1277" s="66"/>
      <c r="D1277" s="66"/>
      <c r="E1277" s="66"/>
      <c r="F1277" s="66"/>
      <c r="G1277" s="66"/>
      <c r="H1277" s="66"/>
      <c r="I1277" s="66"/>
      <c r="J1277" s="66"/>
      <c r="K1277" s="66"/>
      <c r="L1277" s="66"/>
      <c r="M1277" s="66"/>
      <c r="N1277" s="66"/>
      <c r="O1277" s="66"/>
      <c r="P1277" s="66"/>
      <c r="Q1277" s="66"/>
      <c r="R1277" s="66"/>
      <c r="S1277" s="66"/>
      <c r="T1277" s="66"/>
      <c r="U1277" s="66"/>
      <c r="V1277" s="66"/>
      <c r="W1277" s="66"/>
      <c r="X1277" s="66"/>
      <c r="Y1277" s="66"/>
      <c r="Z1277" s="66"/>
      <c r="AA1277" s="66"/>
      <c r="AB1277" s="66"/>
      <c r="AC1277" s="66"/>
    </row>
    <row r="1278" spans="1:29" ht="15.5">
      <c r="A1278" s="66"/>
      <c r="B1278" s="66"/>
      <c r="C1278" s="66"/>
      <c r="D1278" s="66"/>
      <c r="E1278" s="66"/>
      <c r="F1278" s="66"/>
      <c r="G1278" s="66"/>
      <c r="H1278" s="66"/>
      <c r="I1278" s="66"/>
      <c r="J1278" s="66"/>
      <c r="K1278" s="66"/>
      <c r="L1278" s="66"/>
      <c r="M1278" s="66"/>
      <c r="N1278" s="66"/>
      <c r="O1278" s="66"/>
      <c r="P1278" s="66"/>
      <c r="Q1278" s="66"/>
      <c r="R1278" s="66"/>
      <c r="S1278" s="66"/>
      <c r="T1278" s="66"/>
      <c r="U1278" s="66"/>
      <c r="V1278" s="66"/>
      <c r="W1278" s="66"/>
      <c r="X1278" s="66"/>
      <c r="Y1278" s="66"/>
      <c r="Z1278" s="66"/>
      <c r="AA1278" s="66"/>
      <c r="AB1278" s="66"/>
      <c r="AC1278" s="66"/>
    </row>
    <row r="1279" spans="1:29" ht="15.5">
      <c r="A1279" s="66"/>
      <c r="B1279" s="66"/>
      <c r="C1279" s="66"/>
      <c r="D1279" s="66"/>
      <c r="E1279" s="66"/>
      <c r="F1279" s="66"/>
      <c r="G1279" s="66"/>
      <c r="H1279" s="66"/>
      <c r="I1279" s="66"/>
      <c r="J1279" s="66"/>
      <c r="K1279" s="66"/>
      <c r="L1279" s="66"/>
      <c r="M1279" s="66"/>
      <c r="N1279" s="66"/>
      <c r="O1279" s="66"/>
      <c r="P1279" s="66"/>
      <c r="Q1279" s="66"/>
      <c r="R1279" s="66"/>
      <c r="S1279" s="66"/>
      <c r="T1279" s="66"/>
      <c r="U1279" s="66"/>
      <c r="V1279" s="66"/>
      <c r="W1279" s="66"/>
      <c r="X1279" s="66"/>
      <c r="Y1279" s="66"/>
      <c r="Z1279" s="66"/>
      <c r="AA1279" s="66"/>
      <c r="AB1279" s="66"/>
      <c r="AC1279" s="66"/>
    </row>
    <row r="1280" spans="1:29" ht="15.5">
      <c r="A1280" s="66"/>
      <c r="B1280" s="66"/>
      <c r="C1280" s="66"/>
      <c r="D1280" s="66"/>
      <c r="E1280" s="66"/>
      <c r="F1280" s="66"/>
      <c r="G1280" s="66"/>
      <c r="H1280" s="66"/>
      <c r="I1280" s="66"/>
      <c r="J1280" s="66"/>
      <c r="K1280" s="66"/>
      <c r="L1280" s="66"/>
      <c r="M1280" s="66"/>
      <c r="N1280" s="66"/>
      <c r="O1280" s="66"/>
      <c r="P1280" s="66"/>
      <c r="Q1280" s="66"/>
      <c r="R1280" s="66"/>
      <c r="S1280" s="66"/>
      <c r="T1280" s="66"/>
      <c r="U1280" s="66"/>
      <c r="V1280" s="66"/>
      <c r="W1280" s="66"/>
      <c r="X1280" s="66"/>
      <c r="Y1280" s="66"/>
      <c r="Z1280" s="66"/>
      <c r="AA1280" s="66"/>
      <c r="AB1280" s="66"/>
      <c r="AC1280" s="66"/>
    </row>
    <row r="1281" spans="1:29" ht="15.5">
      <c r="A1281" s="66"/>
      <c r="B1281" s="66"/>
      <c r="C1281" s="66"/>
      <c r="D1281" s="66"/>
      <c r="E1281" s="66"/>
      <c r="F1281" s="66"/>
      <c r="G1281" s="66"/>
      <c r="H1281" s="66"/>
      <c r="I1281" s="66"/>
      <c r="J1281" s="66"/>
      <c r="K1281" s="66"/>
      <c r="L1281" s="66"/>
      <c r="M1281" s="66"/>
      <c r="N1281" s="66"/>
      <c r="O1281" s="66"/>
      <c r="P1281" s="66"/>
      <c r="Q1281" s="66"/>
      <c r="R1281" s="66"/>
      <c r="S1281" s="66"/>
      <c r="T1281" s="66"/>
      <c r="U1281" s="66"/>
      <c r="V1281" s="66"/>
      <c r="W1281" s="66"/>
      <c r="X1281" s="66"/>
      <c r="Y1281" s="66"/>
      <c r="Z1281" s="66"/>
      <c r="AA1281" s="66"/>
      <c r="AB1281" s="66"/>
      <c r="AC1281" s="66"/>
    </row>
    <row r="1282" spans="1:29" ht="15.5">
      <c r="A1282" s="66"/>
      <c r="B1282" s="66"/>
      <c r="C1282" s="66"/>
      <c r="D1282" s="66"/>
      <c r="E1282" s="66"/>
      <c r="F1282" s="66"/>
      <c r="G1282" s="66"/>
      <c r="H1282" s="66"/>
      <c r="I1282" s="66"/>
      <c r="J1282" s="66"/>
      <c r="K1282" s="66"/>
      <c r="L1282" s="66"/>
      <c r="M1282" s="66"/>
      <c r="N1282" s="66"/>
      <c r="O1282" s="66"/>
      <c r="P1282" s="66"/>
      <c r="Q1282" s="66"/>
      <c r="R1282" s="66"/>
      <c r="S1282" s="66"/>
      <c r="T1282" s="66"/>
      <c r="U1282" s="66"/>
      <c r="V1282" s="66"/>
      <c r="W1282" s="66"/>
      <c r="X1282" s="66"/>
      <c r="Y1282" s="66"/>
      <c r="Z1282" s="66"/>
      <c r="AA1282" s="66"/>
      <c r="AB1282" s="66"/>
      <c r="AC1282" s="66"/>
    </row>
    <row r="1283" spans="1:29" ht="15.5">
      <c r="A1283" s="66"/>
      <c r="B1283" s="66"/>
      <c r="C1283" s="66"/>
      <c r="D1283" s="66"/>
      <c r="E1283" s="66"/>
      <c r="F1283" s="66"/>
      <c r="G1283" s="66"/>
      <c r="H1283" s="66"/>
      <c r="I1283" s="66"/>
      <c r="J1283" s="66"/>
      <c r="K1283" s="66"/>
      <c r="L1283" s="66"/>
      <c r="M1283" s="66"/>
      <c r="N1283" s="66"/>
      <c r="O1283" s="66"/>
      <c r="P1283" s="66"/>
      <c r="Q1283" s="66"/>
      <c r="R1283" s="66"/>
      <c r="S1283" s="66"/>
      <c r="T1283" s="66"/>
      <c r="U1283" s="66"/>
      <c r="V1283" s="66"/>
      <c r="W1283" s="66"/>
      <c r="X1283" s="66"/>
      <c r="Y1283" s="66"/>
      <c r="Z1283" s="66"/>
      <c r="AA1283" s="66"/>
      <c r="AB1283" s="66"/>
      <c r="AC1283" s="66"/>
    </row>
    <row r="1284" spans="1:29" ht="15.5">
      <c r="A1284" s="66"/>
      <c r="B1284" s="66"/>
      <c r="C1284" s="66"/>
      <c r="D1284" s="66"/>
      <c r="E1284" s="66"/>
      <c r="F1284" s="66"/>
      <c r="G1284" s="66"/>
      <c r="H1284" s="66"/>
      <c r="I1284" s="66"/>
      <c r="J1284" s="66"/>
      <c r="K1284" s="66"/>
      <c r="L1284" s="66"/>
      <c r="M1284" s="66"/>
      <c r="N1284" s="66"/>
      <c r="O1284" s="66"/>
      <c r="P1284" s="66"/>
      <c r="Q1284" s="66"/>
      <c r="R1284" s="66"/>
      <c r="S1284" s="66"/>
      <c r="T1284" s="66"/>
      <c r="U1284" s="66"/>
      <c r="V1284" s="66"/>
      <c r="W1284" s="66"/>
      <c r="X1284" s="66"/>
      <c r="Y1284" s="66"/>
      <c r="Z1284" s="66"/>
      <c r="AA1284" s="66"/>
      <c r="AB1284" s="66"/>
      <c r="AC1284" s="66"/>
    </row>
    <row r="1285" spans="1:29" ht="15.5">
      <c r="A1285" s="66"/>
      <c r="B1285" s="66"/>
      <c r="C1285" s="66"/>
      <c r="D1285" s="66"/>
      <c r="E1285" s="66"/>
      <c r="F1285" s="66"/>
      <c r="G1285" s="66"/>
      <c r="H1285" s="66"/>
      <c r="I1285" s="66"/>
      <c r="J1285" s="66"/>
      <c r="K1285" s="66"/>
      <c r="L1285" s="66"/>
      <c r="M1285" s="66"/>
      <c r="N1285" s="66"/>
      <c r="O1285" s="66"/>
      <c r="P1285" s="66"/>
      <c r="Q1285" s="66"/>
      <c r="R1285" s="66"/>
      <c r="S1285" s="66"/>
      <c r="T1285" s="66"/>
      <c r="U1285" s="66"/>
      <c r="V1285" s="66"/>
      <c r="W1285" s="66"/>
      <c r="X1285" s="66"/>
      <c r="Y1285" s="66"/>
      <c r="Z1285" s="66"/>
      <c r="AA1285" s="66"/>
      <c r="AB1285" s="66"/>
      <c r="AC1285" s="66"/>
    </row>
    <row r="1286" spans="1:29" ht="15.5">
      <c r="A1286" s="66"/>
      <c r="B1286" s="66"/>
      <c r="C1286" s="66"/>
      <c r="D1286" s="66"/>
      <c r="E1286" s="66"/>
      <c r="F1286" s="66"/>
      <c r="G1286" s="66"/>
      <c r="H1286" s="66"/>
      <c r="I1286" s="66"/>
      <c r="J1286" s="66"/>
      <c r="K1286" s="66"/>
      <c r="L1286" s="66"/>
      <c r="M1286" s="66"/>
      <c r="N1286" s="66"/>
      <c r="O1286" s="66"/>
      <c r="P1286" s="66"/>
      <c r="Q1286" s="66"/>
      <c r="R1286" s="66"/>
      <c r="S1286" s="66"/>
      <c r="T1286" s="66"/>
      <c r="U1286" s="66"/>
      <c r="V1286" s="66"/>
      <c r="W1286" s="66"/>
      <c r="X1286" s="66"/>
      <c r="Y1286" s="66"/>
      <c r="Z1286" s="66"/>
      <c r="AA1286" s="66"/>
      <c r="AB1286" s="66"/>
      <c r="AC1286" s="66"/>
    </row>
    <row r="1287" spans="1:29" ht="15.5">
      <c r="A1287" s="66"/>
      <c r="B1287" s="66"/>
      <c r="C1287" s="66"/>
      <c r="D1287" s="66"/>
      <c r="E1287" s="66"/>
      <c r="F1287" s="66"/>
      <c r="G1287" s="66"/>
      <c r="H1287" s="66"/>
      <c r="I1287" s="66"/>
      <c r="J1287" s="66"/>
      <c r="K1287" s="66"/>
      <c r="L1287" s="66"/>
      <c r="M1287" s="66"/>
      <c r="N1287" s="66"/>
      <c r="O1287" s="66"/>
      <c r="P1287" s="66"/>
      <c r="Q1287" s="66"/>
      <c r="R1287" s="66"/>
      <c r="S1287" s="66"/>
      <c r="T1287" s="66"/>
      <c r="U1287" s="66"/>
      <c r="V1287" s="66"/>
      <c r="W1287" s="66"/>
      <c r="X1287" s="66"/>
      <c r="Y1287" s="66"/>
      <c r="Z1287" s="66"/>
      <c r="AA1287" s="66"/>
      <c r="AB1287" s="66"/>
      <c r="AC1287" s="66"/>
    </row>
    <row r="1288" spans="1:29" ht="15.5">
      <c r="A1288" s="66"/>
      <c r="B1288" s="66"/>
      <c r="C1288" s="66"/>
      <c r="D1288" s="66"/>
      <c r="E1288" s="66"/>
      <c r="F1288" s="66"/>
      <c r="G1288" s="66"/>
      <c r="H1288" s="66"/>
      <c r="I1288" s="66"/>
      <c r="J1288" s="66"/>
      <c r="K1288" s="66"/>
      <c r="L1288" s="66"/>
      <c r="M1288" s="66"/>
      <c r="N1288" s="66"/>
      <c r="O1288" s="66"/>
      <c r="P1288" s="66"/>
      <c r="Q1288" s="66"/>
      <c r="R1288" s="66"/>
      <c r="S1288" s="66"/>
      <c r="T1288" s="66"/>
      <c r="U1288" s="66"/>
      <c r="V1288" s="66"/>
      <c r="W1288" s="66"/>
      <c r="X1288" s="66"/>
      <c r="Y1288" s="66"/>
      <c r="Z1288" s="66"/>
      <c r="AA1288" s="66"/>
      <c r="AB1288" s="66"/>
      <c r="AC1288" s="66"/>
    </row>
    <row r="1289" spans="1:29" ht="15.5">
      <c r="A1289" s="66"/>
      <c r="B1289" s="66"/>
      <c r="C1289" s="66"/>
      <c r="D1289" s="66"/>
      <c r="E1289" s="66"/>
      <c r="F1289" s="66"/>
      <c r="G1289" s="66"/>
      <c r="H1289" s="66"/>
      <c r="I1289" s="66"/>
      <c r="J1289" s="66"/>
      <c r="K1289" s="66"/>
      <c r="L1289" s="66"/>
      <c r="M1289" s="66"/>
      <c r="N1289" s="66"/>
      <c r="O1289" s="66"/>
      <c r="P1289" s="66"/>
      <c r="Q1289" s="66"/>
      <c r="R1289" s="66"/>
      <c r="S1289" s="66"/>
      <c r="T1289" s="66"/>
      <c r="U1289" s="66"/>
      <c r="V1289" s="66"/>
      <c r="W1289" s="66"/>
      <c r="X1289" s="66"/>
      <c r="Y1289" s="66"/>
      <c r="Z1289" s="66"/>
      <c r="AA1289" s="66"/>
      <c r="AB1289" s="66"/>
      <c r="AC1289" s="66"/>
    </row>
    <row r="1290" spans="1:29" ht="15.5">
      <c r="A1290" s="66"/>
      <c r="B1290" s="66"/>
      <c r="C1290" s="66"/>
      <c r="D1290" s="66"/>
      <c r="E1290" s="66"/>
      <c r="F1290" s="66"/>
      <c r="G1290" s="66"/>
      <c r="H1290" s="66"/>
      <c r="I1290" s="66"/>
      <c r="J1290" s="66"/>
      <c r="K1290" s="66"/>
      <c r="L1290" s="66"/>
      <c r="M1290" s="66"/>
      <c r="N1290" s="66"/>
      <c r="O1290" s="66"/>
      <c r="P1290" s="66"/>
      <c r="Q1290" s="66"/>
      <c r="R1290" s="66"/>
      <c r="S1290" s="66"/>
      <c r="T1290" s="66"/>
      <c r="U1290" s="66"/>
      <c r="V1290" s="66"/>
      <c r="W1290" s="66"/>
      <c r="X1290" s="66"/>
      <c r="Y1290" s="66"/>
      <c r="Z1290" s="66"/>
      <c r="AA1290" s="66"/>
      <c r="AB1290" s="66"/>
      <c r="AC1290" s="66"/>
    </row>
    <row r="1291" spans="1:29" ht="15.5">
      <c r="A1291" s="66"/>
      <c r="B1291" s="66"/>
      <c r="C1291" s="66"/>
      <c r="D1291" s="66"/>
      <c r="E1291" s="66"/>
      <c r="F1291" s="66"/>
      <c r="G1291" s="66"/>
      <c r="H1291" s="66"/>
      <c r="I1291" s="66"/>
      <c r="J1291" s="66"/>
      <c r="K1291" s="66"/>
      <c r="L1291" s="66"/>
      <c r="M1291" s="66"/>
      <c r="N1291" s="66"/>
      <c r="O1291" s="66"/>
      <c r="P1291" s="66"/>
      <c r="Q1291" s="66"/>
      <c r="R1291" s="66"/>
      <c r="S1291" s="66"/>
      <c r="T1291" s="66"/>
      <c r="U1291" s="66"/>
      <c r="V1291" s="66"/>
      <c r="W1291" s="66"/>
      <c r="X1291" s="66"/>
      <c r="Y1291" s="66"/>
      <c r="Z1291" s="66"/>
      <c r="AA1291" s="66"/>
      <c r="AB1291" s="66"/>
      <c r="AC1291" s="66"/>
    </row>
    <row r="1292" spans="1:29" ht="15.5">
      <c r="A1292" s="66"/>
      <c r="B1292" s="66"/>
      <c r="C1292" s="66"/>
      <c r="D1292" s="66"/>
      <c r="E1292" s="66"/>
      <c r="F1292" s="66"/>
      <c r="G1292" s="66"/>
      <c r="H1292" s="66"/>
      <c r="I1292" s="66"/>
      <c r="J1292" s="66"/>
      <c r="K1292" s="66"/>
      <c r="L1292" s="66"/>
      <c r="M1292" s="66"/>
      <c r="N1292" s="66"/>
      <c r="O1292" s="66"/>
      <c r="P1292" s="66"/>
      <c r="Q1292" s="66"/>
      <c r="R1292" s="66"/>
      <c r="S1292" s="66"/>
      <c r="T1292" s="66"/>
      <c r="U1292" s="66"/>
      <c r="V1292" s="66"/>
      <c r="W1292" s="66"/>
      <c r="X1292" s="66"/>
      <c r="Y1292" s="66"/>
      <c r="Z1292" s="66"/>
      <c r="AA1292" s="66"/>
      <c r="AB1292" s="66"/>
      <c r="AC1292" s="66"/>
    </row>
    <row r="1293" spans="1:29" ht="15.5">
      <c r="A1293" s="66"/>
      <c r="B1293" s="66"/>
      <c r="C1293" s="66"/>
      <c r="D1293" s="66"/>
      <c r="E1293" s="66"/>
      <c r="F1293" s="66"/>
      <c r="G1293" s="66"/>
      <c r="H1293" s="66"/>
      <c r="I1293" s="66"/>
      <c r="J1293" s="66"/>
      <c r="K1293" s="66"/>
      <c r="L1293" s="66"/>
      <c r="M1293" s="66"/>
      <c r="N1293" s="66"/>
      <c r="O1293" s="66"/>
      <c r="P1293" s="66"/>
      <c r="Q1293" s="66"/>
      <c r="R1293" s="66"/>
      <c r="S1293" s="66"/>
      <c r="T1293" s="66"/>
      <c r="U1293" s="66"/>
      <c r="V1293" s="66"/>
      <c r="W1293" s="66"/>
      <c r="X1293" s="66"/>
      <c r="Y1293" s="66"/>
      <c r="Z1293" s="66"/>
      <c r="AA1293" s="66"/>
      <c r="AB1293" s="66"/>
      <c r="AC1293" s="66"/>
    </row>
    <row r="1294" spans="1:29" ht="15.5">
      <c r="A1294" s="66"/>
      <c r="B1294" s="66"/>
      <c r="C1294" s="66"/>
      <c r="D1294" s="66"/>
      <c r="E1294" s="66"/>
      <c r="F1294" s="66"/>
      <c r="G1294" s="66"/>
      <c r="H1294" s="66"/>
      <c r="I1294" s="66"/>
      <c r="J1294" s="66"/>
      <c r="K1294" s="66"/>
      <c r="L1294" s="66"/>
      <c r="M1294" s="66"/>
      <c r="N1294" s="66"/>
      <c r="O1294" s="66"/>
      <c r="P1294" s="66"/>
      <c r="Q1294" s="66"/>
      <c r="R1294" s="66"/>
      <c r="S1294" s="66"/>
      <c r="T1294" s="66"/>
      <c r="U1294" s="66"/>
      <c r="V1294" s="66"/>
      <c r="W1294" s="66"/>
      <c r="X1294" s="66"/>
      <c r="Y1294" s="66"/>
      <c r="Z1294" s="66"/>
      <c r="AA1294" s="66"/>
      <c r="AB1294" s="66"/>
      <c r="AC1294" s="66"/>
    </row>
    <row r="1295" spans="1:29" ht="15.5">
      <c r="A1295" s="66"/>
      <c r="B1295" s="66"/>
      <c r="C1295" s="66"/>
      <c r="D1295" s="66"/>
      <c r="E1295" s="66"/>
      <c r="F1295" s="66"/>
      <c r="G1295" s="66"/>
      <c r="H1295" s="66"/>
      <c r="I1295" s="66"/>
      <c r="J1295" s="66"/>
      <c r="K1295" s="66"/>
      <c r="L1295" s="66"/>
      <c r="M1295" s="66"/>
      <c r="N1295" s="66"/>
      <c r="O1295" s="66"/>
      <c r="P1295" s="66"/>
      <c r="Q1295" s="66"/>
      <c r="R1295" s="66"/>
      <c r="S1295" s="66"/>
      <c r="T1295" s="66"/>
      <c r="U1295" s="66"/>
      <c r="V1295" s="66"/>
      <c r="W1295" s="66"/>
      <c r="X1295" s="66"/>
      <c r="Y1295" s="66"/>
      <c r="Z1295" s="66"/>
      <c r="AA1295" s="66"/>
      <c r="AB1295" s="66"/>
      <c r="AC1295" s="66"/>
    </row>
    <row r="1296" spans="1:29" ht="15.5">
      <c r="A1296" s="66"/>
      <c r="B1296" s="66"/>
      <c r="C1296" s="66"/>
      <c r="D1296" s="66"/>
      <c r="E1296" s="66"/>
      <c r="F1296" s="66"/>
      <c r="G1296" s="66"/>
      <c r="H1296" s="66"/>
      <c r="I1296" s="66"/>
      <c r="J1296" s="66"/>
      <c r="K1296" s="66"/>
      <c r="L1296" s="66"/>
      <c r="M1296" s="66"/>
      <c r="N1296" s="66"/>
      <c r="O1296" s="66"/>
      <c r="P1296" s="66"/>
      <c r="Q1296" s="66"/>
      <c r="R1296" s="66"/>
      <c r="S1296" s="66"/>
      <c r="T1296" s="66"/>
      <c r="U1296" s="66"/>
      <c r="V1296" s="66"/>
      <c r="W1296" s="66"/>
      <c r="X1296" s="66"/>
      <c r="Y1296" s="66"/>
      <c r="Z1296" s="66"/>
      <c r="AA1296" s="66"/>
      <c r="AB1296" s="66"/>
      <c r="AC1296" s="66"/>
    </row>
    <row r="1297" spans="1:29" ht="15.5">
      <c r="A1297" s="66"/>
      <c r="B1297" s="66"/>
      <c r="C1297" s="66"/>
      <c r="D1297" s="66"/>
      <c r="E1297" s="66"/>
      <c r="F1297" s="66"/>
      <c r="G1297" s="66"/>
      <c r="H1297" s="66"/>
      <c r="I1297" s="66"/>
      <c r="J1297" s="66"/>
      <c r="K1297" s="66"/>
      <c r="L1297" s="66"/>
      <c r="M1297" s="66"/>
      <c r="N1297" s="66"/>
      <c r="O1297" s="66"/>
      <c r="P1297" s="66"/>
      <c r="Q1297" s="66"/>
      <c r="R1297" s="66"/>
      <c r="S1297" s="66"/>
      <c r="T1297" s="66"/>
      <c r="U1297" s="66"/>
      <c r="V1297" s="66"/>
      <c r="W1297" s="66"/>
      <c r="X1297" s="66"/>
      <c r="Y1297" s="66"/>
      <c r="Z1297" s="66"/>
      <c r="AA1297" s="66"/>
      <c r="AB1297" s="66"/>
      <c r="AC1297" s="66"/>
    </row>
    <row r="1298" spans="1:29" ht="15.5">
      <c r="A1298" s="66"/>
      <c r="B1298" s="66"/>
      <c r="C1298" s="66"/>
      <c r="D1298" s="66"/>
      <c r="E1298" s="66"/>
      <c r="F1298" s="66"/>
      <c r="G1298" s="66"/>
      <c r="H1298" s="66"/>
      <c r="I1298" s="66"/>
      <c r="J1298" s="66"/>
      <c r="K1298" s="66"/>
      <c r="L1298" s="66"/>
      <c r="M1298" s="66"/>
      <c r="N1298" s="66"/>
      <c r="O1298" s="66"/>
      <c r="P1298" s="66"/>
      <c r="Q1298" s="66"/>
      <c r="R1298" s="66"/>
      <c r="S1298" s="66"/>
      <c r="T1298" s="66"/>
      <c r="U1298" s="66"/>
      <c r="V1298" s="66"/>
      <c r="W1298" s="66"/>
      <c r="X1298" s="66"/>
      <c r="Y1298" s="66"/>
      <c r="Z1298" s="66"/>
      <c r="AA1298" s="66"/>
      <c r="AB1298" s="66"/>
      <c r="AC1298" s="66"/>
    </row>
    <row r="1299" spans="1:29" ht="15.5">
      <c r="A1299" s="66"/>
      <c r="B1299" s="66"/>
      <c r="C1299" s="66"/>
      <c r="D1299" s="66"/>
      <c r="E1299" s="66"/>
      <c r="F1299" s="66"/>
      <c r="G1299" s="66"/>
      <c r="H1299" s="66"/>
      <c r="I1299" s="66"/>
      <c r="J1299" s="66"/>
      <c r="K1299" s="66"/>
      <c r="L1299" s="66"/>
      <c r="M1299" s="66"/>
      <c r="N1299" s="66"/>
      <c r="O1299" s="66"/>
      <c r="P1299" s="66"/>
      <c r="Q1299" s="66"/>
      <c r="R1299" s="66"/>
      <c r="S1299" s="66"/>
      <c r="T1299" s="66"/>
      <c r="U1299" s="66"/>
      <c r="V1299" s="66"/>
      <c r="W1299" s="66"/>
      <c r="X1299" s="66"/>
      <c r="Y1299" s="66"/>
      <c r="Z1299" s="66"/>
      <c r="AA1299" s="66"/>
      <c r="AB1299" s="66"/>
      <c r="AC1299" s="66"/>
    </row>
    <row r="1300" spans="1:29" ht="15.5">
      <c r="A1300" s="66"/>
      <c r="B1300" s="66"/>
      <c r="C1300" s="66"/>
      <c r="D1300" s="66"/>
      <c r="E1300" s="66"/>
      <c r="F1300" s="66"/>
      <c r="G1300" s="66"/>
      <c r="H1300" s="66"/>
      <c r="I1300" s="66"/>
      <c r="J1300" s="66"/>
      <c r="K1300" s="66"/>
      <c r="L1300" s="66"/>
      <c r="M1300" s="66"/>
      <c r="N1300" s="66"/>
      <c r="O1300" s="66"/>
      <c r="P1300" s="66"/>
      <c r="Q1300" s="66"/>
      <c r="R1300" s="66"/>
      <c r="S1300" s="66"/>
      <c r="T1300" s="66"/>
      <c r="U1300" s="66"/>
      <c r="V1300" s="66"/>
      <c r="W1300" s="66"/>
      <c r="X1300" s="66"/>
      <c r="Y1300" s="66"/>
      <c r="Z1300" s="66"/>
      <c r="AA1300" s="66"/>
      <c r="AB1300" s="66"/>
      <c r="AC1300" s="66"/>
    </row>
    <row r="1301" spans="1:29" ht="15.5">
      <c r="A1301" s="66"/>
      <c r="B1301" s="66"/>
      <c r="C1301" s="66"/>
      <c r="D1301" s="66"/>
      <c r="E1301" s="66"/>
      <c r="F1301" s="66"/>
      <c r="G1301" s="66"/>
      <c r="H1301" s="66"/>
      <c r="I1301" s="66"/>
      <c r="J1301" s="66"/>
      <c r="K1301" s="66"/>
      <c r="L1301" s="66"/>
      <c r="M1301" s="66"/>
      <c r="N1301" s="66"/>
      <c r="O1301" s="66"/>
      <c r="P1301" s="66"/>
      <c r="Q1301" s="66"/>
      <c r="R1301" s="66"/>
      <c r="S1301" s="66"/>
      <c r="T1301" s="66"/>
      <c r="U1301" s="66"/>
      <c r="V1301" s="66"/>
      <c r="W1301" s="66"/>
      <c r="X1301" s="66"/>
      <c r="Y1301" s="66"/>
      <c r="Z1301" s="66"/>
      <c r="AA1301" s="66"/>
      <c r="AB1301" s="66"/>
      <c r="AC1301" s="66"/>
    </row>
    <row r="1302" spans="1:29" ht="15.5">
      <c r="A1302" s="66"/>
      <c r="B1302" s="66"/>
      <c r="C1302" s="66"/>
      <c r="D1302" s="66"/>
      <c r="E1302" s="66"/>
      <c r="F1302" s="66"/>
      <c r="G1302" s="66"/>
      <c r="H1302" s="66"/>
      <c r="I1302" s="66"/>
      <c r="J1302" s="66"/>
      <c r="K1302" s="66"/>
      <c r="L1302" s="66"/>
      <c r="M1302" s="66"/>
      <c r="N1302" s="66"/>
      <c r="O1302" s="66"/>
      <c r="P1302" s="66"/>
      <c r="Q1302" s="66"/>
      <c r="R1302" s="66"/>
      <c r="S1302" s="66"/>
      <c r="T1302" s="66"/>
      <c r="U1302" s="66"/>
      <c r="V1302" s="66"/>
      <c r="W1302" s="66"/>
      <c r="X1302" s="66"/>
      <c r="Y1302" s="66"/>
      <c r="Z1302" s="66"/>
      <c r="AA1302" s="66"/>
      <c r="AB1302" s="66"/>
      <c r="AC1302" s="66"/>
    </row>
    <row r="1303" spans="1:29" ht="15.5">
      <c r="A1303" s="66"/>
      <c r="B1303" s="66"/>
      <c r="C1303" s="66"/>
      <c r="D1303" s="66"/>
      <c r="E1303" s="66"/>
      <c r="F1303" s="66"/>
      <c r="G1303" s="66"/>
      <c r="H1303" s="66"/>
      <c r="I1303" s="66"/>
      <c r="J1303" s="66"/>
      <c r="K1303" s="66"/>
      <c r="L1303" s="66"/>
      <c r="M1303" s="66"/>
      <c r="N1303" s="66"/>
      <c r="O1303" s="66"/>
      <c r="P1303" s="66"/>
      <c r="Q1303" s="66"/>
      <c r="R1303" s="66"/>
      <c r="S1303" s="66"/>
      <c r="T1303" s="66"/>
      <c r="U1303" s="66"/>
      <c r="V1303" s="66"/>
      <c r="W1303" s="66"/>
      <c r="X1303" s="66"/>
      <c r="Y1303" s="66"/>
      <c r="Z1303" s="66"/>
      <c r="AA1303" s="66"/>
      <c r="AB1303" s="66"/>
      <c r="AC1303" s="66"/>
    </row>
    <row r="1304" spans="1:29" ht="15.5">
      <c r="A1304" s="66"/>
      <c r="B1304" s="66"/>
      <c r="C1304" s="66"/>
      <c r="D1304" s="66"/>
      <c r="E1304" s="66"/>
      <c r="F1304" s="66"/>
      <c r="G1304" s="66"/>
      <c r="H1304" s="66"/>
      <c r="I1304" s="66"/>
      <c r="J1304" s="66"/>
      <c r="K1304" s="66"/>
      <c r="L1304" s="66"/>
      <c r="M1304" s="66"/>
      <c r="N1304" s="66"/>
      <c r="O1304" s="66"/>
      <c r="P1304" s="66"/>
      <c r="Q1304" s="66"/>
      <c r="R1304" s="66"/>
      <c r="S1304" s="66"/>
      <c r="T1304" s="66"/>
      <c r="U1304" s="66"/>
      <c r="V1304" s="66"/>
      <c r="W1304" s="66"/>
      <c r="X1304" s="66"/>
      <c r="Y1304" s="66"/>
      <c r="Z1304" s="66"/>
      <c r="AA1304" s="66"/>
      <c r="AB1304" s="66"/>
      <c r="AC1304" s="66"/>
    </row>
    <row r="1305" spans="1:29" ht="15.5">
      <c r="A1305" s="66"/>
      <c r="B1305" s="66"/>
      <c r="C1305" s="66"/>
      <c r="D1305" s="66"/>
      <c r="E1305" s="66"/>
      <c r="F1305" s="66"/>
      <c r="G1305" s="66"/>
      <c r="H1305" s="66"/>
      <c r="I1305" s="66"/>
      <c r="J1305" s="66"/>
      <c r="K1305" s="66"/>
      <c r="L1305" s="66"/>
      <c r="M1305" s="66"/>
      <c r="N1305" s="66"/>
      <c r="O1305" s="66"/>
      <c r="P1305" s="66"/>
      <c r="Q1305" s="66"/>
      <c r="R1305" s="66"/>
      <c r="S1305" s="66"/>
      <c r="T1305" s="66"/>
      <c r="U1305" s="66"/>
      <c r="V1305" s="66"/>
      <c r="W1305" s="66"/>
      <c r="X1305" s="66"/>
      <c r="Y1305" s="66"/>
      <c r="Z1305" s="66"/>
      <c r="AA1305" s="66"/>
      <c r="AB1305" s="66"/>
      <c r="AC1305" s="66"/>
    </row>
    <row r="1306" spans="1:29" ht="15.5">
      <c r="A1306" s="66"/>
      <c r="B1306" s="66"/>
      <c r="C1306" s="66"/>
      <c r="D1306" s="66"/>
      <c r="E1306" s="66"/>
      <c r="F1306" s="66"/>
      <c r="G1306" s="66"/>
      <c r="H1306" s="66"/>
      <c r="I1306" s="66"/>
      <c r="J1306" s="66"/>
      <c r="K1306" s="66"/>
      <c r="L1306" s="66"/>
      <c r="M1306" s="66"/>
      <c r="N1306" s="66"/>
      <c r="O1306" s="66"/>
      <c r="P1306" s="66"/>
      <c r="Q1306" s="66"/>
      <c r="R1306" s="66"/>
      <c r="S1306" s="66"/>
      <c r="T1306" s="66"/>
      <c r="U1306" s="66"/>
      <c r="V1306" s="66"/>
      <c r="W1306" s="66"/>
      <c r="X1306" s="66"/>
      <c r="Y1306" s="66"/>
      <c r="Z1306" s="66"/>
      <c r="AA1306" s="66"/>
      <c r="AB1306" s="66"/>
      <c r="AC1306" s="66"/>
    </row>
    <row r="1307" spans="1:29" ht="15.5">
      <c r="A1307" s="66"/>
      <c r="B1307" s="66"/>
      <c r="C1307" s="66"/>
      <c r="D1307" s="66"/>
      <c r="E1307" s="66"/>
      <c r="F1307" s="66"/>
      <c r="G1307" s="66"/>
      <c r="H1307" s="66"/>
      <c r="I1307" s="66"/>
      <c r="J1307" s="66"/>
      <c r="K1307" s="66"/>
      <c r="L1307" s="66"/>
      <c r="M1307" s="66"/>
      <c r="N1307" s="66"/>
      <c r="O1307" s="66"/>
      <c r="P1307" s="66"/>
      <c r="Q1307" s="66"/>
      <c r="R1307" s="66"/>
      <c r="S1307" s="66"/>
      <c r="T1307" s="66"/>
      <c r="U1307" s="66"/>
      <c r="V1307" s="66"/>
      <c r="W1307" s="66"/>
      <c r="X1307" s="66"/>
      <c r="Y1307" s="66"/>
      <c r="Z1307" s="66"/>
      <c r="AA1307" s="66"/>
      <c r="AB1307" s="66"/>
      <c r="AC1307" s="66"/>
    </row>
    <row r="1308" spans="1:29" ht="15.5">
      <c r="A1308" s="66"/>
      <c r="B1308" s="66"/>
      <c r="C1308" s="66"/>
      <c r="D1308" s="66"/>
      <c r="E1308" s="66"/>
      <c r="F1308" s="66"/>
      <c r="G1308" s="66"/>
      <c r="H1308" s="66"/>
      <c r="I1308" s="66"/>
      <c r="J1308" s="66"/>
      <c r="K1308" s="66"/>
      <c r="L1308" s="66"/>
      <c r="M1308" s="66"/>
      <c r="N1308" s="66"/>
      <c r="O1308" s="66"/>
      <c r="P1308" s="66"/>
      <c r="Q1308" s="66"/>
      <c r="R1308" s="66"/>
      <c r="S1308" s="66"/>
      <c r="T1308" s="66"/>
      <c r="U1308" s="66"/>
      <c r="V1308" s="66"/>
      <c r="W1308" s="66"/>
      <c r="X1308" s="66"/>
      <c r="Y1308" s="66"/>
      <c r="Z1308" s="66"/>
      <c r="AA1308" s="66"/>
      <c r="AB1308" s="66"/>
      <c r="AC1308" s="66"/>
    </row>
    <row r="1309" spans="1:29" ht="15.5">
      <c r="A1309" s="66"/>
      <c r="B1309" s="66"/>
      <c r="C1309" s="66"/>
      <c r="D1309" s="66"/>
      <c r="E1309" s="66"/>
      <c r="F1309" s="66"/>
      <c r="G1309" s="66"/>
      <c r="H1309" s="66"/>
      <c r="I1309" s="66"/>
      <c r="J1309" s="66"/>
      <c r="K1309" s="66"/>
      <c r="L1309" s="66"/>
      <c r="M1309" s="66"/>
      <c r="N1309" s="66"/>
      <c r="O1309" s="66"/>
      <c r="P1309" s="66"/>
      <c r="Q1309" s="66"/>
      <c r="R1309" s="66"/>
      <c r="S1309" s="66"/>
      <c r="T1309" s="66"/>
      <c r="U1309" s="66"/>
      <c r="V1309" s="66"/>
      <c r="W1309" s="66"/>
      <c r="X1309" s="66"/>
      <c r="Y1309" s="66"/>
      <c r="Z1309" s="66"/>
      <c r="AA1309" s="66"/>
      <c r="AB1309" s="66"/>
      <c r="AC1309" s="66"/>
    </row>
    <row r="1310" spans="1:29" ht="15.5">
      <c r="A1310" s="66"/>
      <c r="B1310" s="66"/>
      <c r="C1310" s="66"/>
      <c r="D1310" s="66"/>
      <c r="E1310" s="66"/>
      <c r="F1310" s="66"/>
      <c r="G1310" s="66"/>
      <c r="H1310" s="66"/>
      <c r="I1310" s="66"/>
      <c r="J1310" s="66"/>
      <c r="K1310" s="66"/>
      <c r="L1310" s="66"/>
      <c r="M1310" s="66"/>
      <c r="N1310" s="66"/>
      <c r="O1310" s="66"/>
      <c r="P1310" s="66"/>
      <c r="Q1310" s="66"/>
      <c r="R1310" s="66"/>
      <c r="S1310" s="66"/>
      <c r="T1310" s="66"/>
      <c r="U1310" s="66"/>
      <c r="V1310" s="66"/>
      <c r="W1310" s="66"/>
      <c r="X1310" s="66"/>
      <c r="Y1310" s="66"/>
      <c r="Z1310" s="66"/>
      <c r="AA1310" s="66"/>
      <c r="AB1310" s="66"/>
      <c r="AC1310" s="66"/>
    </row>
    <row r="1311" spans="1:29" ht="15.5">
      <c r="A1311" s="66"/>
      <c r="B1311" s="66"/>
      <c r="C1311" s="66"/>
      <c r="D1311" s="66"/>
      <c r="E1311" s="66"/>
      <c r="F1311" s="66"/>
      <c r="G1311" s="66"/>
      <c r="H1311" s="66"/>
      <c r="I1311" s="66"/>
      <c r="J1311" s="66"/>
      <c r="K1311" s="66"/>
      <c r="L1311" s="66"/>
      <c r="M1311" s="66"/>
      <c r="N1311" s="66"/>
      <c r="O1311" s="66"/>
      <c r="P1311" s="66"/>
      <c r="Q1311" s="66"/>
      <c r="R1311" s="66"/>
      <c r="S1311" s="66"/>
      <c r="T1311" s="66"/>
      <c r="U1311" s="66"/>
      <c r="V1311" s="66"/>
      <c r="W1311" s="66"/>
      <c r="X1311" s="66"/>
      <c r="Y1311" s="66"/>
      <c r="Z1311" s="66"/>
      <c r="AA1311" s="66"/>
      <c r="AB1311" s="66"/>
      <c r="AC1311" s="66"/>
    </row>
    <row r="1312" spans="1:29" ht="15.5">
      <c r="A1312" s="66"/>
      <c r="B1312" s="66"/>
      <c r="C1312" s="66"/>
      <c r="D1312" s="66"/>
      <c r="E1312" s="66"/>
      <c r="F1312" s="66"/>
      <c r="G1312" s="66"/>
      <c r="H1312" s="66"/>
      <c r="I1312" s="66"/>
      <c r="J1312" s="66"/>
      <c r="K1312" s="66"/>
      <c r="L1312" s="66"/>
      <c r="M1312" s="66"/>
      <c r="N1312" s="66"/>
      <c r="O1312" s="66"/>
      <c r="P1312" s="66"/>
      <c r="Q1312" s="66"/>
      <c r="R1312" s="66"/>
      <c r="S1312" s="66"/>
      <c r="T1312" s="66"/>
      <c r="U1312" s="66"/>
      <c r="V1312" s="66"/>
      <c r="W1312" s="66"/>
      <c r="X1312" s="66"/>
      <c r="Y1312" s="66"/>
      <c r="Z1312" s="66"/>
      <c r="AA1312" s="66"/>
      <c r="AB1312" s="66"/>
      <c r="AC1312" s="66"/>
    </row>
    <row r="1313" spans="1:29" ht="15.5">
      <c r="A1313" s="66"/>
      <c r="B1313" s="66"/>
      <c r="C1313" s="66"/>
      <c r="D1313" s="66"/>
      <c r="E1313" s="66"/>
      <c r="F1313" s="66"/>
      <c r="G1313" s="66"/>
      <c r="H1313" s="66"/>
      <c r="I1313" s="66"/>
      <c r="J1313" s="66"/>
      <c r="K1313" s="66"/>
      <c r="L1313" s="66"/>
      <c r="M1313" s="66"/>
      <c r="N1313" s="66"/>
      <c r="O1313" s="66"/>
      <c r="P1313" s="66"/>
      <c r="Q1313" s="66"/>
      <c r="R1313" s="66"/>
      <c r="S1313" s="66"/>
      <c r="T1313" s="66"/>
      <c r="U1313" s="66"/>
      <c r="V1313" s="66"/>
      <c r="W1313" s="66"/>
      <c r="X1313" s="66"/>
      <c r="Y1313" s="66"/>
      <c r="Z1313" s="66"/>
      <c r="AA1313" s="66"/>
      <c r="AB1313" s="66"/>
      <c r="AC1313" s="66"/>
    </row>
    <row r="1314" spans="1:29" ht="15.5">
      <c r="A1314" s="66"/>
      <c r="B1314" s="66"/>
      <c r="C1314" s="66"/>
      <c r="D1314" s="66"/>
      <c r="E1314" s="66"/>
      <c r="F1314" s="66"/>
      <c r="G1314" s="66"/>
      <c r="H1314" s="66"/>
      <c r="I1314" s="66"/>
      <c r="J1314" s="66"/>
      <c r="K1314" s="66"/>
      <c r="L1314" s="66"/>
      <c r="M1314" s="66"/>
      <c r="N1314" s="66"/>
      <c r="O1314" s="66"/>
      <c r="P1314" s="66"/>
      <c r="Q1314" s="66"/>
      <c r="R1314" s="66"/>
      <c r="S1314" s="66"/>
      <c r="T1314" s="66"/>
      <c r="U1314" s="66"/>
      <c r="V1314" s="66"/>
      <c r="W1314" s="66"/>
      <c r="X1314" s="66"/>
      <c r="Y1314" s="66"/>
      <c r="Z1314" s="66"/>
      <c r="AA1314" s="66"/>
      <c r="AB1314" s="66"/>
      <c r="AC1314" s="66"/>
    </row>
    <row r="1315" spans="1:29" ht="15.5">
      <c r="A1315" s="66"/>
      <c r="B1315" s="66"/>
      <c r="C1315" s="66"/>
      <c r="D1315" s="66"/>
      <c r="E1315" s="66"/>
      <c r="F1315" s="66"/>
      <c r="G1315" s="66"/>
      <c r="H1315" s="66"/>
      <c r="I1315" s="66"/>
      <c r="J1315" s="66"/>
      <c r="K1315" s="66"/>
      <c r="L1315" s="66"/>
      <c r="M1315" s="66"/>
      <c r="N1315" s="66"/>
      <c r="O1315" s="66"/>
      <c r="P1315" s="66"/>
      <c r="Q1315" s="66"/>
      <c r="R1315" s="66"/>
      <c r="S1315" s="66"/>
      <c r="T1315" s="66"/>
      <c r="U1315" s="66"/>
      <c r="V1315" s="66"/>
      <c r="W1315" s="66"/>
      <c r="X1315" s="66"/>
      <c r="Y1315" s="66"/>
      <c r="Z1315" s="66"/>
      <c r="AA1315" s="66"/>
      <c r="AB1315" s="66"/>
      <c r="AC1315" s="66"/>
    </row>
    <row r="1316" spans="1:29" ht="15.5">
      <c r="A1316" s="66"/>
      <c r="B1316" s="66"/>
      <c r="C1316" s="66"/>
      <c r="D1316" s="66"/>
      <c r="E1316" s="66"/>
      <c r="F1316" s="66"/>
      <c r="G1316" s="66"/>
      <c r="H1316" s="66"/>
      <c r="I1316" s="66"/>
      <c r="J1316" s="66"/>
      <c r="K1316" s="66"/>
      <c r="L1316" s="66"/>
      <c r="M1316" s="66"/>
      <c r="N1316" s="66"/>
      <c r="O1316" s="66"/>
      <c r="P1316" s="66"/>
      <c r="Q1316" s="66"/>
      <c r="R1316" s="66"/>
      <c r="S1316" s="66"/>
      <c r="T1316" s="66"/>
      <c r="U1316" s="66"/>
      <c r="V1316" s="66"/>
      <c r="W1316" s="66"/>
      <c r="X1316" s="66"/>
      <c r="Y1316" s="66"/>
      <c r="Z1316" s="66"/>
      <c r="AA1316" s="66"/>
      <c r="AB1316" s="66"/>
      <c r="AC1316" s="66"/>
    </row>
    <row r="1317" spans="1:29" ht="15.5">
      <c r="A1317" s="66"/>
      <c r="B1317" s="66"/>
      <c r="C1317" s="66"/>
      <c r="D1317" s="66"/>
      <c r="E1317" s="66"/>
      <c r="F1317" s="66"/>
      <c r="G1317" s="66"/>
      <c r="H1317" s="66"/>
      <c r="I1317" s="66"/>
      <c r="J1317" s="66"/>
      <c r="K1317" s="66"/>
      <c r="L1317" s="66"/>
      <c r="M1317" s="66"/>
      <c r="N1317" s="66"/>
      <c r="O1317" s="66"/>
      <c r="P1317" s="66"/>
      <c r="Q1317" s="66"/>
      <c r="R1317" s="66"/>
      <c r="S1317" s="66"/>
      <c r="T1317" s="66"/>
      <c r="U1317" s="66"/>
      <c r="V1317" s="66"/>
      <c r="W1317" s="66"/>
      <c r="X1317" s="66"/>
      <c r="Y1317" s="66"/>
      <c r="Z1317" s="66"/>
      <c r="AA1317" s="66"/>
      <c r="AB1317" s="66"/>
      <c r="AC1317" s="66"/>
    </row>
    <row r="1318" spans="1:29" ht="15.5">
      <c r="A1318" s="66"/>
      <c r="B1318" s="66"/>
      <c r="C1318" s="66"/>
      <c r="D1318" s="66"/>
      <c r="E1318" s="66"/>
      <c r="F1318" s="66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66"/>
      <c r="R1318" s="66"/>
      <c r="S1318" s="66"/>
      <c r="T1318" s="66"/>
      <c r="U1318" s="66"/>
      <c r="V1318" s="66"/>
      <c r="W1318" s="66"/>
      <c r="X1318" s="66"/>
      <c r="Y1318" s="66"/>
      <c r="Z1318" s="66"/>
      <c r="AA1318" s="66"/>
      <c r="AB1318" s="66"/>
      <c r="AC1318" s="66"/>
    </row>
    <row r="1319" spans="1:29" ht="15.5">
      <c r="A1319" s="66"/>
      <c r="B1319" s="66"/>
      <c r="C1319" s="66"/>
      <c r="D1319" s="66"/>
      <c r="E1319" s="66"/>
      <c r="F1319" s="66"/>
      <c r="G1319" s="66"/>
      <c r="H1319" s="66"/>
      <c r="I1319" s="66"/>
      <c r="J1319" s="66"/>
      <c r="K1319" s="66"/>
      <c r="L1319" s="66"/>
      <c r="M1319" s="66"/>
      <c r="N1319" s="66"/>
      <c r="O1319" s="66"/>
      <c r="P1319" s="66"/>
      <c r="Q1319" s="66"/>
      <c r="R1319" s="66"/>
      <c r="S1319" s="66"/>
      <c r="T1319" s="66"/>
      <c r="U1319" s="66"/>
      <c r="V1319" s="66"/>
      <c r="W1319" s="66"/>
      <c r="X1319" s="66"/>
      <c r="Y1319" s="66"/>
      <c r="Z1319" s="66"/>
      <c r="AA1319" s="66"/>
      <c r="AB1319" s="66"/>
      <c r="AC1319" s="66"/>
    </row>
    <row r="1320" spans="1:29" ht="15.5">
      <c r="A1320" s="66"/>
      <c r="B1320" s="66"/>
      <c r="C1320" s="66"/>
      <c r="D1320" s="66"/>
      <c r="E1320" s="66"/>
      <c r="F1320" s="66"/>
      <c r="G1320" s="66"/>
      <c r="H1320" s="66"/>
      <c r="I1320" s="66"/>
      <c r="J1320" s="66"/>
      <c r="K1320" s="66"/>
      <c r="L1320" s="66"/>
      <c r="M1320" s="66"/>
      <c r="N1320" s="66"/>
      <c r="O1320" s="66"/>
      <c r="P1320" s="66"/>
      <c r="Q1320" s="66"/>
      <c r="R1320" s="66"/>
      <c r="S1320" s="66"/>
      <c r="T1320" s="66"/>
      <c r="U1320" s="66"/>
      <c r="V1320" s="66"/>
      <c r="W1320" s="66"/>
      <c r="X1320" s="66"/>
      <c r="Y1320" s="66"/>
      <c r="Z1320" s="66"/>
      <c r="AA1320" s="66"/>
      <c r="AB1320" s="66"/>
      <c r="AC1320" s="66"/>
    </row>
    <row r="1321" spans="1:29" ht="15.5">
      <c r="A1321" s="66"/>
      <c r="B1321" s="66"/>
      <c r="C1321" s="66"/>
      <c r="D1321" s="66"/>
      <c r="E1321" s="66"/>
      <c r="F1321" s="66"/>
      <c r="G1321" s="66"/>
      <c r="H1321" s="66"/>
      <c r="I1321" s="66"/>
      <c r="J1321" s="66"/>
      <c r="K1321" s="66"/>
      <c r="L1321" s="66"/>
      <c r="M1321" s="66"/>
      <c r="N1321" s="66"/>
      <c r="O1321" s="66"/>
      <c r="P1321" s="66"/>
      <c r="Q1321" s="66"/>
      <c r="R1321" s="66"/>
      <c r="S1321" s="66"/>
      <c r="T1321" s="66"/>
      <c r="U1321" s="66"/>
      <c r="V1321" s="66"/>
      <c r="W1321" s="66"/>
      <c r="X1321" s="66"/>
      <c r="Y1321" s="66"/>
      <c r="Z1321" s="66"/>
      <c r="AA1321" s="66"/>
      <c r="AB1321" s="66"/>
      <c r="AC1321" s="66"/>
    </row>
    <row r="1322" spans="1:29" ht="15.5">
      <c r="A1322" s="66"/>
      <c r="B1322" s="66"/>
      <c r="C1322" s="66"/>
      <c r="D1322" s="66"/>
      <c r="E1322" s="66"/>
      <c r="F1322" s="66"/>
      <c r="G1322" s="66"/>
      <c r="H1322" s="66"/>
      <c r="I1322" s="66"/>
      <c r="J1322" s="66"/>
      <c r="K1322" s="66"/>
      <c r="L1322" s="66"/>
      <c r="M1322" s="66"/>
      <c r="N1322" s="66"/>
      <c r="O1322" s="66"/>
      <c r="P1322" s="66"/>
      <c r="Q1322" s="66"/>
      <c r="R1322" s="66"/>
      <c r="S1322" s="66"/>
      <c r="T1322" s="66"/>
      <c r="U1322" s="66"/>
      <c r="V1322" s="66"/>
      <c r="W1322" s="66"/>
      <c r="X1322" s="66"/>
      <c r="Y1322" s="66"/>
      <c r="Z1322" s="66"/>
      <c r="AA1322" s="66"/>
      <c r="AB1322" s="66"/>
      <c r="AC1322" s="66"/>
    </row>
    <row r="1323" spans="1:29" ht="15.5">
      <c r="A1323" s="66"/>
      <c r="B1323" s="66"/>
      <c r="C1323" s="66"/>
      <c r="D1323" s="66"/>
      <c r="E1323" s="66"/>
      <c r="F1323" s="66"/>
      <c r="G1323" s="66"/>
      <c r="H1323" s="66"/>
      <c r="I1323" s="66"/>
      <c r="J1323" s="66"/>
      <c r="K1323" s="66"/>
      <c r="L1323" s="66"/>
      <c r="M1323" s="66"/>
      <c r="N1323" s="66"/>
      <c r="O1323" s="66"/>
      <c r="P1323" s="66"/>
      <c r="Q1323" s="66"/>
      <c r="R1323" s="66"/>
      <c r="S1323" s="66"/>
      <c r="T1323" s="66"/>
      <c r="U1323" s="66"/>
      <c r="V1323" s="66"/>
      <c r="W1323" s="66"/>
      <c r="X1323" s="66"/>
      <c r="Y1323" s="66"/>
      <c r="Z1323" s="66"/>
      <c r="AA1323" s="66"/>
      <c r="AB1323" s="66"/>
      <c r="AC1323" s="66"/>
    </row>
    <row r="1324" spans="1:29" ht="15.5">
      <c r="A1324" s="66"/>
      <c r="B1324" s="66"/>
      <c r="C1324" s="66"/>
      <c r="D1324" s="66"/>
      <c r="E1324" s="66"/>
      <c r="F1324" s="66"/>
      <c r="G1324" s="66"/>
      <c r="H1324" s="66"/>
      <c r="I1324" s="66"/>
      <c r="J1324" s="66"/>
      <c r="K1324" s="66"/>
      <c r="L1324" s="66"/>
      <c r="M1324" s="66"/>
      <c r="N1324" s="66"/>
      <c r="O1324" s="66"/>
      <c r="P1324" s="66"/>
      <c r="Q1324" s="66"/>
      <c r="R1324" s="66"/>
      <c r="S1324" s="66"/>
      <c r="T1324" s="66"/>
      <c r="U1324" s="66"/>
      <c r="V1324" s="66"/>
      <c r="W1324" s="66"/>
      <c r="X1324" s="66"/>
      <c r="Y1324" s="66"/>
      <c r="Z1324" s="66"/>
      <c r="AA1324" s="66"/>
      <c r="AB1324" s="66"/>
      <c r="AC1324" s="66"/>
    </row>
    <row r="1325" spans="1:29" ht="15.5">
      <c r="A1325" s="66"/>
      <c r="B1325" s="66"/>
      <c r="C1325" s="66"/>
      <c r="D1325" s="66"/>
      <c r="E1325" s="66"/>
      <c r="F1325" s="66"/>
      <c r="G1325" s="66"/>
      <c r="H1325" s="66"/>
      <c r="I1325" s="66"/>
      <c r="J1325" s="66"/>
      <c r="K1325" s="66"/>
      <c r="L1325" s="66"/>
      <c r="M1325" s="66"/>
      <c r="N1325" s="66"/>
      <c r="O1325" s="66"/>
      <c r="P1325" s="66"/>
      <c r="Q1325" s="66"/>
      <c r="R1325" s="66"/>
      <c r="S1325" s="66"/>
      <c r="T1325" s="66"/>
      <c r="U1325" s="66"/>
      <c r="V1325" s="66"/>
      <c r="W1325" s="66"/>
      <c r="X1325" s="66"/>
      <c r="Y1325" s="66"/>
      <c r="Z1325" s="66"/>
      <c r="AA1325" s="66"/>
      <c r="AB1325" s="66"/>
      <c r="AC1325" s="66"/>
    </row>
    <row r="1326" spans="1:29" ht="15.5">
      <c r="A1326" s="66"/>
      <c r="B1326" s="66"/>
      <c r="C1326" s="66"/>
      <c r="D1326" s="66"/>
      <c r="E1326" s="66"/>
      <c r="F1326" s="66"/>
      <c r="G1326" s="66"/>
      <c r="H1326" s="66"/>
      <c r="I1326" s="66"/>
      <c r="J1326" s="66"/>
      <c r="K1326" s="66"/>
      <c r="L1326" s="66"/>
      <c r="M1326" s="66"/>
      <c r="N1326" s="66"/>
      <c r="O1326" s="66"/>
      <c r="P1326" s="66"/>
      <c r="Q1326" s="66"/>
      <c r="R1326" s="66"/>
      <c r="S1326" s="66"/>
      <c r="T1326" s="66"/>
      <c r="U1326" s="66"/>
      <c r="V1326" s="66"/>
      <c r="W1326" s="66"/>
      <c r="X1326" s="66"/>
      <c r="Y1326" s="66"/>
      <c r="Z1326" s="66"/>
      <c r="AA1326" s="66"/>
      <c r="AB1326" s="66"/>
      <c r="AC1326" s="66"/>
    </row>
    <row r="1327" spans="1:29" ht="15.5">
      <c r="A1327" s="66"/>
      <c r="B1327" s="66"/>
      <c r="C1327" s="66"/>
      <c r="D1327" s="66"/>
      <c r="E1327" s="66"/>
      <c r="F1327" s="66"/>
      <c r="G1327" s="66"/>
      <c r="H1327" s="66"/>
      <c r="I1327" s="66"/>
      <c r="J1327" s="66"/>
      <c r="K1327" s="66"/>
      <c r="L1327" s="66"/>
      <c r="M1327" s="66"/>
      <c r="N1327" s="66"/>
      <c r="O1327" s="66"/>
      <c r="P1327" s="66"/>
      <c r="Q1327" s="66"/>
      <c r="R1327" s="66"/>
      <c r="S1327" s="66"/>
      <c r="T1327" s="66"/>
      <c r="U1327" s="66"/>
      <c r="V1327" s="66"/>
      <c r="W1327" s="66"/>
      <c r="X1327" s="66"/>
      <c r="Y1327" s="66"/>
      <c r="Z1327" s="66"/>
      <c r="AA1327" s="66"/>
      <c r="AB1327" s="66"/>
      <c r="AC1327" s="66"/>
    </row>
    <row r="1328" spans="1:29" ht="15.5">
      <c r="A1328" s="66"/>
      <c r="B1328" s="66"/>
      <c r="C1328" s="66"/>
      <c r="D1328" s="66"/>
      <c r="E1328" s="66"/>
      <c r="F1328" s="66"/>
      <c r="G1328" s="66"/>
      <c r="H1328" s="66"/>
      <c r="I1328" s="66"/>
      <c r="J1328" s="66"/>
      <c r="K1328" s="66"/>
      <c r="L1328" s="66"/>
      <c r="M1328" s="66"/>
      <c r="N1328" s="66"/>
      <c r="O1328" s="66"/>
      <c r="P1328" s="66"/>
      <c r="Q1328" s="66"/>
      <c r="R1328" s="66"/>
      <c r="S1328" s="66"/>
      <c r="T1328" s="66"/>
      <c r="U1328" s="66"/>
      <c r="V1328" s="66"/>
      <c r="W1328" s="66"/>
      <c r="X1328" s="66"/>
      <c r="Y1328" s="66"/>
      <c r="Z1328" s="66"/>
      <c r="AA1328" s="66"/>
      <c r="AB1328" s="66"/>
      <c r="AC1328" s="66"/>
    </row>
    <row r="1329" spans="1:29" ht="15.5">
      <c r="A1329" s="66"/>
      <c r="B1329" s="66"/>
      <c r="C1329" s="66"/>
      <c r="D1329" s="66"/>
      <c r="E1329" s="66"/>
      <c r="F1329" s="66"/>
      <c r="G1329" s="66"/>
      <c r="H1329" s="66"/>
      <c r="I1329" s="66"/>
      <c r="J1329" s="66"/>
      <c r="K1329" s="66"/>
      <c r="L1329" s="66"/>
      <c r="M1329" s="66"/>
      <c r="N1329" s="66"/>
      <c r="O1329" s="66"/>
      <c r="P1329" s="66"/>
      <c r="Q1329" s="66"/>
      <c r="R1329" s="66"/>
      <c r="S1329" s="66"/>
      <c r="T1329" s="66"/>
      <c r="U1329" s="66"/>
      <c r="V1329" s="66"/>
      <c r="W1329" s="66"/>
      <c r="X1329" s="66"/>
      <c r="Y1329" s="66"/>
      <c r="Z1329" s="66"/>
      <c r="AA1329" s="66"/>
      <c r="AB1329" s="66"/>
      <c r="AC1329" s="66"/>
    </row>
    <row r="1330" spans="1:29" ht="15.5">
      <c r="A1330" s="66"/>
      <c r="B1330" s="66"/>
      <c r="C1330" s="66"/>
      <c r="D1330" s="66"/>
      <c r="E1330" s="66"/>
      <c r="F1330" s="66"/>
      <c r="G1330" s="66"/>
      <c r="H1330" s="66"/>
      <c r="I1330" s="66"/>
      <c r="J1330" s="66"/>
      <c r="K1330" s="66"/>
      <c r="L1330" s="66"/>
      <c r="M1330" s="66"/>
      <c r="N1330" s="66"/>
      <c r="O1330" s="66"/>
      <c r="P1330" s="66"/>
      <c r="Q1330" s="66"/>
      <c r="R1330" s="66"/>
      <c r="S1330" s="66"/>
      <c r="T1330" s="66"/>
      <c r="U1330" s="66"/>
      <c r="V1330" s="66"/>
      <c r="W1330" s="66"/>
      <c r="X1330" s="66"/>
      <c r="Y1330" s="66"/>
      <c r="Z1330" s="66"/>
      <c r="AA1330" s="66"/>
      <c r="AB1330" s="66"/>
      <c r="AC1330" s="66"/>
    </row>
    <row r="1331" spans="1:29" ht="15.5">
      <c r="A1331" s="66"/>
      <c r="B1331" s="66"/>
      <c r="C1331" s="66"/>
      <c r="D1331" s="66"/>
      <c r="E1331" s="66"/>
      <c r="F1331" s="66"/>
      <c r="G1331" s="66"/>
      <c r="H1331" s="66"/>
      <c r="I1331" s="66"/>
      <c r="J1331" s="66"/>
      <c r="K1331" s="66"/>
      <c r="L1331" s="66"/>
      <c r="M1331" s="66"/>
      <c r="N1331" s="66"/>
      <c r="O1331" s="66"/>
      <c r="P1331" s="66"/>
      <c r="Q1331" s="66"/>
      <c r="R1331" s="66"/>
      <c r="S1331" s="66"/>
      <c r="T1331" s="66"/>
      <c r="U1331" s="66"/>
      <c r="V1331" s="66"/>
      <c r="W1331" s="66"/>
      <c r="X1331" s="66"/>
      <c r="Y1331" s="66"/>
      <c r="Z1331" s="66"/>
      <c r="AA1331" s="66"/>
      <c r="AB1331" s="66"/>
      <c r="AC1331" s="66"/>
    </row>
    <row r="1332" spans="1:29" ht="15.5">
      <c r="A1332" s="66"/>
      <c r="B1332" s="66"/>
      <c r="C1332" s="66"/>
      <c r="D1332" s="66"/>
      <c r="E1332" s="66"/>
      <c r="F1332" s="66"/>
      <c r="G1332" s="66"/>
      <c r="H1332" s="66"/>
      <c r="I1332" s="66"/>
      <c r="J1332" s="66"/>
      <c r="K1332" s="66"/>
      <c r="L1332" s="66"/>
      <c r="M1332" s="66"/>
      <c r="N1332" s="66"/>
      <c r="O1332" s="66"/>
      <c r="P1332" s="66"/>
      <c r="Q1332" s="66"/>
      <c r="R1332" s="66"/>
      <c r="S1332" s="66"/>
      <c r="T1332" s="66"/>
      <c r="U1332" s="66"/>
      <c r="V1332" s="66"/>
      <c r="W1332" s="66"/>
      <c r="X1332" s="66"/>
      <c r="Y1332" s="66"/>
      <c r="Z1332" s="66"/>
      <c r="AA1332" s="66"/>
      <c r="AB1332" s="66"/>
      <c r="AC1332" s="66"/>
    </row>
    <row r="1333" spans="1:29" ht="15.5">
      <c r="A1333" s="66"/>
      <c r="B1333" s="66"/>
      <c r="C1333" s="66"/>
      <c r="D1333" s="66"/>
      <c r="E1333" s="66"/>
      <c r="F1333" s="66"/>
      <c r="G1333" s="66"/>
      <c r="H1333" s="66"/>
      <c r="I1333" s="66"/>
      <c r="J1333" s="66"/>
      <c r="K1333" s="66"/>
      <c r="L1333" s="66"/>
      <c r="M1333" s="66"/>
      <c r="N1333" s="66"/>
      <c r="O1333" s="66"/>
      <c r="P1333" s="66"/>
      <c r="Q1333" s="66"/>
      <c r="R1333" s="66"/>
      <c r="S1333" s="66"/>
      <c r="T1333" s="66"/>
      <c r="U1333" s="66"/>
      <c r="V1333" s="66"/>
      <c r="W1333" s="66"/>
      <c r="X1333" s="66"/>
      <c r="Y1333" s="66"/>
      <c r="Z1333" s="66"/>
      <c r="AA1333" s="66"/>
      <c r="AB1333" s="66"/>
      <c r="AC1333" s="66"/>
    </row>
    <row r="1334" spans="1:29" ht="15.5">
      <c r="A1334" s="66"/>
      <c r="B1334" s="66"/>
      <c r="C1334" s="66"/>
      <c r="D1334" s="66"/>
      <c r="E1334" s="66"/>
      <c r="F1334" s="66"/>
      <c r="G1334" s="66"/>
      <c r="H1334" s="66"/>
      <c r="I1334" s="66"/>
      <c r="J1334" s="66"/>
      <c r="K1334" s="66"/>
      <c r="L1334" s="66"/>
      <c r="M1334" s="66"/>
      <c r="N1334" s="66"/>
      <c r="O1334" s="66"/>
      <c r="P1334" s="66"/>
      <c r="Q1334" s="66"/>
      <c r="R1334" s="66"/>
      <c r="S1334" s="66"/>
      <c r="T1334" s="66"/>
      <c r="U1334" s="66"/>
      <c r="V1334" s="66"/>
      <c r="W1334" s="66"/>
      <c r="X1334" s="66"/>
      <c r="Y1334" s="66"/>
      <c r="Z1334" s="66"/>
      <c r="AA1334" s="66"/>
      <c r="AB1334" s="66"/>
      <c r="AC1334" s="66"/>
    </row>
    <row r="1335" spans="1:29" ht="15.5">
      <c r="A1335" s="66"/>
      <c r="B1335" s="66"/>
      <c r="C1335" s="66"/>
      <c r="D1335" s="66"/>
      <c r="E1335" s="66"/>
      <c r="F1335" s="66"/>
      <c r="G1335" s="66"/>
      <c r="H1335" s="66"/>
      <c r="I1335" s="66"/>
      <c r="J1335" s="66"/>
      <c r="K1335" s="66"/>
      <c r="L1335" s="66"/>
      <c r="M1335" s="66"/>
      <c r="N1335" s="66"/>
      <c r="O1335" s="66"/>
      <c r="P1335" s="66"/>
      <c r="Q1335" s="66"/>
      <c r="R1335" s="66"/>
      <c r="S1335" s="66"/>
      <c r="T1335" s="66"/>
      <c r="U1335" s="66"/>
      <c r="V1335" s="66"/>
      <c r="W1335" s="66"/>
      <c r="X1335" s="66"/>
      <c r="Y1335" s="66"/>
      <c r="Z1335" s="66"/>
      <c r="AA1335" s="66"/>
      <c r="AB1335" s="66"/>
      <c r="AC1335" s="66"/>
    </row>
    <row r="1336" spans="1:29" ht="15.5">
      <c r="A1336" s="66"/>
      <c r="B1336" s="66"/>
      <c r="C1336" s="66"/>
      <c r="D1336" s="66"/>
      <c r="E1336" s="66"/>
      <c r="F1336" s="66"/>
      <c r="G1336" s="66"/>
      <c r="H1336" s="66"/>
      <c r="I1336" s="66"/>
      <c r="J1336" s="66"/>
      <c r="K1336" s="66"/>
      <c r="L1336" s="66"/>
      <c r="M1336" s="66"/>
      <c r="N1336" s="66"/>
      <c r="O1336" s="66"/>
      <c r="P1336" s="66"/>
      <c r="Q1336" s="66"/>
      <c r="R1336" s="66"/>
      <c r="S1336" s="66"/>
      <c r="T1336" s="66"/>
      <c r="U1336" s="66"/>
      <c r="V1336" s="66"/>
      <c r="W1336" s="66"/>
      <c r="X1336" s="66"/>
      <c r="Y1336" s="66"/>
      <c r="Z1336" s="66"/>
      <c r="AA1336" s="66"/>
      <c r="AB1336" s="66"/>
      <c r="AC1336" s="66"/>
    </row>
    <row r="1337" spans="1:29" ht="15.5">
      <c r="A1337" s="66"/>
      <c r="B1337" s="66"/>
      <c r="C1337" s="66"/>
      <c r="D1337" s="66"/>
      <c r="E1337" s="66"/>
      <c r="F1337" s="66"/>
      <c r="G1337" s="66"/>
      <c r="H1337" s="66"/>
      <c r="I1337" s="66"/>
      <c r="J1337" s="66"/>
      <c r="K1337" s="66"/>
      <c r="L1337" s="66"/>
      <c r="M1337" s="66"/>
      <c r="N1337" s="66"/>
      <c r="O1337" s="66"/>
      <c r="P1337" s="66"/>
      <c r="Q1337" s="66"/>
      <c r="R1337" s="66"/>
      <c r="S1337" s="66"/>
      <c r="T1337" s="66"/>
      <c r="U1337" s="66"/>
      <c r="V1337" s="66"/>
      <c r="W1337" s="66"/>
      <c r="X1337" s="66"/>
      <c r="Y1337" s="66"/>
      <c r="Z1337" s="66"/>
      <c r="AA1337" s="66"/>
      <c r="AB1337" s="66"/>
      <c r="AC1337" s="66"/>
    </row>
    <row r="1338" spans="1:29" ht="15.5">
      <c r="A1338" s="66"/>
      <c r="B1338" s="66"/>
      <c r="C1338" s="66"/>
      <c r="D1338" s="66"/>
      <c r="E1338" s="66"/>
      <c r="F1338" s="66"/>
      <c r="G1338" s="66"/>
      <c r="H1338" s="66"/>
      <c r="I1338" s="66"/>
      <c r="J1338" s="66"/>
      <c r="K1338" s="66"/>
      <c r="L1338" s="66"/>
      <c r="M1338" s="66"/>
      <c r="N1338" s="66"/>
      <c r="O1338" s="66"/>
      <c r="P1338" s="66"/>
      <c r="Q1338" s="66"/>
      <c r="R1338" s="66"/>
      <c r="S1338" s="66"/>
      <c r="T1338" s="66"/>
      <c r="U1338" s="66"/>
      <c r="V1338" s="66"/>
      <c r="W1338" s="66"/>
      <c r="X1338" s="66"/>
      <c r="Y1338" s="66"/>
      <c r="Z1338" s="66"/>
      <c r="AA1338" s="66"/>
      <c r="AB1338" s="66"/>
      <c r="AC1338" s="66"/>
    </row>
    <row r="1339" spans="1:29" ht="15.5">
      <c r="A1339" s="66"/>
      <c r="B1339" s="66"/>
      <c r="C1339" s="66"/>
      <c r="D1339" s="66"/>
      <c r="E1339" s="66"/>
      <c r="F1339" s="66"/>
      <c r="G1339" s="66"/>
      <c r="H1339" s="66"/>
      <c r="I1339" s="66"/>
      <c r="J1339" s="66"/>
      <c r="K1339" s="66"/>
      <c r="L1339" s="66"/>
      <c r="M1339" s="66"/>
      <c r="N1339" s="66"/>
      <c r="O1339" s="66"/>
      <c r="P1339" s="66"/>
      <c r="Q1339" s="66"/>
      <c r="R1339" s="66"/>
      <c r="S1339" s="66"/>
      <c r="T1339" s="66"/>
      <c r="U1339" s="66"/>
      <c r="V1339" s="66"/>
      <c r="W1339" s="66"/>
      <c r="X1339" s="66"/>
      <c r="Y1339" s="66"/>
      <c r="Z1339" s="66"/>
      <c r="AA1339" s="66"/>
      <c r="AB1339" s="66"/>
      <c r="AC1339" s="66"/>
    </row>
    <row r="1340" spans="1:29" ht="15.5">
      <c r="A1340" s="66"/>
      <c r="B1340" s="66"/>
      <c r="C1340" s="66"/>
      <c r="D1340" s="66"/>
      <c r="E1340" s="66"/>
      <c r="F1340" s="66"/>
      <c r="G1340" s="66"/>
      <c r="H1340" s="66"/>
      <c r="I1340" s="66"/>
      <c r="J1340" s="66"/>
      <c r="K1340" s="66"/>
      <c r="L1340" s="66"/>
      <c r="M1340" s="66"/>
      <c r="N1340" s="66"/>
      <c r="O1340" s="66"/>
      <c r="P1340" s="66"/>
      <c r="Q1340" s="66"/>
      <c r="R1340" s="66"/>
      <c r="S1340" s="66"/>
      <c r="T1340" s="66"/>
      <c r="U1340" s="66"/>
      <c r="V1340" s="66"/>
      <c r="W1340" s="66"/>
      <c r="X1340" s="66"/>
      <c r="Y1340" s="66"/>
      <c r="Z1340" s="66"/>
      <c r="AA1340" s="66"/>
      <c r="AB1340" s="66"/>
      <c r="AC1340" s="66"/>
    </row>
    <row r="1341" spans="1:29" ht="15.5">
      <c r="A1341" s="66"/>
      <c r="B1341" s="66"/>
      <c r="C1341" s="66"/>
      <c r="D1341" s="66"/>
      <c r="E1341" s="66"/>
      <c r="F1341" s="66"/>
      <c r="G1341" s="66"/>
      <c r="H1341" s="66"/>
      <c r="I1341" s="66"/>
      <c r="J1341" s="66"/>
      <c r="K1341" s="66"/>
      <c r="L1341" s="66"/>
      <c r="M1341" s="66"/>
      <c r="N1341" s="66"/>
      <c r="O1341" s="66"/>
      <c r="P1341" s="66"/>
      <c r="Q1341" s="66"/>
      <c r="R1341" s="66"/>
      <c r="S1341" s="66"/>
      <c r="T1341" s="66"/>
      <c r="U1341" s="66"/>
      <c r="V1341" s="66"/>
      <c r="W1341" s="66"/>
      <c r="X1341" s="66"/>
      <c r="Y1341" s="66"/>
      <c r="Z1341" s="66"/>
      <c r="AA1341" s="66"/>
      <c r="AB1341" s="66"/>
      <c r="AC1341" s="66"/>
    </row>
    <row r="1342" spans="1:29" ht="15.5">
      <c r="A1342" s="66"/>
      <c r="B1342" s="66"/>
      <c r="C1342" s="66"/>
      <c r="D1342" s="66"/>
      <c r="E1342" s="66"/>
      <c r="F1342" s="66"/>
      <c r="G1342" s="66"/>
      <c r="H1342" s="66"/>
      <c r="I1342" s="66"/>
      <c r="J1342" s="66"/>
      <c r="K1342" s="66"/>
      <c r="L1342" s="66"/>
      <c r="M1342" s="66"/>
      <c r="N1342" s="66"/>
      <c r="O1342" s="66"/>
      <c r="P1342" s="66"/>
      <c r="Q1342" s="66"/>
      <c r="R1342" s="66"/>
      <c r="S1342" s="66"/>
      <c r="T1342" s="66"/>
      <c r="U1342" s="66"/>
      <c r="V1342" s="66"/>
      <c r="W1342" s="66"/>
      <c r="X1342" s="66"/>
      <c r="Y1342" s="66"/>
      <c r="Z1342" s="66"/>
      <c r="AA1342" s="66"/>
      <c r="AB1342" s="66"/>
      <c r="AC1342" s="66"/>
    </row>
    <row r="1343" spans="1:29" ht="15.5">
      <c r="A1343" s="66"/>
      <c r="B1343" s="66"/>
      <c r="C1343" s="66"/>
      <c r="D1343" s="66"/>
      <c r="E1343" s="66"/>
      <c r="F1343" s="66"/>
      <c r="G1343" s="66"/>
      <c r="H1343" s="66"/>
      <c r="I1343" s="66"/>
      <c r="J1343" s="66"/>
      <c r="K1343" s="66"/>
      <c r="L1343" s="66"/>
      <c r="M1343" s="66"/>
      <c r="N1343" s="66"/>
      <c r="O1343" s="66"/>
      <c r="P1343" s="66"/>
      <c r="Q1343" s="66"/>
      <c r="R1343" s="66"/>
      <c r="S1343" s="66"/>
      <c r="T1343" s="66"/>
      <c r="U1343" s="66"/>
      <c r="V1343" s="66"/>
      <c r="W1343" s="66"/>
      <c r="X1343" s="66"/>
      <c r="Y1343" s="66"/>
      <c r="Z1343" s="66"/>
      <c r="AA1343" s="66"/>
      <c r="AB1343" s="66"/>
      <c r="AC1343" s="66"/>
    </row>
    <row r="1344" spans="1:29" ht="15.5">
      <c r="A1344" s="66"/>
      <c r="B1344" s="66"/>
      <c r="C1344" s="66"/>
      <c r="D1344" s="66"/>
      <c r="E1344" s="66"/>
      <c r="F1344" s="66"/>
      <c r="G1344" s="66"/>
      <c r="H1344" s="66"/>
      <c r="I1344" s="66"/>
      <c r="J1344" s="66"/>
      <c r="K1344" s="66"/>
      <c r="L1344" s="66"/>
      <c r="M1344" s="66"/>
      <c r="N1344" s="66"/>
      <c r="O1344" s="66"/>
      <c r="P1344" s="66"/>
      <c r="Q1344" s="66"/>
      <c r="R1344" s="66"/>
      <c r="S1344" s="66"/>
      <c r="T1344" s="66"/>
      <c r="U1344" s="66"/>
      <c r="V1344" s="66"/>
      <c r="W1344" s="66"/>
      <c r="X1344" s="66"/>
      <c r="Y1344" s="66"/>
      <c r="Z1344" s="66"/>
      <c r="AA1344" s="66"/>
      <c r="AB1344" s="66"/>
      <c r="AC1344" s="66"/>
    </row>
    <row r="1345" spans="1:29" ht="15.5">
      <c r="A1345" s="66"/>
      <c r="B1345" s="66"/>
      <c r="C1345" s="66"/>
      <c r="D1345" s="66"/>
      <c r="E1345" s="66"/>
      <c r="F1345" s="66"/>
      <c r="G1345" s="66"/>
      <c r="H1345" s="66"/>
      <c r="I1345" s="66"/>
      <c r="J1345" s="66"/>
      <c r="K1345" s="66"/>
      <c r="L1345" s="66"/>
      <c r="M1345" s="66"/>
      <c r="N1345" s="66"/>
      <c r="O1345" s="66"/>
      <c r="P1345" s="66"/>
      <c r="Q1345" s="66"/>
      <c r="R1345" s="66"/>
      <c r="S1345" s="66"/>
      <c r="T1345" s="66"/>
      <c r="U1345" s="66"/>
      <c r="V1345" s="66"/>
      <c r="W1345" s="66"/>
      <c r="X1345" s="66"/>
      <c r="Y1345" s="66"/>
      <c r="Z1345" s="66"/>
      <c r="AA1345" s="66"/>
      <c r="AB1345" s="66"/>
      <c r="AC1345" s="66"/>
    </row>
    <row r="1346" spans="1:29" ht="15.5">
      <c r="A1346" s="66"/>
      <c r="B1346" s="66"/>
      <c r="C1346" s="66"/>
      <c r="D1346" s="66"/>
      <c r="E1346" s="66"/>
      <c r="F1346" s="66"/>
      <c r="G1346" s="66"/>
      <c r="H1346" s="66"/>
      <c r="I1346" s="66"/>
      <c r="J1346" s="66"/>
      <c r="K1346" s="66"/>
      <c r="L1346" s="66"/>
      <c r="M1346" s="66"/>
      <c r="N1346" s="66"/>
      <c r="O1346" s="66"/>
      <c r="P1346" s="66"/>
      <c r="Q1346" s="66"/>
      <c r="R1346" s="66"/>
      <c r="S1346" s="66"/>
      <c r="T1346" s="66"/>
      <c r="U1346" s="66"/>
      <c r="V1346" s="66"/>
      <c r="W1346" s="66"/>
      <c r="X1346" s="66"/>
      <c r="Y1346" s="66"/>
      <c r="Z1346" s="66"/>
      <c r="AA1346" s="66"/>
      <c r="AB1346" s="66"/>
      <c r="AC1346" s="66"/>
    </row>
    <row r="1347" spans="1:29" ht="15.5">
      <c r="A1347" s="66"/>
      <c r="B1347" s="66"/>
      <c r="C1347" s="66"/>
      <c r="D1347" s="66"/>
      <c r="E1347" s="66"/>
      <c r="F1347" s="66"/>
      <c r="G1347" s="66"/>
      <c r="H1347" s="66"/>
      <c r="I1347" s="66"/>
      <c r="J1347" s="66"/>
      <c r="K1347" s="66"/>
      <c r="L1347" s="66"/>
      <c r="M1347" s="66"/>
      <c r="N1347" s="66"/>
      <c r="O1347" s="66"/>
      <c r="P1347" s="66"/>
      <c r="Q1347" s="66"/>
      <c r="R1347" s="66"/>
      <c r="S1347" s="66"/>
      <c r="T1347" s="66"/>
      <c r="U1347" s="66"/>
      <c r="V1347" s="66"/>
      <c r="W1347" s="66"/>
      <c r="X1347" s="66"/>
      <c r="Y1347" s="66"/>
      <c r="Z1347" s="66"/>
      <c r="AA1347" s="66"/>
      <c r="AB1347" s="66"/>
      <c r="AC1347" s="66"/>
    </row>
    <row r="1348" spans="1:29" ht="15.5">
      <c r="A1348" s="66"/>
      <c r="B1348" s="66"/>
      <c r="C1348" s="66"/>
      <c r="D1348" s="66"/>
      <c r="E1348" s="66"/>
      <c r="F1348" s="66"/>
      <c r="G1348" s="66"/>
      <c r="H1348" s="66"/>
      <c r="I1348" s="66"/>
      <c r="J1348" s="66"/>
      <c r="K1348" s="66"/>
      <c r="L1348" s="66"/>
      <c r="M1348" s="66"/>
      <c r="N1348" s="66"/>
      <c r="O1348" s="66"/>
      <c r="P1348" s="66"/>
      <c r="Q1348" s="66"/>
      <c r="R1348" s="66"/>
      <c r="S1348" s="66"/>
      <c r="T1348" s="66"/>
      <c r="U1348" s="66"/>
      <c r="V1348" s="66"/>
      <c r="W1348" s="66"/>
      <c r="X1348" s="66"/>
      <c r="Y1348" s="66"/>
      <c r="Z1348" s="66"/>
      <c r="AA1348" s="66"/>
      <c r="AB1348" s="66"/>
      <c r="AC1348" s="66"/>
    </row>
    <row r="1349" spans="1:29" ht="15.5">
      <c r="A1349" s="66"/>
      <c r="B1349" s="66"/>
      <c r="C1349" s="66"/>
      <c r="D1349" s="66"/>
      <c r="E1349" s="66"/>
      <c r="F1349" s="66"/>
      <c r="G1349" s="66"/>
      <c r="H1349" s="66"/>
      <c r="I1349" s="66"/>
      <c r="J1349" s="66"/>
      <c r="K1349" s="66"/>
      <c r="L1349" s="66"/>
      <c r="M1349" s="66"/>
      <c r="N1349" s="66"/>
      <c r="O1349" s="66"/>
      <c r="P1349" s="66"/>
      <c r="Q1349" s="66"/>
      <c r="R1349" s="66"/>
      <c r="S1349" s="66"/>
      <c r="T1349" s="66"/>
      <c r="U1349" s="66"/>
      <c r="V1349" s="66"/>
      <c r="W1349" s="66"/>
      <c r="X1349" s="66"/>
      <c r="Y1349" s="66"/>
      <c r="Z1349" s="66"/>
      <c r="AA1349" s="66"/>
      <c r="AB1349" s="66"/>
      <c r="AC1349" s="66"/>
    </row>
    <row r="1350" spans="1:29" ht="15.5">
      <c r="A1350" s="66"/>
      <c r="B1350" s="66"/>
      <c r="C1350" s="66"/>
      <c r="D1350" s="66"/>
      <c r="E1350" s="66"/>
      <c r="F1350" s="66"/>
      <c r="G1350" s="66"/>
      <c r="H1350" s="66"/>
      <c r="I1350" s="66"/>
      <c r="J1350" s="66"/>
      <c r="K1350" s="66"/>
      <c r="L1350" s="66"/>
      <c r="M1350" s="66"/>
      <c r="N1350" s="66"/>
      <c r="O1350" s="66"/>
      <c r="P1350" s="66"/>
      <c r="Q1350" s="66"/>
      <c r="R1350" s="66"/>
      <c r="S1350" s="66"/>
      <c r="T1350" s="66"/>
      <c r="U1350" s="66"/>
      <c r="V1350" s="66"/>
      <c r="W1350" s="66"/>
      <c r="X1350" s="66"/>
      <c r="Y1350" s="66"/>
      <c r="Z1350" s="66"/>
      <c r="AA1350" s="66"/>
      <c r="AB1350" s="66"/>
      <c r="AC1350" s="66"/>
    </row>
    <row r="1351" spans="1:29" ht="15.5">
      <c r="A1351" s="66"/>
      <c r="B1351" s="66"/>
      <c r="C1351" s="66"/>
      <c r="D1351" s="66"/>
      <c r="E1351" s="66"/>
      <c r="F1351" s="66"/>
      <c r="G1351" s="66"/>
      <c r="H1351" s="66"/>
      <c r="I1351" s="66"/>
      <c r="J1351" s="66"/>
      <c r="K1351" s="66"/>
      <c r="L1351" s="66"/>
      <c r="M1351" s="66"/>
      <c r="N1351" s="66"/>
      <c r="O1351" s="66"/>
      <c r="P1351" s="66"/>
      <c r="Q1351" s="66"/>
      <c r="R1351" s="66"/>
      <c r="S1351" s="66"/>
      <c r="T1351" s="66"/>
      <c r="U1351" s="66"/>
      <c r="V1351" s="66"/>
      <c r="W1351" s="66"/>
      <c r="X1351" s="66"/>
      <c r="Y1351" s="66"/>
      <c r="Z1351" s="66"/>
      <c r="AA1351" s="66"/>
      <c r="AB1351" s="66"/>
      <c r="AC1351" s="66"/>
    </row>
    <row r="1352" spans="1:29" ht="15.5">
      <c r="A1352" s="66"/>
      <c r="B1352" s="66"/>
      <c r="C1352" s="66"/>
      <c r="D1352" s="66"/>
      <c r="E1352" s="66"/>
      <c r="F1352" s="66"/>
      <c r="G1352" s="66"/>
      <c r="H1352" s="66"/>
      <c r="I1352" s="66"/>
      <c r="J1352" s="66"/>
      <c r="K1352" s="66"/>
      <c r="L1352" s="66"/>
      <c r="M1352" s="66"/>
      <c r="N1352" s="66"/>
      <c r="O1352" s="66"/>
      <c r="P1352" s="66"/>
      <c r="Q1352" s="66"/>
      <c r="R1352" s="66"/>
      <c r="S1352" s="66"/>
      <c r="T1352" s="66"/>
      <c r="U1352" s="66"/>
      <c r="V1352" s="66"/>
      <c r="W1352" s="66"/>
      <c r="X1352" s="66"/>
      <c r="Y1352" s="66"/>
      <c r="Z1352" s="66"/>
      <c r="AA1352" s="66"/>
      <c r="AB1352" s="66"/>
      <c r="AC1352" s="66"/>
    </row>
    <row r="1353" spans="1:29" ht="15.5">
      <c r="A1353" s="66"/>
      <c r="B1353" s="66"/>
      <c r="C1353" s="66"/>
      <c r="D1353" s="66"/>
      <c r="E1353" s="66"/>
      <c r="F1353" s="66"/>
      <c r="G1353" s="66"/>
      <c r="H1353" s="66"/>
      <c r="I1353" s="66"/>
      <c r="J1353" s="66"/>
      <c r="K1353" s="66"/>
      <c r="L1353" s="66"/>
      <c r="M1353" s="66"/>
      <c r="N1353" s="66"/>
      <c r="O1353" s="66"/>
      <c r="P1353" s="66"/>
      <c r="Q1353" s="66"/>
      <c r="R1353" s="66"/>
      <c r="S1353" s="66"/>
      <c r="T1353" s="66"/>
      <c r="U1353" s="66"/>
      <c r="V1353" s="66"/>
      <c r="W1353" s="66"/>
      <c r="X1353" s="66"/>
      <c r="Y1353" s="66"/>
      <c r="Z1353" s="66"/>
      <c r="AA1353" s="66"/>
      <c r="AB1353" s="66"/>
      <c r="AC1353" s="66"/>
    </row>
    <row r="1354" spans="1:29" ht="15.5">
      <c r="A1354" s="66"/>
      <c r="B1354" s="66"/>
      <c r="C1354" s="66"/>
      <c r="D1354" s="66"/>
      <c r="E1354" s="66"/>
      <c r="F1354" s="66"/>
      <c r="G1354" s="66"/>
      <c r="H1354" s="66"/>
      <c r="I1354" s="66"/>
      <c r="J1354" s="66"/>
      <c r="K1354" s="66"/>
      <c r="L1354" s="66"/>
      <c r="M1354" s="66"/>
      <c r="N1354" s="66"/>
      <c r="O1354" s="66"/>
      <c r="P1354" s="66"/>
      <c r="Q1354" s="66"/>
      <c r="R1354" s="66"/>
      <c r="S1354" s="66"/>
      <c r="T1354" s="66"/>
      <c r="U1354" s="66"/>
      <c r="V1354" s="66"/>
      <c r="W1354" s="66"/>
      <c r="X1354" s="66"/>
      <c r="Y1354" s="66"/>
      <c r="Z1354" s="66"/>
      <c r="AA1354" s="66"/>
      <c r="AB1354" s="66"/>
      <c r="AC1354" s="66"/>
    </row>
    <row r="1355" spans="1:29" ht="15.5">
      <c r="A1355" s="66"/>
      <c r="B1355" s="66"/>
      <c r="C1355" s="66"/>
      <c r="D1355" s="66"/>
      <c r="E1355" s="66"/>
      <c r="F1355" s="66"/>
      <c r="G1355" s="66"/>
      <c r="H1355" s="66"/>
      <c r="I1355" s="66"/>
      <c r="J1355" s="66"/>
      <c r="K1355" s="66"/>
      <c r="L1355" s="66"/>
      <c r="M1355" s="66"/>
      <c r="N1355" s="66"/>
      <c r="O1355" s="66"/>
      <c r="P1355" s="66"/>
      <c r="Q1355" s="66"/>
      <c r="R1355" s="66"/>
      <c r="S1355" s="66"/>
      <c r="T1355" s="66"/>
      <c r="U1355" s="66"/>
      <c r="V1355" s="66"/>
      <c r="W1355" s="66"/>
      <c r="X1355" s="66"/>
      <c r="Y1355" s="66"/>
      <c r="Z1355" s="66"/>
      <c r="AA1355" s="66"/>
      <c r="AB1355" s="66"/>
      <c r="AC1355" s="66"/>
    </row>
    <row r="1356" spans="1:29" ht="15.5">
      <c r="A1356" s="66"/>
      <c r="B1356" s="66"/>
      <c r="C1356" s="66"/>
      <c r="D1356" s="66"/>
      <c r="E1356" s="66"/>
      <c r="F1356" s="66"/>
      <c r="G1356" s="66"/>
      <c r="H1356" s="66"/>
      <c r="I1356" s="66"/>
      <c r="J1356" s="66"/>
      <c r="K1356" s="66"/>
      <c r="L1356" s="66"/>
      <c r="M1356" s="66"/>
      <c r="N1356" s="66"/>
      <c r="O1356" s="66"/>
      <c r="P1356" s="66"/>
      <c r="Q1356" s="66"/>
      <c r="R1356" s="66"/>
      <c r="S1356" s="66"/>
      <c r="T1356" s="66"/>
      <c r="U1356" s="66"/>
      <c r="V1356" s="66"/>
      <c r="W1356" s="66"/>
      <c r="X1356" s="66"/>
      <c r="Y1356" s="66"/>
      <c r="Z1356" s="66"/>
      <c r="AA1356" s="66"/>
      <c r="AB1356" s="66"/>
      <c r="AC1356" s="66"/>
    </row>
    <row r="1357" spans="1:29" ht="15.5">
      <c r="A1357" s="66"/>
      <c r="B1357" s="66"/>
      <c r="C1357" s="66"/>
      <c r="D1357" s="66"/>
      <c r="E1357" s="66"/>
      <c r="F1357" s="66"/>
      <c r="G1357" s="66"/>
      <c r="H1357" s="66"/>
      <c r="I1357" s="66"/>
      <c r="J1357" s="66"/>
      <c r="K1357" s="66"/>
      <c r="L1357" s="66"/>
      <c r="M1357" s="66"/>
      <c r="N1357" s="66"/>
      <c r="O1357" s="66"/>
      <c r="P1357" s="66"/>
      <c r="Q1357" s="66"/>
      <c r="R1357" s="66"/>
      <c r="S1357" s="66"/>
      <c r="T1357" s="66"/>
      <c r="U1357" s="66"/>
      <c r="V1357" s="66"/>
      <c r="W1357" s="66"/>
      <c r="X1357" s="66"/>
      <c r="Y1357" s="66"/>
      <c r="Z1357" s="66"/>
      <c r="AA1357" s="66"/>
      <c r="AB1357" s="66"/>
      <c r="AC1357" s="66"/>
    </row>
    <row r="1358" spans="1:29" ht="15.5">
      <c r="A1358" s="66"/>
      <c r="B1358" s="66"/>
      <c r="C1358" s="66"/>
      <c r="D1358" s="66"/>
      <c r="E1358" s="66"/>
      <c r="F1358" s="66"/>
      <c r="G1358" s="66"/>
      <c r="H1358" s="66"/>
      <c r="I1358" s="66"/>
      <c r="J1358" s="66"/>
      <c r="K1358" s="66"/>
      <c r="L1358" s="66"/>
      <c r="M1358" s="66"/>
      <c r="N1358" s="66"/>
      <c r="O1358" s="66"/>
      <c r="P1358" s="66"/>
      <c r="Q1358" s="66"/>
      <c r="R1358" s="66"/>
      <c r="S1358" s="66"/>
      <c r="T1358" s="66"/>
      <c r="U1358" s="66"/>
      <c r="V1358" s="66"/>
      <c r="W1358" s="66"/>
      <c r="X1358" s="66"/>
      <c r="Y1358" s="66"/>
      <c r="Z1358" s="66"/>
      <c r="AA1358" s="66"/>
      <c r="AB1358" s="66"/>
      <c r="AC1358" s="66"/>
    </row>
    <row r="1359" spans="1:29" ht="15.5">
      <c r="A1359" s="66"/>
      <c r="B1359" s="66"/>
      <c r="C1359" s="66"/>
      <c r="D1359" s="66"/>
      <c r="E1359" s="66"/>
      <c r="F1359" s="66"/>
      <c r="G1359" s="66"/>
      <c r="H1359" s="66"/>
      <c r="I1359" s="66"/>
      <c r="J1359" s="66"/>
      <c r="K1359" s="66"/>
      <c r="L1359" s="66"/>
      <c r="M1359" s="66"/>
      <c r="N1359" s="66"/>
      <c r="O1359" s="66"/>
      <c r="P1359" s="66"/>
      <c r="Q1359" s="66"/>
      <c r="R1359" s="66"/>
      <c r="S1359" s="66"/>
      <c r="T1359" s="66"/>
      <c r="U1359" s="66"/>
      <c r="V1359" s="66"/>
      <c r="W1359" s="66"/>
      <c r="X1359" s="66"/>
      <c r="Y1359" s="66"/>
      <c r="Z1359" s="66"/>
      <c r="AA1359" s="66"/>
      <c r="AB1359" s="66"/>
      <c r="AC1359" s="66"/>
    </row>
    <row r="1360" spans="1:29" ht="15.5">
      <c r="A1360" s="66"/>
      <c r="B1360" s="66"/>
      <c r="C1360" s="66"/>
      <c r="D1360" s="66"/>
      <c r="E1360" s="66"/>
      <c r="F1360" s="66"/>
      <c r="G1360" s="66"/>
      <c r="H1360" s="66"/>
      <c r="I1360" s="66"/>
      <c r="J1360" s="66"/>
      <c r="K1360" s="66"/>
      <c r="L1360" s="66"/>
      <c r="M1360" s="66"/>
      <c r="N1360" s="66"/>
      <c r="O1360" s="66"/>
      <c r="P1360" s="66"/>
      <c r="Q1360" s="66"/>
      <c r="R1360" s="66"/>
      <c r="S1360" s="66"/>
      <c r="T1360" s="66"/>
      <c r="U1360" s="66"/>
      <c r="V1360" s="66"/>
      <c r="W1360" s="66"/>
      <c r="X1360" s="66"/>
      <c r="Y1360" s="66"/>
      <c r="Z1360" s="66"/>
      <c r="AA1360" s="66"/>
      <c r="AB1360" s="66"/>
      <c r="AC1360" s="66"/>
    </row>
    <row r="1361" spans="1:29" ht="15.5">
      <c r="A1361" s="66"/>
      <c r="B1361" s="66"/>
      <c r="C1361" s="66"/>
      <c r="D1361" s="66"/>
      <c r="E1361" s="66"/>
      <c r="F1361" s="66"/>
      <c r="G1361" s="66"/>
      <c r="H1361" s="66"/>
      <c r="I1361" s="66"/>
      <c r="J1361" s="66"/>
      <c r="K1361" s="66"/>
      <c r="L1361" s="66"/>
      <c r="M1361" s="66"/>
      <c r="N1361" s="66"/>
      <c r="O1361" s="66"/>
      <c r="P1361" s="66"/>
      <c r="Q1361" s="66"/>
      <c r="R1361" s="66"/>
      <c r="S1361" s="66"/>
      <c r="T1361" s="66"/>
      <c r="U1361" s="66"/>
      <c r="V1361" s="66"/>
      <c r="W1361" s="66"/>
      <c r="X1361" s="66"/>
      <c r="Y1361" s="66"/>
      <c r="Z1361" s="66"/>
      <c r="AA1361" s="66"/>
      <c r="AB1361" s="66"/>
      <c r="AC1361" s="66"/>
    </row>
    <row r="1362" spans="1:29" ht="15.5">
      <c r="A1362" s="66"/>
      <c r="B1362" s="66"/>
      <c r="C1362" s="66"/>
      <c r="D1362" s="66"/>
      <c r="E1362" s="66"/>
      <c r="F1362" s="66"/>
      <c r="G1362" s="66"/>
      <c r="H1362" s="66"/>
      <c r="I1362" s="66"/>
      <c r="J1362" s="66"/>
      <c r="K1362" s="66"/>
      <c r="L1362" s="66"/>
      <c r="M1362" s="66"/>
      <c r="N1362" s="66"/>
      <c r="O1362" s="66"/>
      <c r="P1362" s="66"/>
      <c r="Q1362" s="66"/>
      <c r="R1362" s="66"/>
      <c r="S1362" s="66"/>
      <c r="T1362" s="66"/>
      <c r="U1362" s="66"/>
      <c r="V1362" s="66"/>
      <c r="W1362" s="66"/>
      <c r="X1362" s="66"/>
      <c r="Y1362" s="66"/>
      <c r="Z1362" s="66"/>
      <c r="AA1362" s="66"/>
      <c r="AB1362" s="66"/>
      <c r="AC1362" s="66"/>
    </row>
    <row r="1363" spans="1:29" ht="15.5">
      <c r="A1363" s="66"/>
      <c r="B1363" s="66"/>
      <c r="C1363" s="66"/>
      <c r="D1363" s="66"/>
      <c r="E1363" s="66"/>
      <c r="F1363" s="66"/>
      <c r="G1363" s="66"/>
      <c r="H1363" s="66"/>
      <c r="I1363" s="66"/>
      <c r="J1363" s="66"/>
      <c r="K1363" s="66"/>
      <c r="L1363" s="66"/>
      <c r="M1363" s="66"/>
      <c r="N1363" s="66"/>
      <c r="O1363" s="66"/>
      <c r="P1363" s="66"/>
      <c r="Q1363" s="66"/>
      <c r="R1363" s="66"/>
      <c r="S1363" s="66"/>
      <c r="T1363" s="66"/>
      <c r="U1363" s="66"/>
      <c r="V1363" s="66"/>
      <c r="W1363" s="66"/>
      <c r="X1363" s="66"/>
      <c r="Y1363" s="66"/>
      <c r="Z1363" s="66"/>
      <c r="AA1363" s="66"/>
      <c r="AB1363" s="66"/>
      <c r="AC1363" s="66"/>
    </row>
    <row r="1364" spans="1:29" ht="15.5">
      <c r="A1364" s="66"/>
      <c r="B1364" s="66"/>
      <c r="C1364" s="66"/>
      <c r="D1364" s="66"/>
      <c r="E1364" s="66"/>
      <c r="F1364" s="66"/>
      <c r="G1364" s="66"/>
      <c r="H1364" s="66"/>
      <c r="I1364" s="66"/>
      <c r="J1364" s="66"/>
      <c r="K1364" s="66"/>
      <c r="L1364" s="66"/>
      <c r="M1364" s="66"/>
      <c r="N1364" s="66"/>
      <c r="O1364" s="66"/>
      <c r="P1364" s="66"/>
      <c r="Q1364" s="66"/>
      <c r="R1364" s="66"/>
      <c r="S1364" s="66"/>
      <c r="T1364" s="66"/>
      <c r="U1364" s="66"/>
      <c r="V1364" s="66"/>
      <c r="W1364" s="66"/>
      <c r="X1364" s="66"/>
      <c r="Y1364" s="66"/>
      <c r="Z1364" s="66"/>
      <c r="AA1364" s="66"/>
      <c r="AB1364" s="66"/>
      <c r="AC1364" s="66"/>
    </row>
    <row r="1365" spans="1:29" ht="15.5">
      <c r="A1365" s="66"/>
      <c r="B1365" s="66"/>
      <c r="C1365" s="66"/>
      <c r="D1365" s="66"/>
      <c r="E1365" s="66"/>
      <c r="F1365" s="66"/>
      <c r="G1365" s="66"/>
      <c r="H1365" s="66"/>
      <c r="I1365" s="66"/>
      <c r="J1365" s="66"/>
      <c r="K1365" s="66"/>
      <c r="L1365" s="66"/>
      <c r="M1365" s="66"/>
      <c r="N1365" s="66"/>
      <c r="O1365" s="66"/>
      <c r="P1365" s="66"/>
      <c r="Q1365" s="66"/>
      <c r="R1365" s="66"/>
      <c r="S1365" s="66"/>
      <c r="T1365" s="66"/>
      <c r="U1365" s="66"/>
      <c r="V1365" s="66"/>
      <c r="W1365" s="66"/>
      <c r="X1365" s="66"/>
      <c r="Y1365" s="66"/>
      <c r="Z1365" s="66"/>
      <c r="AA1365" s="66"/>
      <c r="AB1365" s="66"/>
      <c r="AC1365" s="66"/>
    </row>
    <row r="1366" spans="1:29" ht="15.5">
      <c r="A1366" s="66"/>
      <c r="B1366" s="66"/>
      <c r="C1366" s="66"/>
      <c r="D1366" s="66"/>
      <c r="E1366" s="66"/>
      <c r="F1366" s="66"/>
      <c r="G1366" s="66"/>
      <c r="H1366" s="66"/>
      <c r="I1366" s="66"/>
      <c r="J1366" s="66"/>
      <c r="K1366" s="66"/>
      <c r="L1366" s="66"/>
      <c r="M1366" s="66"/>
      <c r="N1366" s="66"/>
      <c r="O1366" s="66"/>
      <c r="P1366" s="66"/>
      <c r="Q1366" s="66"/>
      <c r="R1366" s="66"/>
      <c r="S1366" s="66"/>
      <c r="T1366" s="66"/>
      <c r="U1366" s="66"/>
      <c r="V1366" s="66"/>
      <c r="W1366" s="66"/>
      <c r="X1366" s="66"/>
      <c r="Y1366" s="66"/>
      <c r="Z1366" s="66"/>
      <c r="AA1366" s="66"/>
      <c r="AB1366" s="66"/>
      <c r="AC1366" s="66"/>
    </row>
    <row r="1367" spans="1:29" ht="15.5">
      <c r="A1367" s="66"/>
      <c r="B1367" s="66"/>
      <c r="C1367" s="66"/>
      <c r="D1367" s="66"/>
      <c r="E1367" s="66"/>
      <c r="F1367" s="66"/>
      <c r="G1367" s="66"/>
      <c r="H1367" s="66"/>
      <c r="I1367" s="66"/>
      <c r="J1367" s="66"/>
      <c r="K1367" s="66"/>
      <c r="L1367" s="66"/>
      <c r="M1367" s="66"/>
      <c r="N1367" s="66"/>
      <c r="O1367" s="66"/>
      <c r="P1367" s="66"/>
      <c r="Q1367" s="66"/>
      <c r="R1367" s="66"/>
      <c r="S1367" s="66"/>
      <c r="T1367" s="66"/>
      <c r="U1367" s="66"/>
      <c r="V1367" s="66"/>
      <c r="W1367" s="66"/>
      <c r="X1367" s="66"/>
      <c r="Y1367" s="66"/>
      <c r="Z1367" s="66"/>
      <c r="AA1367" s="66"/>
      <c r="AB1367" s="66"/>
      <c r="AC1367" s="66"/>
    </row>
    <row r="1368" spans="1:29" ht="15.5">
      <c r="A1368" s="66"/>
      <c r="B1368" s="66"/>
      <c r="C1368" s="66"/>
      <c r="D1368" s="66"/>
      <c r="E1368" s="66"/>
      <c r="F1368" s="66"/>
      <c r="G1368" s="66"/>
      <c r="H1368" s="66"/>
      <c r="I1368" s="66"/>
      <c r="J1368" s="66"/>
      <c r="K1368" s="66"/>
      <c r="L1368" s="66"/>
      <c r="M1368" s="66"/>
      <c r="N1368" s="66"/>
      <c r="O1368" s="66"/>
      <c r="P1368" s="66"/>
      <c r="Q1368" s="66"/>
      <c r="R1368" s="66"/>
      <c r="S1368" s="66"/>
      <c r="T1368" s="66"/>
      <c r="U1368" s="66"/>
      <c r="V1368" s="66"/>
      <c r="W1368" s="66"/>
      <c r="X1368" s="66"/>
      <c r="Y1368" s="66"/>
      <c r="Z1368" s="66"/>
      <c r="AA1368" s="66"/>
      <c r="AB1368" s="66"/>
      <c r="AC1368" s="66"/>
    </row>
    <row r="1369" spans="1:29" ht="15.5">
      <c r="A1369" s="66"/>
      <c r="B1369" s="66"/>
      <c r="C1369" s="66"/>
      <c r="D1369" s="66"/>
      <c r="E1369" s="66"/>
      <c r="F1369" s="66"/>
      <c r="G1369" s="66"/>
      <c r="H1369" s="66"/>
      <c r="I1369" s="66"/>
      <c r="J1369" s="66"/>
      <c r="K1369" s="66"/>
      <c r="L1369" s="66"/>
      <c r="M1369" s="66"/>
      <c r="N1369" s="66"/>
      <c r="O1369" s="66"/>
      <c r="P1369" s="66"/>
      <c r="Q1369" s="66"/>
      <c r="R1369" s="66"/>
      <c r="S1369" s="66"/>
      <c r="T1369" s="66"/>
      <c r="U1369" s="66"/>
      <c r="V1369" s="66"/>
      <c r="W1369" s="66"/>
      <c r="X1369" s="66"/>
      <c r="Y1369" s="66"/>
      <c r="Z1369" s="66"/>
      <c r="AA1369" s="66"/>
      <c r="AB1369" s="66"/>
      <c r="AC1369" s="66"/>
    </row>
    <row r="1370" spans="1:29" ht="15.5">
      <c r="A1370" s="66"/>
      <c r="B1370" s="66"/>
      <c r="C1370" s="66"/>
      <c r="D1370" s="66"/>
      <c r="E1370" s="66"/>
      <c r="F1370" s="66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66"/>
      <c r="R1370" s="66"/>
      <c r="S1370" s="66"/>
      <c r="T1370" s="66"/>
      <c r="U1370" s="66"/>
      <c r="V1370" s="66"/>
      <c r="W1370" s="66"/>
      <c r="X1370" s="66"/>
      <c r="Y1370" s="66"/>
      <c r="Z1370" s="66"/>
      <c r="AA1370" s="66"/>
      <c r="AB1370" s="66"/>
      <c r="AC1370" s="66"/>
    </row>
    <row r="1371" spans="1:29" ht="15.5">
      <c r="A1371" s="66"/>
      <c r="B1371" s="66"/>
      <c r="C1371" s="66"/>
      <c r="D1371" s="66"/>
      <c r="E1371" s="66"/>
      <c r="F1371" s="66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66"/>
      <c r="R1371" s="66"/>
      <c r="S1371" s="66"/>
      <c r="T1371" s="66"/>
      <c r="U1371" s="66"/>
      <c r="V1371" s="66"/>
      <c r="W1371" s="66"/>
      <c r="X1371" s="66"/>
      <c r="Y1371" s="66"/>
      <c r="Z1371" s="66"/>
      <c r="AA1371" s="66"/>
      <c r="AB1371" s="66"/>
      <c r="AC1371" s="66"/>
    </row>
    <row r="1372" spans="1:29" ht="15.5">
      <c r="A1372" s="66"/>
      <c r="B1372" s="66"/>
      <c r="C1372" s="66"/>
      <c r="D1372" s="66"/>
      <c r="E1372" s="66"/>
      <c r="F1372" s="66"/>
      <c r="G1372" s="66"/>
      <c r="H1372" s="66"/>
      <c r="I1372" s="66"/>
      <c r="J1372" s="66"/>
      <c r="K1372" s="66"/>
      <c r="L1372" s="66"/>
      <c r="M1372" s="66"/>
      <c r="N1372" s="66"/>
      <c r="O1372" s="66"/>
      <c r="P1372" s="66"/>
      <c r="Q1372" s="66"/>
      <c r="R1372" s="66"/>
      <c r="S1372" s="66"/>
      <c r="T1372" s="66"/>
      <c r="U1372" s="66"/>
      <c r="V1372" s="66"/>
      <c r="W1372" s="66"/>
      <c r="X1372" s="66"/>
      <c r="Y1372" s="66"/>
      <c r="Z1372" s="66"/>
      <c r="AA1372" s="66"/>
      <c r="AB1372" s="66"/>
      <c r="AC1372" s="66"/>
    </row>
    <row r="1373" spans="1:29" ht="15.5">
      <c r="A1373" s="66"/>
      <c r="B1373" s="66"/>
      <c r="C1373" s="66"/>
      <c r="D1373" s="66"/>
      <c r="E1373" s="66"/>
      <c r="F1373" s="66"/>
      <c r="G1373" s="66"/>
      <c r="H1373" s="66"/>
      <c r="I1373" s="66"/>
      <c r="J1373" s="66"/>
      <c r="K1373" s="66"/>
      <c r="L1373" s="66"/>
      <c r="M1373" s="66"/>
      <c r="N1373" s="66"/>
      <c r="O1373" s="66"/>
      <c r="P1373" s="66"/>
      <c r="Q1373" s="66"/>
      <c r="R1373" s="66"/>
      <c r="S1373" s="66"/>
      <c r="T1373" s="66"/>
      <c r="U1373" s="66"/>
      <c r="V1373" s="66"/>
      <c r="W1373" s="66"/>
      <c r="X1373" s="66"/>
      <c r="Y1373" s="66"/>
      <c r="Z1373" s="66"/>
      <c r="AA1373" s="66"/>
      <c r="AB1373" s="66"/>
      <c r="AC1373" s="66"/>
    </row>
    <row r="1374" spans="1:29" ht="15.5">
      <c r="A1374" s="66"/>
      <c r="B1374" s="66"/>
      <c r="C1374" s="66"/>
      <c r="D1374" s="66"/>
      <c r="E1374" s="66"/>
      <c r="F1374" s="66"/>
      <c r="G1374" s="66"/>
      <c r="H1374" s="66"/>
      <c r="I1374" s="66"/>
      <c r="J1374" s="66"/>
      <c r="K1374" s="66"/>
      <c r="L1374" s="66"/>
      <c r="M1374" s="66"/>
      <c r="N1374" s="66"/>
      <c r="O1374" s="66"/>
      <c r="P1374" s="66"/>
      <c r="Q1374" s="66"/>
      <c r="R1374" s="66"/>
      <c r="S1374" s="66"/>
      <c r="T1374" s="66"/>
      <c r="U1374" s="66"/>
      <c r="V1374" s="66"/>
      <c r="W1374" s="66"/>
      <c r="X1374" s="66"/>
      <c r="Y1374" s="66"/>
      <c r="Z1374" s="66"/>
      <c r="AA1374" s="66"/>
      <c r="AB1374" s="66"/>
      <c r="AC1374" s="66"/>
    </row>
    <row r="1375" spans="1:29" ht="15.5">
      <c r="A1375" s="66"/>
      <c r="B1375" s="66"/>
      <c r="C1375" s="66"/>
      <c r="D1375" s="66"/>
      <c r="E1375" s="66"/>
      <c r="F1375" s="66"/>
      <c r="G1375" s="66"/>
      <c r="H1375" s="66"/>
      <c r="I1375" s="66"/>
      <c r="J1375" s="66"/>
      <c r="K1375" s="66"/>
      <c r="L1375" s="66"/>
      <c r="M1375" s="66"/>
      <c r="N1375" s="66"/>
      <c r="O1375" s="66"/>
      <c r="P1375" s="66"/>
      <c r="Q1375" s="66"/>
      <c r="R1375" s="66"/>
      <c r="S1375" s="66"/>
      <c r="T1375" s="66"/>
      <c r="U1375" s="66"/>
      <c r="V1375" s="66"/>
      <c r="W1375" s="66"/>
      <c r="X1375" s="66"/>
      <c r="Y1375" s="66"/>
      <c r="Z1375" s="66"/>
      <c r="AA1375" s="66"/>
      <c r="AB1375" s="66"/>
      <c r="AC1375" s="66"/>
    </row>
    <row r="1376" spans="1:29" ht="15.5">
      <c r="A1376" s="66"/>
      <c r="B1376" s="66"/>
      <c r="C1376" s="66"/>
      <c r="D1376" s="66"/>
      <c r="E1376" s="66"/>
      <c r="F1376" s="66"/>
      <c r="G1376" s="66"/>
      <c r="H1376" s="66"/>
      <c r="I1376" s="66"/>
      <c r="J1376" s="66"/>
      <c r="K1376" s="66"/>
      <c r="L1376" s="66"/>
      <c r="M1376" s="66"/>
      <c r="N1376" s="66"/>
      <c r="O1376" s="66"/>
      <c r="P1376" s="66"/>
      <c r="Q1376" s="66"/>
      <c r="R1376" s="66"/>
      <c r="S1376" s="66"/>
      <c r="T1376" s="66"/>
      <c r="U1376" s="66"/>
      <c r="V1376" s="66"/>
      <c r="W1376" s="66"/>
      <c r="X1376" s="66"/>
      <c r="Y1376" s="66"/>
      <c r="Z1376" s="66"/>
      <c r="AA1376" s="66"/>
      <c r="AB1376" s="66"/>
      <c r="AC1376" s="66"/>
    </row>
    <row r="1377" spans="1:29" ht="15.5">
      <c r="A1377" s="66"/>
      <c r="B1377" s="66"/>
      <c r="C1377" s="66"/>
      <c r="D1377" s="66"/>
      <c r="E1377" s="66"/>
      <c r="F1377" s="66"/>
      <c r="G1377" s="66"/>
      <c r="H1377" s="66"/>
      <c r="I1377" s="66"/>
      <c r="J1377" s="66"/>
      <c r="K1377" s="66"/>
      <c r="L1377" s="66"/>
      <c r="M1377" s="66"/>
      <c r="N1377" s="66"/>
      <c r="O1377" s="66"/>
      <c r="P1377" s="66"/>
      <c r="Q1377" s="66"/>
      <c r="R1377" s="66"/>
      <c r="S1377" s="66"/>
      <c r="T1377" s="66"/>
      <c r="U1377" s="66"/>
      <c r="V1377" s="66"/>
      <c r="W1377" s="66"/>
      <c r="X1377" s="66"/>
      <c r="Y1377" s="66"/>
      <c r="Z1377" s="66"/>
      <c r="AA1377" s="66"/>
      <c r="AB1377" s="66"/>
      <c r="AC1377" s="66"/>
    </row>
    <row r="1378" spans="1:29" ht="15.5">
      <c r="A1378" s="66"/>
      <c r="B1378" s="66"/>
      <c r="C1378" s="66"/>
      <c r="D1378" s="66"/>
      <c r="E1378" s="66"/>
      <c r="F1378" s="66"/>
      <c r="G1378" s="66"/>
      <c r="H1378" s="66"/>
      <c r="I1378" s="66"/>
      <c r="J1378" s="66"/>
      <c r="K1378" s="66"/>
      <c r="L1378" s="66"/>
      <c r="M1378" s="66"/>
      <c r="N1378" s="66"/>
      <c r="O1378" s="66"/>
      <c r="P1378" s="66"/>
      <c r="Q1378" s="66"/>
      <c r="R1378" s="66"/>
      <c r="S1378" s="66"/>
      <c r="T1378" s="66"/>
      <c r="U1378" s="66"/>
      <c r="V1378" s="66"/>
      <c r="W1378" s="66"/>
      <c r="X1378" s="66"/>
      <c r="Y1378" s="66"/>
      <c r="Z1378" s="66"/>
      <c r="AA1378" s="66"/>
      <c r="AB1378" s="66"/>
      <c r="AC1378" s="66"/>
    </row>
    <row r="1379" spans="1:29" ht="15.5">
      <c r="A1379" s="66"/>
      <c r="B1379" s="66"/>
      <c r="C1379" s="66"/>
      <c r="D1379" s="66"/>
      <c r="E1379" s="66"/>
      <c r="F1379" s="66"/>
      <c r="G1379" s="66"/>
      <c r="H1379" s="66"/>
      <c r="I1379" s="66"/>
      <c r="J1379" s="66"/>
      <c r="K1379" s="66"/>
      <c r="L1379" s="66"/>
      <c r="M1379" s="66"/>
      <c r="N1379" s="66"/>
      <c r="O1379" s="66"/>
      <c r="P1379" s="66"/>
      <c r="Q1379" s="66"/>
      <c r="R1379" s="66"/>
      <c r="S1379" s="66"/>
      <c r="T1379" s="66"/>
      <c r="U1379" s="66"/>
      <c r="V1379" s="66"/>
      <c r="W1379" s="66"/>
      <c r="X1379" s="66"/>
      <c r="Y1379" s="66"/>
      <c r="Z1379" s="66"/>
      <c r="AA1379" s="66"/>
      <c r="AB1379" s="66"/>
      <c r="AC1379" s="66"/>
    </row>
    <row r="1380" spans="1:29" ht="15.5">
      <c r="A1380" s="66"/>
      <c r="B1380" s="66"/>
      <c r="C1380" s="66"/>
      <c r="D1380" s="66"/>
      <c r="E1380" s="66"/>
      <c r="F1380" s="66"/>
      <c r="G1380" s="66"/>
      <c r="H1380" s="66"/>
      <c r="I1380" s="66"/>
      <c r="J1380" s="66"/>
      <c r="K1380" s="66"/>
      <c r="L1380" s="66"/>
      <c r="M1380" s="66"/>
      <c r="N1380" s="66"/>
      <c r="O1380" s="66"/>
      <c r="P1380" s="66"/>
      <c r="Q1380" s="66"/>
      <c r="R1380" s="66"/>
      <c r="S1380" s="66"/>
      <c r="T1380" s="66"/>
      <c r="U1380" s="66"/>
      <c r="V1380" s="66"/>
      <c r="W1380" s="66"/>
      <c r="X1380" s="66"/>
      <c r="Y1380" s="66"/>
      <c r="Z1380" s="66"/>
      <c r="AA1380" s="66"/>
      <c r="AB1380" s="66"/>
      <c r="AC1380" s="66"/>
    </row>
    <row r="1381" spans="1:29" ht="15.5">
      <c r="A1381" s="66"/>
      <c r="B1381" s="66"/>
      <c r="C1381" s="66"/>
      <c r="D1381" s="66"/>
      <c r="E1381" s="66"/>
      <c r="F1381" s="66"/>
      <c r="G1381" s="66"/>
      <c r="H1381" s="66"/>
      <c r="I1381" s="66"/>
      <c r="J1381" s="66"/>
      <c r="K1381" s="66"/>
      <c r="L1381" s="66"/>
      <c r="M1381" s="66"/>
      <c r="N1381" s="66"/>
      <c r="O1381" s="66"/>
      <c r="P1381" s="66"/>
      <c r="Q1381" s="66"/>
      <c r="R1381" s="66"/>
      <c r="S1381" s="66"/>
      <c r="T1381" s="66"/>
      <c r="U1381" s="66"/>
      <c r="V1381" s="66"/>
      <c r="W1381" s="66"/>
      <c r="X1381" s="66"/>
      <c r="Y1381" s="66"/>
      <c r="Z1381" s="66"/>
      <c r="AA1381" s="66"/>
      <c r="AB1381" s="66"/>
      <c r="AC1381" s="66"/>
    </row>
    <row r="1382" spans="1:29" ht="15.5">
      <c r="A1382" s="66"/>
      <c r="B1382" s="66"/>
      <c r="C1382" s="66"/>
      <c r="D1382" s="66"/>
      <c r="E1382" s="66"/>
      <c r="F1382" s="66"/>
      <c r="G1382" s="66"/>
      <c r="H1382" s="66"/>
      <c r="I1382" s="66"/>
      <c r="J1382" s="66"/>
      <c r="K1382" s="66"/>
      <c r="L1382" s="66"/>
      <c r="M1382" s="66"/>
      <c r="N1382" s="66"/>
      <c r="O1382" s="66"/>
      <c r="P1382" s="66"/>
      <c r="Q1382" s="66"/>
      <c r="R1382" s="66"/>
      <c r="S1382" s="66"/>
      <c r="T1382" s="66"/>
      <c r="U1382" s="66"/>
      <c r="V1382" s="66"/>
      <c r="W1382" s="66"/>
      <c r="X1382" s="66"/>
      <c r="Y1382" s="66"/>
      <c r="Z1382" s="66"/>
      <c r="AA1382" s="66"/>
      <c r="AB1382" s="66"/>
      <c r="AC1382" s="66"/>
    </row>
    <row r="1383" spans="1:29" ht="15.5">
      <c r="A1383" s="66"/>
      <c r="B1383" s="66"/>
      <c r="C1383" s="66"/>
      <c r="D1383" s="66"/>
      <c r="E1383" s="66"/>
      <c r="F1383" s="66"/>
      <c r="G1383" s="66"/>
      <c r="H1383" s="66"/>
      <c r="I1383" s="66"/>
      <c r="J1383" s="66"/>
      <c r="K1383" s="66"/>
      <c r="L1383" s="66"/>
      <c r="M1383" s="66"/>
      <c r="N1383" s="66"/>
      <c r="O1383" s="66"/>
      <c r="P1383" s="66"/>
      <c r="Q1383" s="66"/>
      <c r="R1383" s="66"/>
      <c r="S1383" s="66"/>
      <c r="T1383" s="66"/>
      <c r="U1383" s="66"/>
      <c r="V1383" s="66"/>
      <c r="W1383" s="66"/>
      <c r="X1383" s="66"/>
      <c r="Y1383" s="66"/>
      <c r="Z1383" s="66"/>
      <c r="AA1383" s="66"/>
      <c r="AB1383" s="66"/>
      <c r="AC1383" s="66"/>
    </row>
    <row r="1384" spans="1:29" ht="15.5">
      <c r="A1384" s="66"/>
      <c r="B1384" s="66"/>
      <c r="C1384" s="66"/>
      <c r="D1384" s="66"/>
      <c r="E1384" s="66"/>
      <c r="F1384" s="66"/>
      <c r="G1384" s="66"/>
      <c r="H1384" s="66"/>
      <c r="I1384" s="66"/>
      <c r="J1384" s="66"/>
      <c r="K1384" s="66"/>
      <c r="L1384" s="66"/>
      <c r="M1384" s="66"/>
      <c r="N1384" s="66"/>
      <c r="O1384" s="66"/>
      <c r="P1384" s="66"/>
      <c r="Q1384" s="66"/>
      <c r="R1384" s="66"/>
      <c r="S1384" s="66"/>
      <c r="T1384" s="66"/>
      <c r="U1384" s="66"/>
      <c r="V1384" s="66"/>
      <c r="W1384" s="66"/>
      <c r="X1384" s="66"/>
      <c r="Y1384" s="66"/>
      <c r="Z1384" s="66"/>
      <c r="AA1384" s="66"/>
      <c r="AB1384" s="66"/>
      <c r="AC1384" s="66"/>
    </row>
    <row r="1385" spans="1:29" ht="15.5">
      <c r="A1385" s="66"/>
      <c r="B1385" s="66"/>
      <c r="C1385" s="66"/>
      <c r="D1385" s="66"/>
      <c r="E1385" s="66"/>
      <c r="F1385" s="66"/>
      <c r="G1385" s="66"/>
      <c r="H1385" s="66"/>
      <c r="I1385" s="66"/>
      <c r="J1385" s="66"/>
      <c r="K1385" s="66"/>
      <c r="L1385" s="66"/>
      <c r="M1385" s="66"/>
      <c r="N1385" s="66"/>
      <c r="O1385" s="66"/>
      <c r="P1385" s="66"/>
      <c r="Q1385" s="66"/>
      <c r="R1385" s="66"/>
      <c r="S1385" s="66"/>
      <c r="T1385" s="66"/>
      <c r="U1385" s="66"/>
      <c r="V1385" s="66"/>
      <c r="W1385" s="66"/>
      <c r="X1385" s="66"/>
      <c r="Y1385" s="66"/>
      <c r="Z1385" s="66"/>
      <c r="AA1385" s="66"/>
      <c r="AB1385" s="66"/>
      <c r="AC1385" s="66"/>
    </row>
    <row r="1386" spans="1:29" ht="15.5">
      <c r="A1386" s="66"/>
      <c r="B1386" s="66"/>
      <c r="C1386" s="66"/>
      <c r="D1386" s="66"/>
      <c r="E1386" s="66"/>
      <c r="F1386" s="66"/>
      <c r="G1386" s="66"/>
      <c r="H1386" s="66"/>
      <c r="I1386" s="66"/>
      <c r="J1386" s="66"/>
      <c r="K1386" s="66"/>
      <c r="L1386" s="66"/>
      <c r="M1386" s="66"/>
      <c r="N1386" s="66"/>
      <c r="O1386" s="66"/>
      <c r="P1386" s="66"/>
      <c r="Q1386" s="66"/>
      <c r="R1386" s="66"/>
      <c r="S1386" s="66"/>
      <c r="T1386" s="66"/>
      <c r="U1386" s="66"/>
      <c r="V1386" s="66"/>
      <c r="W1386" s="66"/>
      <c r="X1386" s="66"/>
      <c r="Y1386" s="66"/>
      <c r="Z1386" s="66"/>
      <c r="AA1386" s="66"/>
      <c r="AB1386" s="66"/>
      <c r="AC1386" s="66"/>
    </row>
    <row r="1387" spans="1:29" ht="15.5">
      <c r="A1387" s="66"/>
      <c r="B1387" s="66"/>
      <c r="C1387" s="66"/>
      <c r="D1387" s="66"/>
      <c r="E1387" s="66"/>
      <c r="F1387" s="66"/>
      <c r="G1387" s="66"/>
      <c r="H1387" s="66"/>
      <c r="I1387" s="66"/>
      <c r="J1387" s="66"/>
      <c r="K1387" s="66"/>
      <c r="L1387" s="66"/>
      <c r="M1387" s="66"/>
      <c r="N1387" s="66"/>
      <c r="O1387" s="66"/>
      <c r="P1387" s="66"/>
      <c r="Q1387" s="66"/>
      <c r="R1387" s="66"/>
      <c r="S1387" s="66"/>
      <c r="T1387" s="66"/>
      <c r="U1387" s="66"/>
      <c r="V1387" s="66"/>
      <c r="W1387" s="66"/>
      <c r="X1387" s="66"/>
      <c r="Y1387" s="66"/>
      <c r="Z1387" s="66"/>
      <c r="AA1387" s="66"/>
      <c r="AB1387" s="66"/>
      <c r="AC1387" s="66"/>
    </row>
    <row r="1388" spans="1:29" ht="15.5">
      <c r="A1388" s="66"/>
      <c r="B1388" s="66"/>
      <c r="C1388" s="66"/>
      <c r="D1388" s="66"/>
      <c r="E1388" s="66"/>
      <c r="F1388" s="66"/>
      <c r="G1388" s="66"/>
      <c r="H1388" s="66"/>
      <c r="I1388" s="66"/>
      <c r="J1388" s="66"/>
      <c r="K1388" s="66"/>
      <c r="L1388" s="66"/>
      <c r="M1388" s="66"/>
      <c r="N1388" s="66"/>
      <c r="O1388" s="66"/>
      <c r="P1388" s="66"/>
      <c r="Q1388" s="66"/>
      <c r="R1388" s="66"/>
      <c r="S1388" s="66"/>
      <c r="T1388" s="66"/>
      <c r="U1388" s="66"/>
      <c r="V1388" s="66"/>
      <c r="W1388" s="66"/>
      <c r="X1388" s="66"/>
      <c r="Y1388" s="66"/>
      <c r="Z1388" s="66"/>
      <c r="AA1388" s="66"/>
      <c r="AB1388" s="66"/>
      <c r="AC1388" s="66"/>
    </row>
    <row r="1389" spans="1:29" ht="15.5">
      <c r="A1389" s="66"/>
      <c r="B1389" s="66"/>
      <c r="C1389" s="66"/>
      <c r="D1389" s="66"/>
      <c r="E1389" s="66"/>
      <c r="F1389" s="66"/>
      <c r="G1389" s="66"/>
      <c r="H1389" s="66"/>
      <c r="I1389" s="66"/>
      <c r="J1389" s="66"/>
      <c r="K1389" s="66"/>
      <c r="L1389" s="66"/>
      <c r="M1389" s="66"/>
      <c r="N1389" s="66"/>
      <c r="O1389" s="66"/>
      <c r="P1389" s="66"/>
      <c r="Q1389" s="66"/>
      <c r="R1389" s="66"/>
      <c r="S1389" s="66"/>
      <c r="T1389" s="66"/>
      <c r="U1389" s="66"/>
      <c r="V1389" s="66"/>
      <c r="W1389" s="66"/>
      <c r="X1389" s="66"/>
      <c r="Y1389" s="66"/>
      <c r="Z1389" s="66"/>
      <c r="AA1389" s="66"/>
      <c r="AB1389" s="66"/>
      <c r="AC1389" s="66"/>
    </row>
    <row r="1390" spans="1:29" ht="15.5">
      <c r="A1390" s="66"/>
      <c r="B1390" s="66"/>
      <c r="C1390" s="66"/>
      <c r="D1390" s="66"/>
      <c r="E1390" s="66"/>
      <c r="F1390" s="66"/>
      <c r="G1390" s="66"/>
      <c r="H1390" s="66"/>
      <c r="I1390" s="66"/>
      <c r="J1390" s="66"/>
      <c r="K1390" s="66"/>
      <c r="L1390" s="66"/>
      <c r="M1390" s="66"/>
      <c r="N1390" s="66"/>
      <c r="O1390" s="66"/>
      <c r="P1390" s="66"/>
      <c r="Q1390" s="66"/>
      <c r="R1390" s="66"/>
      <c r="S1390" s="66"/>
      <c r="T1390" s="66"/>
      <c r="U1390" s="66"/>
      <c r="V1390" s="66"/>
      <c r="W1390" s="66"/>
      <c r="X1390" s="66"/>
      <c r="Y1390" s="66"/>
      <c r="Z1390" s="66"/>
      <c r="AA1390" s="66"/>
      <c r="AB1390" s="66"/>
      <c r="AC1390" s="66"/>
    </row>
    <row r="1391" spans="1:29" ht="15.5">
      <c r="A1391" s="66"/>
      <c r="B1391" s="66"/>
      <c r="C1391" s="66"/>
      <c r="D1391" s="66"/>
      <c r="E1391" s="66"/>
      <c r="F1391" s="66"/>
      <c r="G1391" s="66"/>
      <c r="H1391" s="66"/>
      <c r="I1391" s="66"/>
      <c r="J1391" s="66"/>
      <c r="K1391" s="66"/>
      <c r="L1391" s="66"/>
      <c r="M1391" s="66"/>
      <c r="N1391" s="66"/>
      <c r="O1391" s="66"/>
      <c r="P1391" s="66"/>
      <c r="Q1391" s="66"/>
      <c r="R1391" s="66"/>
      <c r="S1391" s="66"/>
      <c r="T1391" s="66"/>
      <c r="U1391" s="66"/>
      <c r="V1391" s="66"/>
      <c r="W1391" s="66"/>
      <c r="X1391" s="66"/>
      <c r="Y1391" s="66"/>
      <c r="Z1391" s="66"/>
      <c r="AA1391" s="66"/>
      <c r="AB1391" s="66"/>
      <c r="AC1391" s="66"/>
    </row>
    <row r="1392" spans="1:29" ht="15.5">
      <c r="A1392" s="66"/>
      <c r="B1392" s="66"/>
      <c r="C1392" s="66"/>
      <c r="D1392" s="66"/>
      <c r="E1392" s="66"/>
      <c r="F1392" s="66"/>
      <c r="G1392" s="66"/>
      <c r="H1392" s="66"/>
      <c r="I1392" s="66"/>
      <c r="J1392" s="66"/>
      <c r="K1392" s="66"/>
      <c r="L1392" s="66"/>
      <c r="M1392" s="66"/>
      <c r="N1392" s="66"/>
      <c r="O1392" s="66"/>
      <c r="P1392" s="66"/>
      <c r="Q1392" s="66"/>
      <c r="R1392" s="66"/>
      <c r="S1392" s="66"/>
      <c r="T1392" s="66"/>
      <c r="U1392" s="66"/>
      <c r="V1392" s="66"/>
      <c r="W1392" s="66"/>
      <c r="X1392" s="66"/>
      <c r="Y1392" s="66"/>
      <c r="Z1392" s="66"/>
      <c r="AA1392" s="66"/>
      <c r="AB1392" s="66"/>
      <c r="AC1392" s="66"/>
    </row>
    <row r="1393" spans="1:29" ht="15.5">
      <c r="A1393" s="66"/>
      <c r="B1393" s="66"/>
      <c r="C1393" s="66"/>
      <c r="D1393" s="66"/>
      <c r="E1393" s="66"/>
      <c r="F1393" s="66"/>
      <c r="G1393" s="66"/>
      <c r="H1393" s="66"/>
      <c r="I1393" s="66"/>
      <c r="J1393" s="66"/>
      <c r="K1393" s="66"/>
      <c r="L1393" s="66"/>
      <c r="M1393" s="66"/>
      <c r="N1393" s="66"/>
      <c r="O1393" s="66"/>
      <c r="P1393" s="66"/>
      <c r="Q1393" s="66"/>
      <c r="R1393" s="66"/>
      <c r="S1393" s="66"/>
      <c r="T1393" s="66"/>
      <c r="U1393" s="66"/>
      <c r="V1393" s="66"/>
      <c r="W1393" s="66"/>
      <c r="X1393" s="66"/>
      <c r="Y1393" s="66"/>
      <c r="Z1393" s="66"/>
      <c r="AA1393" s="66"/>
      <c r="AB1393" s="66"/>
      <c r="AC1393" s="66"/>
    </row>
    <row r="1394" spans="1:29" ht="15.5">
      <c r="A1394" s="66"/>
      <c r="B1394" s="66"/>
      <c r="C1394" s="66"/>
      <c r="D1394" s="66"/>
      <c r="E1394" s="66"/>
      <c r="F1394" s="66"/>
      <c r="G1394" s="66"/>
      <c r="H1394" s="66"/>
      <c r="I1394" s="66"/>
      <c r="J1394" s="66"/>
      <c r="K1394" s="66"/>
      <c r="L1394" s="66"/>
      <c r="M1394" s="66"/>
      <c r="N1394" s="66"/>
      <c r="O1394" s="66"/>
      <c r="P1394" s="66"/>
      <c r="Q1394" s="66"/>
      <c r="R1394" s="66"/>
      <c r="S1394" s="66"/>
      <c r="T1394" s="66"/>
      <c r="U1394" s="66"/>
      <c r="V1394" s="66"/>
      <c r="W1394" s="66"/>
      <c r="X1394" s="66"/>
      <c r="Y1394" s="66"/>
      <c r="Z1394" s="66"/>
      <c r="AA1394" s="66"/>
      <c r="AB1394" s="66"/>
      <c r="AC1394" s="66"/>
    </row>
    <row r="1395" spans="1:29" ht="15.5">
      <c r="A1395" s="66"/>
      <c r="B1395" s="66"/>
      <c r="C1395" s="66"/>
      <c r="D1395" s="66"/>
      <c r="E1395" s="66"/>
      <c r="F1395" s="66"/>
      <c r="G1395" s="66"/>
      <c r="H1395" s="66"/>
      <c r="I1395" s="66"/>
      <c r="J1395" s="66"/>
      <c r="K1395" s="66"/>
      <c r="L1395" s="66"/>
      <c r="M1395" s="66"/>
      <c r="N1395" s="66"/>
      <c r="O1395" s="66"/>
      <c r="P1395" s="66"/>
      <c r="Q1395" s="66"/>
      <c r="R1395" s="66"/>
      <c r="S1395" s="66"/>
      <c r="T1395" s="66"/>
      <c r="U1395" s="66"/>
      <c r="V1395" s="66"/>
      <c r="W1395" s="66"/>
      <c r="X1395" s="66"/>
      <c r="Y1395" s="66"/>
      <c r="Z1395" s="66"/>
      <c r="AA1395" s="66"/>
      <c r="AB1395" s="66"/>
      <c r="AC1395" s="66"/>
    </row>
    <row r="1396" spans="1:29" ht="15.5">
      <c r="A1396" s="66"/>
      <c r="B1396" s="66"/>
      <c r="C1396" s="66"/>
      <c r="D1396" s="66"/>
      <c r="E1396" s="66"/>
      <c r="F1396" s="66"/>
      <c r="G1396" s="66"/>
      <c r="H1396" s="66"/>
      <c r="I1396" s="66"/>
      <c r="J1396" s="66"/>
      <c r="K1396" s="66"/>
      <c r="L1396" s="66"/>
      <c r="M1396" s="66"/>
      <c r="N1396" s="66"/>
      <c r="O1396" s="66"/>
      <c r="P1396" s="66"/>
      <c r="Q1396" s="66"/>
      <c r="R1396" s="66"/>
      <c r="S1396" s="66"/>
      <c r="T1396" s="66"/>
      <c r="U1396" s="66"/>
      <c r="V1396" s="66"/>
      <c r="W1396" s="66"/>
      <c r="X1396" s="66"/>
      <c r="Y1396" s="66"/>
      <c r="Z1396" s="66"/>
      <c r="AA1396" s="66"/>
      <c r="AB1396" s="66"/>
      <c r="AC1396" s="66"/>
    </row>
    <row r="1397" spans="1:29" ht="15.5">
      <c r="A1397" s="66"/>
      <c r="B1397" s="66"/>
      <c r="C1397" s="66"/>
      <c r="D1397" s="66"/>
      <c r="E1397" s="66"/>
      <c r="F1397" s="66"/>
      <c r="G1397" s="66"/>
      <c r="H1397" s="66"/>
      <c r="I1397" s="66"/>
      <c r="J1397" s="66"/>
      <c r="K1397" s="66"/>
      <c r="L1397" s="66"/>
      <c r="M1397" s="66"/>
      <c r="N1397" s="66"/>
      <c r="O1397" s="66"/>
      <c r="P1397" s="66"/>
      <c r="Q1397" s="66"/>
      <c r="R1397" s="66"/>
      <c r="S1397" s="66"/>
      <c r="T1397" s="66"/>
      <c r="U1397" s="66"/>
      <c r="V1397" s="66"/>
      <c r="W1397" s="66"/>
      <c r="X1397" s="66"/>
      <c r="Y1397" s="66"/>
      <c r="Z1397" s="66"/>
      <c r="AA1397" s="66"/>
      <c r="AB1397" s="66"/>
      <c r="AC1397" s="66"/>
    </row>
    <row r="1398" spans="1:29" ht="15.5">
      <c r="A1398" s="66"/>
      <c r="B1398" s="66"/>
      <c r="C1398" s="66"/>
      <c r="D1398" s="66"/>
      <c r="E1398" s="66"/>
      <c r="F1398" s="66"/>
      <c r="G1398" s="66"/>
      <c r="H1398" s="66"/>
      <c r="I1398" s="66"/>
      <c r="J1398" s="66"/>
      <c r="K1398" s="66"/>
      <c r="L1398" s="66"/>
      <c r="M1398" s="66"/>
      <c r="N1398" s="66"/>
      <c r="O1398" s="66"/>
      <c r="P1398" s="66"/>
      <c r="Q1398" s="66"/>
      <c r="R1398" s="66"/>
      <c r="S1398" s="66"/>
      <c r="T1398" s="66"/>
      <c r="U1398" s="66"/>
      <c r="V1398" s="66"/>
      <c r="W1398" s="66"/>
      <c r="X1398" s="66"/>
      <c r="Y1398" s="66"/>
      <c r="Z1398" s="66"/>
      <c r="AA1398" s="66"/>
      <c r="AB1398" s="66"/>
      <c r="AC1398" s="66"/>
    </row>
    <row r="1399" spans="1:29" ht="15.5">
      <c r="A1399" s="66"/>
      <c r="B1399" s="66"/>
      <c r="C1399" s="66"/>
      <c r="D1399" s="66"/>
      <c r="E1399" s="66"/>
      <c r="F1399" s="66"/>
      <c r="G1399" s="66"/>
      <c r="H1399" s="66"/>
      <c r="I1399" s="66"/>
      <c r="J1399" s="66"/>
      <c r="K1399" s="66"/>
      <c r="L1399" s="66"/>
      <c r="M1399" s="66"/>
      <c r="N1399" s="66"/>
      <c r="O1399" s="66"/>
      <c r="P1399" s="66"/>
      <c r="Q1399" s="66"/>
      <c r="R1399" s="66"/>
      <c r="S1399" s="66"/>
      <c r="T1399" s="66"/>
      <c r="U1399" s="66"/>
      <c r="V1399" s="66"/>
      <c r="W1399" s="66"/>
      <c r="X1399" s="66"/>
      <c r="Y1399" s="66"/>
      <c r="Z1399" s="66"/>
      <c r="AA1399" s="66"/>
      <c r="AB1399" s="66"/>
      <c r="AC1399" s="66"/>
    </row>
    <row r="1400" spans="1:29" ht="15.5">
      <c r="A1400" s="66"/>
      <c r="B1400" s="66"/>
      <c r="C1400" s="66"/>
      <c r="D1400" s="66"/>
      <c r="E1400" s="66"/>
      <c r="F1400" s="66"/>
      <c r="G1400" s="66"/>
      <c r="H1400" s="66"/>
      <c r="I1400" s="66"/>
      <c r="J1400" s="66"/>
      <c r="K1400" s="66"/>
      <c r="L1400" s="66"/>
      <c r="M1400" s="66"/>
      <c r="N1400" s="66"/>
      <c r="O1400" s="66"/>
      <c r="P1400" s="66"/>
      <c r="Q1400" s="66"/>
      <c r="R1400" s="66"/>
      <c r="S1400" s="66"/>
      <c r="T1400" s="66"/>
      <c r="U1400" s="66"/>
      <c r="V1400" s="66"/>
      <c r="W1400" s="66"/>
      <c r="X1400" s="66"/>
      <c r="Y1400" s="66"/>
      <c r="Z1400" s="66"/>
      <c r="AA1400" s="66"/>
      <c r="AB1400" s="66"/>
      <c r="AC1400" s="66"/>
    </row>
    <row r="1401" spans="1:29" ht="15.5">
      <c r="A1401" s="66"/>
      <c r="B1401" s="66"/>
      <c r="C1401" s="66"/>
      <c r="D1401" s="66"/>
      <c r="E1401" s="66"/>
      <c r="F1401" s="66"/>
      <c r="G1401" s="66"/>
      <c r="H1401" s="66"/>
      <c r="I1401" s="66"/>
      <c r="J1401" s="66"/>
      <c r="K1401" s="66"/>
      <c r="L1401" s="66"/>
      <c r="M1401" s="66"/>
      <c r="N1401" s="66"/>
      <c r="O1401" s="66"/>
      <c r="P1401" s="66"/>
      <c r="Q1401" s="66"/>
      <c r="R1401" s="66"/>
      <c r="S1401" s="66"/>
      <c r="T1401" s="66"/>
      <c r="U1401" s="66"/>
      <c r="V1401" s="66"/>
      <c r="W1401" s="66"/>
      <c r="X1401" s="66"/>
      <c r="Y1401" s="66"/>
      <c r="Z1401" s="66"/>
      <c r="AA1401" s="66"/>
      <c r="AB1401" s="66"/>
      <c r="AC1401" s="66"/>
    </row>
    <row r="1402" spans="1:29" ht="15.5">
      <c r="A1402" s="66"/>
      <c r="B1402" s="66"/>
      <c r="C1402" s="66"/>
      <c r="D1402" s="66"/>
      <c r="E1402" s="66"/>
      <c r="F1402" s="66"/>
      <c r="G1402" s="66"/>
      <c r="H1402" s="66"/>
      <c r="I1402" s="66"/>
      <c r="J1402" s="66"/>
      <c r="K1402" s="66"/>
      <c r="L1402" s="66"/>
      <c r="M1402" s="66"/>
      <c r="N1402" s="66"/>
      <c r="O1402" s="66"/>
      <c r="P1402" s="66"/>
      <c r="Q1402" s="66"/>
      <c r="R1402" s="66"/>
      <c r="S1402" s="66"/>
      <c r="T1402" s="66"/>
      <c r="U1402" s="66"/>
      <c r="V1402" s="66"/>
      <c r="W1402" s="66"/>
      <c r="X1402" s="66"/>
      <c r="Y1402" s="66"/>
      <c r="Z1402" s="66"/>
      <c r="AA1402" s="66"/>
      <c r="AB1402" s="66"/>
      <c r="AC1402" s="66"/>
    </row>
    <row r="1403" spans="1:29" ht="15.5">
      <c r="A1403" s="66"/>
      <c r="B1403" s="66"/>
      <c r="C1403" s="66"/>
      <c r="D1403" s="66"/>
      <c r="E1403" s="66"/>
      <c r="F1403" s="66"/>
      <c r="G1403" s="66"/>
      <c r="H1403" s="66"/>
      <c r="I1403" s="66"/>
      <c r="J1403" s="66"/>
      <c r="K1403" s="66"/>
      <c r="L1403" s="66"/>
      <c r="M1403" s="66"/>
      <c r="N1403" s="66"/>
      <c r="O1403" s="66"/>
      <c r="P1403" s="66"/>
      <c r="Q1403" s="66"/>
      <c r="R1403" s="66"/>
      <c r="S1403" s="66"/>
      <c r="T1403" s="66"/>
      <c r="U1403" s="66"/>
      <c r="V1403" s="66"/>
      <c r="W1403" s="66"/>
      <c r="X1403" s="66"/>
      <c r="Y1403" s="66"/>
      <c r="Z1403" s="66"/>
      <c r="AA1403" s="66"/>
      <c r="AB1403" s="66"/>
      <c r="AC1403" s="66"/>
    </row>
    <row r="1404" spans="1:29" ht="15.5">
      <c r="A1404" s="66"/>
      <c r="B1404" s="66"/>
      <c r="C1404" s="66"/>
      <c r="D1404" s="66"/>
      <c r="E1404" s="66"/>
      <c r="F1404" s="66"/>
      <c r="G1404" s="66"/>
      <c r="H1404" s="66"/>
      <c r="I1404" s="66"/>
      <c r="J1404" s="66"/>
      <c r="K1404" s="66"/>
      <c r="L1404" s="66"/>
      <c r="M1404" s="66"/>
      <c r="N1404" s="66"/>
      <c r="O1404" s="66"/>
      <c r="P1404" s="66"/>
      <c r="Q1404" s="66"/>
      <c r="R1404" s="66"/>
      <c r="S1404" s="66"/>
      <c r="T1404" s="66"/>
      <c r="U1404" s="66"/>
      <c r="V1404" s="66"/>
      <c r="W1404" s="66"/>
      <c r="X1404" s="66"/>
      <c r="Y1404" s="66"/>
      <c r="Z1404" s="66"/>
      <c r="AA1404" s="66"/>
      <c r="AB1404" s="66"/>
      <c r="AC1404" s="66"/>
    </row>
    <row r="1405" spans="1:29" ht="15.5">
      <c r="A1405" s="66"/>
      <c r="B1405" s="66"/>
      <c r="C1405" s="66"/>
      <c r="D1405" s="66"/>
      <c r="E1405" s="66"/>
      <c r="F1405" s="66"/>
      <c r="G1405" s="66"/>
      <c r="H1405" s="66"/>
      <c r="I1405" s="66"/>
      <c r="J1405" s="66"/>
      <c r="K1405" s="66"/>
      <c r="L1405" s="66"/>
      <c r="M1405" s="66"/>
      <c r="N1405" s="66"/>
      <c r="O1405" s="66"/>
      <c r="P1405" s="66"/>
      <c r="Q1405" s="66"/>
      <c r="R1405" s="66"/>
      <c r="S1405" s="66"/>
      <c r="T1405" s="66"/>
      <c r="U1405" s="66"/>
      <c r="V1405" s="66"/>
      <c r="W1405" s="66"/>
      <c r="X1405" s="66"/>
      <c r="Y1405" s="66"/>
      <c r="Z1405" s="66"/>
      <c r="AA1405" s="66"/>
      <c r="AB1405" s="66"/>
      <c r="AC1405" s="66"/>
    </row>
    <row r="1406" spans="1:29" ht="15.5">
      <c r="A1406" s="66"/>
      <c r="B1406" s="66"/>
      <c r="C1406" s="66"/>
      <c r="D1406" s="66"/>
      <c r="E1406" s="66"/>
      <c r="F1406" s="66"/>
      <c r="G1406" s="66"/>
      <c r="H1406" s="66"/>
      <c r="I1406" s="66"/>
      <c r="J1406" s="66"/>
      <c r="K1406" s="66"/>
      <c r="L1406" s="66"/>
      <c r="M1406" s="66"/>
      <c r="N1406" s="66"/>
      <c r="O1406" s="66"/>
      <c r="P1406" s="66"/>
      <c r="Q1406" s="66"/>
      <c r="R1406" s="66"/>
      <c r="S1406" s="66"/>
      <c r="T1406" s="66"/>
      <c r="U1406" s="66"/>
      <c r="V1406" s="66"/>
      <c r="W1406" s="66"/>
      <c r="X1406" s="66"/>
      <c r="Y1406" s="66"/>
      <c r="Z1406" s="66"/>
      <c r="AA1406" s="66"/>
      <c r="AB1406" s="66"/>
      <c r="AC1406" s="66"/>
    </row>
    <row r="1407" spans="1:29" ht="15.5">
      <c r="A1407" s="66"/>
      <c r="B1407" s="66"/>
      <c r="C1407" s="66"/>
      <c r="D1407" s="66"/>
      <c r="E1407" s="66"/>
      <c r="F1407" s="66"/>
      <c r="G1407" s="66"/>
      <c r="H1407" s="66"/>
      <c r="I1407" s="66"/>
      <c r="J1407" s="66"/>
      <c r="K1407" s="66"/>
      <c r="L1407" s="66"/>
      <c r="M1407" s="66"/>
      <c r="N1407" s="66"/>
      <c r="O1407" s="66"/>
      <c r="P1407" s="66"/>
      <c r="Q1407" s="66"/>
      <c r="R1407" s="66"/>
      <c r="S1407" s="66"/>
      <c r="T1407" s="66"/>
      <c r="U1407" s="66"/>
      <c r="V1407" s="66"/>
      <c r="W1407" s="66"/>
      <c r="X1407" s="66"/>
      <c r="Y1407" s="66"/>
      <c r="Z1407" s="66"/>
      <c r="AA1407" s="66"/>
      <c r="AB1407" s="66"/>
      <c r="AC1407" s="66"/>
    </row>
    <row r="1408" spans="1:29" ht="15.5">
      <c r="A1408" s="66"/>
      <c r="B1408" s="66"/>
      <c r="C1408" s="66"/>
      <c r="D1408" s="66"/>
      <c r="E1408" s="66"/>
      <c r="F1408" s="66"/>
      <c r="G1408" s="66"/>
      <c r="H1408" s="66"/>
      <c r="I1408" s="66"/>
      <c r="J1408" s="66"/>
      <c r="K1408" s="66"/>
      <c r="L1408" s="66"/>
      <c r="M1408" s="66"/>
      <c r="N1408" s="66"/>
      <c r="O1408" s="66"/>
      <c r="P1408" s="66"/>
      <c r="Q1408" s="66"/>
      <c r="R1408" s="66"/>
      <c r="S1408" s="66"/>
      <c r="T1408" s="66"/>
      <c r="U1408" s="66"/>
      <c r="V1408" s="66"/>
      <c r="W1408" s="66"/>
      <c r="X1408" s="66"/>
      <c r="Y1408" s="66"/>
      <c r="Z1408" s="66"/>
      <c r="AA1408" s="66"/>
      <c r="AB1408" s="66"/>
      <c r="AC1408" s="66"/>
    </row>
    <row r="1409" spans="1:29" ht="15.5">
      <c r="A1409" s="66"/>
      <c r="B1409" s="66"/>
      <c r="C1409" s="66"/>
      <c r="D1409" s="66"/>
      <c r="E1409" s="66"/>
      <c r="F1409" s="66"/>
      <c r="G1409" s="66"/>
      <c r="H1409" s="66"/>
      <c r="I1409" s="66"/>
      <c r="J1409" s="66"/>
      <c r="K1409" s="66"/>
      <c r="L1409" s="66"/>
      <c r="M1409" s="66"/>
      <c r="N1409" s="66"/>
      <c r="O1409" s="66"/>
      <c r="P1409" s="66"/>
      <c r="Q1409" s="66"/>
      <c r="R1409" s="66"/>
      <c r="S1409" s="66"/>
      <c r="T1409" s="66"/>
      <c r="U1409" s="66"/>
      <c r="V1409" s="66"/>
      <c r="W1409" s="66"/>
      <c r="X1409" s="66"/>
      <c r="Y1409" s="66"/>
      <c r="Z1409" s="66"/>
      <c r="AA1409" s="66"/>
      <c r="AB1409" s="66"/>
      <c r="AC1409" s="66"/>
    </row>
    <row r="1410" spans="1:29" ht="15.5">
      <c r="A1410" s="66"/>
      <c r="B1410" s="66"/>
      <c r="C1410" s="66"/>
      <c r="D1410" s="66"/>
      <c r="E1410" s="66"/>
      <c r="F1410" s="66"/>
      <c r="G1410" s="66"/>
      <c r="H1410" s="66"/>
      <c r="I1410" s="66"/>
      <c r="J1410" s="66"/>
      <c r="K1410" s="66"/>
      <c r="L1410" s="66"/>
      <c r="M1410" s="66"/>
      <c r="N1410" s="66"/>
      <c r="O1410" s="66"/>
      <c r="P1410" s="66"/>
      <c r="Q1410" s="66"/>
      <c r="R1410" s="66"/>
      <c r="S1410" s="66"/>
      <c r="T1410" s="66"/>
      <c r="U1410" s="66"/>
      <c r="V1410" s="66"/>
      <c r="W1410" s="66"/>
      <c r="X1410" s="66"/>
      <c r="Y1410" s="66"/>
      <c r="Z1410" s="66"/>
      <c r="AA1410" s="66"/>
      <c r="AB1410" s="66"/>
      <c r="AC1410" s="66"/>
    </row>
    <row r="1411" spans="1:29" ht="15.5">
      <c r="A1411" s="66"/>
      <c r="B1411" s="66"/>
      <c r="C1411" s="66"/>
      <c r="D1411" s="66"/>
      <c r="E1411" s="66"/>
      <c r="F1411" s="66"/>
      <c r="G1411" s="66"/>
      <c r="H1411" s="66"/>
      <c r="I1411" s="66"/>
      <c r="J1411" s="66"/>
      <c r="K1411" s="66"/>
      <c r="L1411" s="66"/>
      <c r="M1411" s="66"/>
      <c r="N1411" s="66"/>
      <c r="O1411" s="66"/>
      <c r="P1411" s="66"/>
      <c r="Q1411" s="66"/>
      <c r="R1411" s="66"/>
      <c r="S1411" s="66"/>
      <c r="T1411" s="66"/>
      <c r="U1411" s="66"/>
      <c r="V1411" s="66"/>
      <c r="W1411" s="66"/>
      <c r="X1411" s="66"/>
      <c r="Y1411" s="66"/>
      <c r="Z1411" s="66"/>
      <c r="AA1411" s="66"/>
      <c r="AB1411" s="66"/>
      <c r="AC1411" s="66"/>
    </row>
    <row r="1412" spans="1:29" ht="15.5">
      <c r="A1412" s="66"/>
      <c r="B1412" s="66"/>
      <c r="C1412" s="66"/>
      <c r="D1412" s="66"/>
      <c r="E1412" s="66"/>
      <c r="F1412" s="66"/>
      <c r="G1412" s="66"/>
      <c r="H1412" s="66"/>
      <c r="I1412" s="66"/>
      <c r="J1412" s="66"/>
      <c r="K1412" s="66"/>
      <c r="L1412" s="66"/>
      <c r="M1412" s="66"/>
      <c r="N1412" s="66"/>
      <c r="O1412" s="66"/>
      <c r="P1412" s="66"/>
      <c r="Q1412" s="66"/>
      <c r="R1412" s="66"/>
      <c r="S1412" s="66"/>
      <c r="T1412" s="66"/>
      <c r="U1412" s="66"/>
      <c r="V1412" s="66"/>
      <c r="W1412" s="66"/>
      <c r="X1412" s="66"/>
      <c r="Y1412" s="66"/>
      <c r="Z1412" s="66"/>
      <c r="AA1412" s="66"/>
      <c r="AB1412" s="66"/>
      <c r="AC1412" s="66"/>
    </row>
    <row r="1413" spans="1:29" ht="15.5">
      <c r="A1413" s="66"/>
      <c r="B1413" s="66"/>
      <c r="C1413" s="66"/>
      <c r="D1413" s="66"/>
      <c r="E1413" s="66"/>
      <c r="F1413" s="66"/>
      <c r="G1413" s="66"/>
      <c r="H1413" s="66"/>
      <c r="I1413" s="66"/>
      <c r="J1413" s="66"/>
      <c r="K1413" s="66"/>
      <c r="L1413" s="66"/>
      <c r="M1413" s="66"/>
      <c r="N1413" s="66"/>
      <c r="O1413" s="66"/>
      <c r="P1413" s="66"/>
      <c r="Q1413" s="66"/>
      <c r="R1413" s="66"/>
      <c r="S1413" s="66"/>
      <c r="T1413" s="66"/>
      <c r="U1413" s="66"/>
      <c r="V1413" s="66"/>
      <c r="W1413" s="66"/>
      <c r="X1413" s="66"/>
      <c r="Y1413" s="66"/>
      <c r="Z1413" s="66"/>
      <c r="AA1413" s="66"/>
      <c r="AB1413" s="66"/>
      <c r="AC1413" s="66"/>
    </row>
    <row r="1414" spans="1:29" ht="15.5">
      <c r="A1414" s="66"/>
      <c r="B1414" s="66"/>
      <c r="C1414" s="66"/>
      <c r="D1414" s="66"/>
      <c r="E1414" s="66"/>
      <c r="F1414" s="66"/>
      <c r="G1414" s="66"/>
      <c r="H1414" s="66"/>
      <c r="I1414" s="66"/>
      <c r="J1414" s="66"/>
      <c r="K1414" s="66"/>
      <c r="L1414" s="66"/>
      <c r="M1414" s="66"/>
      <c r="N1414" s="66"/>
      <c r="O1414" s="66"/>
      <c r="P1414" s="66"/>
      <c r="Q1414" s="66"/>
      <c r="R1414" s="66"/>
      <c r="S1414" s="66"/>
      <c r="T1414" s="66"/>
      <c r="U1414" s="66"/>
      <c r="V1414" s="66"/>
      <c r="W1414" s="66"/>
      <c r="X1414" s="66"/>
      <c r="Y1414" s="66"/>
      <c r="Z1414" s="66"/>
      <c r="AA1414" s="66"/>
      <c r="AB1414" s="66"/>
      <c r="AC1414" s="66"/>
    </row>
    <row r="1415" spans="1:29" ht="15.5">
      <c r="A1415" s="66"/>
      <c r="B1415" s="66"/>
      <c r="C1415" s="66"/>
      <c r="D1415" s="66"/>
      <c r="E1415" s="66"/>
      <c r="F1415" s="66"/>
      <c r="G1415" s="66"/>
      <c r="H1415" s="66"/>
      <c r="I1415" s="66"/>
      <c r="J1415" s="66"/>
      <c r="K1415" s="66"/>
      <c r="L1415" s="66"/>
      <c r="M1415" s="66"/>
      <c r="N1415" s="66"/>
      <c r="O1415" s="66"/>
      <c r="P1415" s="66"/>
      <c r="Q1415" s="66"/>
      <c r="R1415" s="66"/>
      <c r="S1415" s="66"/>
      <c r="T1415" s="66"/>
      <c r="U1415" s="66"/>
      <c r="V1415" s="66"/>
      <c r="W1415" s="66"/>
      <c r="X1415" s="66"/>
      <c r="Y1415" s="66"/>
      <c r="Z1415" s="66"/>
      <c r="AA1415" s="66"/>
      <c r="AB1415" s="66"/>
      <c r="AC1415" s="66"/>
    </row>
    <row r="1416" spans="1:29" ht="15.5">
      <c r="A1416" s="66"/>
      <c r="B1416" s="66"/>
      <c r="C1416" s="66"/>
      <c r="D1416" s="66"/>
      <c r="E1416" s="66"/>
      <c r="F1416" s="66"/>
      <c r="G1416" s="66"/>
      <c r="H1416" s="66"/>
      <c r="I1416" s="66"/>
      <c r="J1416" s="66"/>
      <c r="K1416" s="66"/>
      <c r="L1416" s="66"/>
      <c r="M1416" s="66"/>
      <c r="N1416" s="66"/>
      <c r="O1416" s="66"/>
      <c r="P1416" s="66"/>
      <c r="Q1416" s="66"/>
      <c r="R1416" s="66"/>
      <c r="S1416" s="66"/>
      <c r="T1416" s="66"/>
      <c r="U1416" s="66"/>
      <c r="V1416" s="66"/>
      <c r="W1416" s="66"/>
      <c r="X1416" s="66"/>
      <c r="Y1416" s="66"/>
      <c r="Z1416" s="66"/>
      <c r="AA1416" s="66"/>
      <c r="AB1416" s="66"/>
      <c r="AC1416" s="66"/>
    </row>
    <row r="1417" spans="1:29" ht="15.5">
      <c r="A1417" s="66"/>
      <c r="B1417" s="66"/>
      <c r="C1417" s="66"/>
      <c r="D1417" s="66"/>
      <c r="E1417" s="66"/>
      <c r="F1417" s="66"/>
      <c r="G1417" s="66"/>
      <c r="H1417" s="66"/>
      <c r="I1417" s="66"/>
      <c r="J1417" s="66"/>
      <c r="K1417" s="66"/>
      <c r="L1417" s="66"/>
      <c r="M1417" s="66"/>
      <c r="N1417" s="66"/>
      <c r="O1417" s="66"/>
      <c r="P1417" s="66"/>
      <c r="Q1417" s="66"/>
      <c r="R1417" s="66"/>
      <c r="S1417" s="66"/>
      <c r="T1417" s="66"/>
      <c r="U1417" s="66"/>
      <c r="V1417" s="66"/>
      <c r="W1417" s="66"/>
      <c r="X1417" s="66"/>
      <c r="Y1417" s="66"/>
      <c r="Z1417" s="66"/>
      <c r="AA1417" s="66"/>
      <c r="AB1417" s="66"/>
      <c r="AC1417" s="66"/>
    </row>
    <row r="1418" spans="1:29" ht="15.5">
      <c r="A1418" s="66"/>
      <c r="B1418" s="66"/>
      <c r="C1418" s="66"/>
      <c r="D1418" s="66"/>
      <c r="E1418" s="66"/>
      <c r="F1418" s="66"/>
      <c r="G1418" s="66"/>
      <c r="H1418" s="66"/>
      <c r="I1418" s="66"/>
      <c r="J1418" s="66"/>
      <c r="K1418" s="66"/>
      <c r="L1418" s="66"/>
      <c r="M1418" s="66"/>
      <c r="N1418" s="66"/>
      <c r="O1418" s="66"/>
      <c r="P1418" s="66"/>
      <c r="Q1418" s="66"/>
      <c r="R1418" s="66"/>
      <c r="S1418" s="66"/>
      <c r="T1418" s="66"/>
      <c r="U1418" s="66"/>
      <c r="V1418" s="66"/>
      <c r="W1418" s="66"/>
      <c r="X1418" s="66"/>
      <c r="Y1418" s="66"/>
      <c r="Z1418" s="66"/>
      <c r="AA1418" s="66"/>
      <c r="AB1418" s="66"/>
      <c r="AC1418" s="66"/>
    </row>
    <row r="1419" spans="1:29" ht="15.5">
      <c r="A1419" s="66"/>
      <c r="B1419" s="66"/>
      <c r="C1419" s="66"/>
      <c r="D1419" s="66"/>
      <c r="E1419" s="66"/>
      <c r="F1419" s="66"/>
      <c r="G1419" s="66"/>
      <c r="H1419" s="66"/>
      <c r="I1419" s="66"/>
      <c r="J1419" s="66"/>
      <c r="K1419" s="66"/>
      <c r="L1419" s="66"/>
      <c r="M1419" s="66"/>
      <c r="N1419" s="66"/>
      <c r="O1419" s="66"/>
      <c r="P1419" s="66"/>
      <c r="Q1419" s="66"/>
      <c r="R1419" s="66"/>
      <c r="S1419" s="66"/>
      <c r="T1419" s="66"/>
      <c r="U1419" s="66"/>
      <c r="V1419" s="66"/>
      <c r="W1419" s="66"/>
      <c r="X1419" s="66"/>
      <c r="Y1419" s="66"/>
      <c r="Z1419" s="66"/>
      <c r="AA1419" s="66"/>
      <c r="AB1419" s="66"/>
      <c r="AC1419" s="66"/>
    </row>
    <row r="1420" spans="1:29" ht="15.5">
      <c r="A1420" s="66"/>
      <c r="B1420" s="66"/>
      <c r="C1420" s="66"/>
      <c r="D1420" s="66"/>
      <c r="E1420" s="66"/>
      <c r="F1420" s="66"/>
      <c r="G1420" s="66"/>
      <c r="H1420" s="66"/>
      <c r="I1420" s="66"/>
      <c r="J1420" s="66"/>
      <c r="K1420" s="66"/>
      <c r="L1420" s="66"/>
      <c r="M1420" s="66"/>
      <c r="N1420" s="66"/>
      <c r="O1420" s="66"/>
      <c r="P1420" s="66"/>
      <c r="Q1420" s="66"/>
      <c r="R1420" s="66"/>
      <c r="S1420" s="66"/>
      <c r="T1420" s="66"/>
      <c r="U1420" s="66"/>
      <c r="V1420" s="66"/>
      <c r="W1420" s="66"/>
      <c r="X1420" s="66"/>
      <c r="Y1420" s="66"/>
      <c r="Z1420" s="66"/>
      <c r="AA1420" s="66"/>
      <c r="AB1420" s="66"/>
      <c r="AC1420" s="66"/>
    </row>
    <row r="1421" spans="1:29" ht="15.5">
      <c r="A1421" s="66"/>
      <c r="B1421" s="66"/>
      <c r="C1421" s="66"/>
      <c r="D1421" s="66"/>
      <c r="E1421" s="66"/>
      <c r="F1421" s="66"/>
      <c r="G1421" s="66"/>
      <c r="H1421" s="66"/>
      <c r="I1421" s="66"/>
      <c r="J1421" s="66"/>
      <c r="K1421" s="66"/>
      <c r="L1421" s="66"/>
      <c r="M1421" s="66"/>
      <c r="N1421" s="66"/>
      <c r="O1421" s="66"/>
      <c r="P1421" s="66"/>
      <c r="Q1421" s="66"/>
      <c r="R1421" s="66"/>
      <c r="S1421" s="66"/>
      <c r="T1421" s="66"/>
      <c r="U1421" s="66"/>
      <c r="V1421" s="66"/>
      <c r="W1421" s="66"/>
      <c r="X1421" s="66"/>
      <c r="Y1421" s="66"/>
      <c r="Z1421" s="66"/>
      <c r="AA1421" s="66"/>
      <c r="AB1421" s="66"/>
      <c r="AC1421" s="66"/>
    </row>
    <row r="1422" spans="1:29" ht="15.5">
      <c r="A1422" s="66"/>
      <c r="B1422" s="66"/>
      <c r="C1422" s="66"/>
      <c r="D1422" s="66"/>
      <c r="E1422" s="66"/>
      <c r="F1422" s="66"/>
      <c r="G1422" s="66"/>
      <c r="H1422" s="66"/>
      <c r="I1422" s="66"/>
      <c r="J1422" s="66"/>
      <c r="K1422" s="66"/>
      <c r="L1422" s="66"/>
      <c r="M1422" s="66"/>
      <c r="N1422" s="66"/>
      <c r="O1422" s="66"/>
      <c r="P1422" s="66"/>
      <c r="Q1422" s="66"/>
      <c r="R1422" s="66"/>
      <c r="S1422" s="66"/>
      <c r="T1422" s="66"/>
      <c r="U1422" s="66"/>
      <c r="V1422" s="66"/>
      <c r="W1422" s="66"/>
      <c r="X1422" s="66"/>
      <c r="Y1422" s="66"/>
      <c r="Z1422" s="66"/>
      <c r="AA1422" s="66"/>
      <c r="AB1422" s="66"/>
      <c r="AC1422" s="66"/>
    </row>
    <row r="1423" spans="1:29" ht="15.5">
      <c r="A1423" s="66"/>
      <c r="B1423" s="66"/>
      <c r="C1423" s="66"/>
      <c r="D1423" s="66"/>
      <c r="E1423" s="66"/>
      <c r="F1423" s="66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66"/>
      <c r="R1423" s="66"/>
      <c r="S1423" s="66"/>
      <c r="T1423" s="66"/>
      <c r="U1423" s="66"/>
      <c r="V1423" s="66"/>
      <c r="W1423" s="66"/>
      <c r="X1423" s="66"/>
      <c r="Y1423" s="66"/>
      <c r="Z1423" s="66"/>
      <c r="AA1423" s="66"/>
      <c r="AB1423" s="66"/>
      <c r="AC1423" s="66"/>
    </row>
    <row r="1424" spans="1:29" ht="15.5">
      <c r="A1424" s="66"/>
      <c r="B1424" s="66"/>
      <c r="C1424" s="66"/>
      <c r="D1424" s="66"/>
      <c r="E1424" s="66"/>
      <c r="F1424" s="66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66"/>
      <c r="R1424" s="66"/>
      <c r="S1424" s="66"/>
      <c r="T1424" s="66"/>
      <c r="U1424" s="66"/>
      <c r="V1424" s="66"/>
      <c r="W1424" s="66"/>
      <c r="X1424" s="66"/>
      <c r="Y1424" s="66"/>
      <c r="Z1424" s="66"/>
      <c r="AA1424" s="66"/>
      <c r="AB1424" s="66"/>
      <c r="AC1424" s="66"/>
    </row>
    <row r="1425" spans="1:29" ht="15.5">
      <c r="A1425" s="66"/>
      <c r="B1425" s="66"/>
      <c r="C1425" s="66"/>
      <c r="D1425" s="66"/>
      <c r="E1425" s="66"/>
      <c r="F1425" s="66"/>
      <c r="G1425" s="66"/>
      <c r="H1425" s="66"/>
      <c r="I1425" s="66"/>
      <c r="J1425" s="66"/>
      <c r="K1425" s="66"/>
      <c r="L1425" s="66"/>
      <c r="M1425" s="66"/>
      <c r="N1425" s="66"/>
      <c r="O1425" s="66"/>
      <c r="P1425" s="66"/>
      <c r="Q1425" s="66"/>
      <c r="R1425" s="66"/>
      <c r="S1425" s="66"/>
      <c r="T1425" s="66"/>
      <c r="U1425" s="66"/>
      <c r="V1425" s="66"/>
      <c r="W1425" s="66"/>
      <c r="X1425" s="66"/>
      <c r="Y1425" s="66"/>
      <c r="Z1425" s="66"/>
      <c r="AA1425" s="66"/>
      <c r="AB1425" s="66"/>
      <c r="AC1425" s="66"/>
    </row>
    <row r="1426" spans="1:29" ht="15.5">
      <c r="A1426" s="66"/>
      <c r="B1426" s="66"/>
      <c r="C1426" s="66"/>
      <c r="D1426" s="66"/>
      <c r="E1426" s="66"/>
      <c r="F1426" s="66"/>
      <c r="G1426" s="66"/>
      <c r="H1426" s="66"/>
      <c r="I1426" s="66"/>
      <c r="J1426" s="66"/>
      <c r="K1426" s="66"/>
      <c r="L1426" s="66"/>
      <c r="M1426" s="66"/>
      <c r="N1426" s="66"/>
      <c r="O1426" s="66"/>
      <c r="P1426" s="66"/>
      <c r="Q1426" s="66"/>
      <c r="R1426" s="66"/>
      <c r="S1426" s="66"/>
      <c r="T1426" s="66"/>
      <c r="U1426" s="66"/>
      <c r="V1426" s="66"/>
      <c r="W1426" s="66"/>
      <c r="X1426" s="66"/>
      <c r="Y1426" s="66"/>
      <c r="Z1426" s="66"/>
      <c r="AA1426" s="66"/>
      <c r="AB1426" s="66"/>
      <c r="AC1426" s="66"/>
    </row>
    <row r="1427" spans="1:29" ht="15.5">
      <c r="A1427" s="66"/>
      <c r="B1427" s="66"/>
      <c r="C1427" s="66"/>
      <c r="D1427" s="66"/>
      <c r="E1427" s="66"/>
      <c r="F1427" s="66"/>
      <c r="G1427" s="66"/>
      <c r="H1427" s="66"/>
      <c r="I1427" s="66"/>
      <c r="J1427" s="66"/>
      <c r="K1427" s="66"/>
      <c r="L1427" s="66"/>
      <c r="M1427" s="66"/>
      <c r="N1427" s="66"/>
      <c r="O1427" s="66"/>
      <c r="P1427" s="66"/>
      <c r="Q1427" s="66"/>
      <c r="R1427" s="66"/>
      <c r="S1427" s="66"/>
      <c r="T1427" s="66"/>
      <c r="U1427" s="66"/>
      <c r="V1427" s="66"/>
      <c r="W1427" s="66"/>
      <c r="X1427" s="66"/>
      <c r="Y1427" s="66"/>
      <c r="Z1427" s="66"/>
      <c r="AA1427" s="66"/>
      <c r="AB1427" s="66"/>
      <c r="AC1427" s="66"/>
    </row>
    <row r="1428" spans="1:29" ht="15.5">
      <c r="A1428" s="66"/>
      <c r="B1428" s="66"/>
      <c r="C1428" s="66"/>
      <c r="D1428" s="66"/>
      <c r="E1428" s="66"/>
      <c r="F1428" s="66"/>
      <c r="G1428" s="66"/>
      <c r="H1428" s="66"/>
      <c r="I1428" s="66"/>
      <c r="J1428" s="66"/>
      <c r="K1428" s="66"/>
      <c r="L1428" s="66"/>
      <c r="M1428" s="66"/>
      <c r="N1428" s="66"/>
      <c r="O1428" s="66"/>
      <c r="P1428" s="66"/>
      <c r="Q1428" s="66"/>
      <c r="R1428" s="66"/>
      <c r="S1428" s="66"/>
      <c r="T1428" s="66"/>
      <c r="U1428" s="66"/>
      <c r="V1428" s="66"/>
      <c r="W1428" s="66"/>
      <c r="X1428" s="66"/>
      <c r="Y1428" s="66"/>
      <c r="Z1428" s="66"/>
      <c r="AA1428" s="66"/>
      <c r="AB1428" s="66"/>
      <c r="AC1428" s="66"/>
    </row>
    <row r="1429" spans="1:29" ht="15.5">
      <c r="A1429" s="66"/>
      <c r="B1429" s="66"/>
      <c r="C1429" s="66"/>
      <c r="D1429" s="66"/>
      <c r="E1429" s="66"/>
      <c r="F1429" s="66"/>
      <c r="G1429" s="66"/>
      <c r="H1429" s="66"/>
      <c r="I1429" s="66"/>
      <c r="J1429" s="66"/>
      <c r="K1429" s="66"/>
      <c r="L1429" s="66"/>
      <c r="M1429" s="66"/>
      <c r="N1429" s="66"/>
      <c r="O1429" s="66"/>
      <c r="P1429" s="66"/>
      <c r="Q1429" s="66"/>
      <c r="R1429" s="66"/>
      <c r="S1429" s="66"/>
      <c r="T1429" s="66"/>
      <c r="U1429" s="66"/>
      <c r="V1429" s="66"/>
      <c r="W1429" s="66"/>
      <c r="X1429" s="66"/>
      <c r="Y1429" s="66"/>
      <c r="Z1429" s="66"/>
      <c r="AA1429" s="66"/>
      <c r="AB1429" s="66"/>
      <c r="AC1429" s="66"/>
    </row>
    <row r="1430" spans="1:29" ht="15.5">
      <c r="A1430" s="66"/>
      <c r="B1430" s="66"/>
      <c r="C1430" s="66"/>
      <c r="D1430" s="66"/>
      <c r="E1430" s="66"/>
      <c r="F1430" s="66"/>
      <c r="G1430" s="66"/>
      <c r="H1430" s="66"/>
      <c r="I1430" s="66"/>
      <c r="J1430" s="66"/>
      <c r="K1430" s="66"/>
      <c r="L1430" s="66"/>
      <c r="M1430" s="66"/>
      <c r="N1430" s="66"/>
      <c r="O1430" s="66"/>
      <c r="P1430" s="66"/>
      <c r="Q1430" s="66"/>
      <c r="R1430" s="66"/>
      <c r="S1430" s="66"/>
      <c r="T1430" s="66"/>
      <c r="U1430" s="66"/>
      <c r="V1430" s="66"/>
      <c r="W1430" s="66"/>
      <c r="X1430" s="66"/>
      <c r="Y1430" s="66"/>
      <c r="Z1430" s="66"/>
      <c r="AA1430" s="66"/>
      <c r="AB1430" s="66"/>
      <c r="AC1430" s="66"/>
    </row>
    <row r="1431" spans="1:29" ht="15.5">
      <c r="A1431" s="66"/>
      <c r="B1431" s="66"/>
      <c r="C1431" s="66"/>
      <c r="D1431" s="66"/>
      <c r="E1431" s="66"/>
      <c r="F1431" s="66"/>
      <c r="G1431" s="66"/>
      <c r="H1431" s="66"/>
      <c r="I1431" s="66"/>
      <c r="J1431" s="66"/>
      <c r="K1431" s="66"/>
      <c r="L1431" s="66"/>
      <c r="M1431" s="66"/>
      <c r="N1431" s="66"/>
      <c r="O1431" s="66"/>
      <c r="P1431" s="66"/>
      <c r="Q1431" s="66"/>
      <c r="R1431" s="66"/>
      <c r="S1431" s="66"/>
      <c r="T1431" s="66"/>
      <c r="U1431" s="66"/>
      <c r="V1431" s="66"/>
      <c r="W1431" s="66"/>
      <c r="X1431" s="66"/>
      <c r="Y1431" s="66"/>
      <c r="Z1431" s="66"/>
      <c r="AA1431" s="66"/>
      <c r="AB1431" s="66"/>
      <c r="AC1431" s="66"/>
    </row>
    <row r="1432" spans="1:29" ht="15.5">
      <c r="A1432" s="66"/>
      <c r="B1432" s="66"/>
      <c r="C1432" s="66"/>
      <c r="D1432" s="66"/>
      <c r="E1432" s="66"/>
      <c r="F1432" s="66"/>
      <c r="G1432" s="66"/>
      <c r="H1432" s="66"/>
      <c r="I1432" s="66"/>
      <c r="J1432" s="66"/>
      <c r="K1432" s="66"/>
      <c r="L1432" s="66"/>
      <c r="M1432" s="66"/>
      <c r="N1432" s="66"/>
      <c r="O1432" s="66"/>
      <c r="P1432" s="66"/>
      <c r="Q1432" s="66"/>
      <c r="R1432" s="66"/>
      <c r="S1432" s="66"/>
      <c r="T1432" s="66"/>
      <c r="U1432" s="66"/>
      <c r="V1432" s="66"/>
      <c r="W1432" s="66"/>
      <c r="X1432" s="66"/>
      <c r="Y1432" s="66"/>
      <c r="Z1432" s="66"/>
      <c r="AA1432" s="66"/>
      <c r="AB1432" s="66"/>
      <c r="AC1432" s="66"/>
    </row>
    <row r="1433" spans="1:29" ht="15.5">
      <c r="A1433" s="66"/>
      <c r="B1433" s="66"/>
      <c r="C1433" s="66"/>
      <c r="D1433" s="66"/>
      <c r="E1433" s="66"/>
      <c r="F1433" s="66"/>
      <c r="G1433" s="66"/>
      <c r="H1433" s="66"/>
      <c r="I1433" s="66"/>
      <c r="J1433" s="66"/>
      <c r="K1433" s="66"/>
      <c r="L1433" s="66"/>
      <c r="M1433" s="66"/>
      <c r="N1433" s="66"/>
      <c r="O1433" s="66"/>
      <c r="P1433" s="66"/>
      <c r="Q1433" s="66"/>
      <c r="R1433" s="66"/>
      <c r="S1433" s="66"/>
      <c r="T1433" s="66"/>
      <c r="U1433" s="66"/>
      <c r="V1433" s="66"/>
      <c r="W1433" s="66"/>
      <c r="X1433" s="66"/>
      <c r="Y1433" s="66"/>
      <c r="Z1433" s="66"/>
      <c r="AA1433" s="66"/>
      <c r="AB1433" s="66"/>
      <c r="AC1433" s="66"/>
    </row>
    <row r="1434" spans="1:29" ht="15.5">
      <c r="A1434" s="66"/>
      <c r="B1434" s="66"/>
      <c r="C1434" s="66"/>
      <c r="D1434" s="66"/>
      <c r="E1434" s="66"/>
      <c r="F1434" s="66"/>
      <c r="G1434" s="66"/>
      <c r="H1434" s="66"/>
      <c r="I1434" s="66"/>
      <c r="J1434" s="66"/>
      <c r="K1434" s="66"/>
      <c r="L1434" s="66"/>
      <c r="M1434" s="66"/>
      <c r="N1434" s="66"/>
      <c r="O1434" s="66"/>
      <c r="P1434" s="66"/>
      <c r="Q1434" s="66"/>
      <c r="R1434" s="66"/>
      <c r="S1434" s="66"/>
      <c r="T1434" s="66"/>
      <c r="U1434" s="66"/>
      <c r="V1434" s="66"/>
      <c r="W1434" s="66"/>
      <c r="X1434" s="66"/>
      <c r="Y1434" s="66"/>
      <c r="Z1434" s="66"/>
      <c r="AA1434" s="66"/>
      <c r="AB1434" s="66"/>
      <c r="AC1434" s="66"/>
    </row>
    <row r="1435" spans="1:29" ht="15.5">
      <c r="A1435" s="66"/>
      <c r="B1435" s="66"/>
      <c r="C1435" s="66"/>
      <c r="D1435" s="66"/>
      <c r="E1435" s="66"/>
      <c r="F1435" s="66"/>
      <c r="G1435" s="66"/>
      <c r="H1435" s="66"/>
      <c r="I1435" s="66"/>
      <c r="J1435" s="66"/>
      <c r="K1435" s="66"/>
      <c r="L1435" s="66"/>
      <c r="M1435" s="66"/>
      <c r="N1435" s="66"/>
      <c r="O1435" s="66"/>
      <c r="P1435" s="66"/>
      <c r="Q1435" s="66"/>
      <c r="R1435" s="66"/>
      <c r="S1435" s="66"/>
      <c r="T1435" s="66"/>
      <c r="U1435" s="66"/>
      <c r="V1435" s="66"/>
      <c r="W1435" s="66"/>
      <c r="X1435" s="66"/>
      <c r="Y1435" s="66"/>
      <c r="Z1435" s="66"/>
      <c r="AA1435" s="66"/>
      <c r="AB1435" s="66"/>
      <c r="AC1435" s="66"/>
    </row>
    <row r="1436" spans="1:29" ht="15.5">
      <c r="A1436" s="66"/>
      <c r="B1436" s="66"/>
      <c r="C1436" s="66"/>
      <c r="D1436" s="66"/>
      <c r="E1436" s="66"/>
      <c r="F1436" s="66"/>
      <c r="G1436" s="66"/>
      <c r="H1436" s="66"/>
      <c r="I1436" s="66"/>
      <c r="J1436" s="66"/>
      <c r="K1436" s="66"/>
      <c r="L1436" s="66"/>
      <c r="M1436" s="66"/>
      <c r="N1436" s="66"/>
      <c r="O1436" s="66"/>
      <c r="P1436" s="66"/>
      <c r="Q1436" s="66"/>
      <c r="R1436" s="66"/>
      <c r="S1436" s="66"/>
      <c r="T1436" s="66"/>
      <c r="U1436" s="66"/>
      <c r="V1436" s="66"/>
      <c r="W1436" s="66"/>
      <c r="X1436" s="66"/>
      <c r="Y1436" s="66"/>
      <c r="Z1436" s="66"/>
      <c r="AA1436" s="66"/>
      <c r="AB1436" s="66"/>
      <c r="AC1436" s="66"/>
    </row>
    <row r="1437" spans="1:29" ht="15.5">
      <c r="A1437" s="66"/>
      <c r="B1437" s="66"/>
      <c r="C1437" s="66"/>
      <c r="D1437" s="66"/>
      <c r="E1437" s="66"/>
      <c r="F1437" s="66"/>
      <c r="G1437" s="66"/>
      <c r="H1437" s="66"/>
      <c r="I1437" s="66"/>
      <c r="J1437" s="66"/>
      <c r="K1437" s="66"/>
      <c r="L1437" s="66"/>
      <c r="M1437" s="66"/>
      <c r="N1437" s="66"/>
      <c r="O1437" s="66"/>
      <c r="P1437" s="66"/>
      <c r="Q1437" s="66"/>
      <c r="R1437" s="66"/>
      <c r="S1437" s="66"/>
      <c r="T1437" s="66"/>
      <c r="U1437" s="66"/>
      <c r="V1437" s="66"/>
      <c r="W1437" s="66"/>
      <c r="X1437" s="66"/>
      <c r="Y1437" s="66"/>
      <c r="Z1437" s="66"/>
      <c r="AA1437" s="66"/>
      <c r="AB1437" s="66"/>
      <c r="AC1437" s="66"/>
    </row>
    <row r="1438" spans="1:29" ht="15.5">
      <c r="A1438" s="66"/>
      <c r="B1438" s="66"/>
      <c r="C1438" s="66"/>
      <c r="D1438" s="66"/>
      <c r="E1438" s="66"/>
      <c r="F1438" s="66"/>
      <c r="G1438" s="66"/>
      <c r="H1438" s="66"/>
      <c r="I1438" s="66"/>
      <c r="J1438" s="66"/>
      <c r="K1438" s="66"/>
      <c r="L1438" s="66"/>
      <c r="M1438" s="66"/>
      <c r="N1438" s="66"/>
      <c r="O1438" s="66"/>
      <c r="P1438" s="66"/>
      <c r="Q1438" s="66"/>
      <c r="R1438" s="66"/>
      <c r="S1438" s="66"/>
      <c r="T1438" s="66"/>
      <c r="U1438" s="66"/>
      <c r="V1438" s="66"/>
      <c r="W1438" s="66"/>
      <c r="X1438" s="66"/>
      <c r="Y1438" s="66"/>
      <c r="Z1438" s="66"/>
      <c r="AA1438" s="66"/>
      <c r="AB1438" s="66"/>
      <c r="AC1438" s="66"/>
    </row>
    <row r="1439" spans="1:29" ht="15.5">
      <c r="A1439" s="66"/>
      <c r="B1439" s="66"/>
      <c r="C1439" s="66"/>
      <c r="D1439" s="66"/>
      <c r="E1439" s="66"/>
      <c r="F1439" s="66"/>
      <c r="G1439" s="66"/>
      <c r="H1439" s="66"/>
      <c r="I1439" s="66"/>
      <c r="J1439" s="66"/>
      <c r="K1439" s="66"/>
      <c r="L1439" s="66"/>
      <c r="M1439" s="66"/>
      <c r="N1439" s="66"/>
      <c r="O1439" s="66"/>
      <c r="P1439" s="66"/>
      <c r="Q1439" s="66"/>
      <c r="R1439" s="66"/>
      <c r="S1439" s="66"/>
      <c r="T1439" s="66"/>
      <c r="U1439" s="66"/>
      <c r="V1439" s="66"/>
      <c r="W1439" s="66"/>
      <c r="X1439" s="66"/>
      <c r="Y1439" s="66"/>
      <c r="Z1439" s="66"/>
      <c r="AA1439" s="66"/>
      <c r="AB1439" s="66"/>
      <c r="AC1439" s="66"/>
    </row>
    <row r="1440" spans="1:29" ht="15.5">
      <c r="A1440" s="66"/>
      <c r="B1440" s="66"/>
      <c r="C1440" s="66"/>
      <c r="D1440" s="66"/>
      <c r="E1440" s="66"/>
      <c r="F1440" s="66"/>
      <c r="G1440" s="66"/>
      <c r="H1440" s="66"/>
      <c r="I1440" s="66"/>
      <c r="J1440" s="66"/>
      <c r="K1440" s="66"/>
      <c r="L1440" s="66"/>
      <c r="M1440" s="66"/>
      <c r="N1440" s="66"/>
      <c r="O1440" s="66"/>
      <c r="P1440" s="66"/>
      <c r="Q1440" s="66"/>
      <c r="R1440" s="66"/>
      <c r="S1440" s="66"/>
      <c r="T1440" s="66"/>
      <c r="U1440" s="66"/>
      <c r="V1440" s="66"/>
      <c r="W1440" s="66"/>
      <c r="X1440" s="66"/>
      <c r="Y1440" s="66"/>
      <c r="Z1440" s="66"/>
      <c r="AA1440" s="66"/>
      <c r="AB1440" s="66"/>
      <c r="AC1440" s="66"/>
    </row>
    <row r="1441" spans="1:29" ht="15.5">
      <c r="A1441" s="66"/>
      <c r="B1441" s="66"/>
      <c r="C1441" s="66"/>
      <c r="D1441" s="66"/>
      <c r="E1441" s="66"/>
      <c r="F1441" s="66"/>
      <c r="G1441" s="66"/>
      <c r="H1441" s="66"/>
      <c r="I1441" s="66"/>
      <c r="J1441" s="66"/>
      <c r="K1441" s="66"/>
      <c r="L1441" s="66"/>
      <c r="M1441" s="66"/>
      <c r="N1441" s="66"/>
      <c r="O1441" s="66"/>
      <c r="P1441" s="66"/>
      <c r="Q1441" s="66"/>
      <c r="R1441" s="66"/>
      <c r="S1441" s="66"/>
      <c r="T1441" s="66"/>
      <c r="U1441" s="66"/>
      <c r="V1441" s="66"/>
      <c r="W1441" s="66"/>
      <c r="X1441" s="66"/>
      <c r="Y1441" s="66"/>
      <c r="Z1441" s="66"/>
      <c r="AA1441" s="66"/>
      <c r="AB1441" s="66"/>
      <c r="AC1441" s="66"/>
    </row>
    <row r="1442" spans="1:29" ht="15.5">
      <c r="A1442" s="66"/>
      <c r="B1442" s="66"/>
      <c r="C1442" s="66"/>
      <c r="D1442" s="66"/>
      <c r="E1442" s="66"/>
      <c r="F1442" s="66"/>
      <c r="G1442" s="66"/>
      <c r="H1442" s="66"/>
      <c r="I1442" s="66"/>
      <c r="J1442" s="66"/>
      <c r="K1442" s="66"/>
      <c r="L1442" s="66"/>
      <c r="M1442" s="66"/>
      <c r="N1442" s="66"/>
      <c r="O1442" s="66"/>
      <c r="P1442" s="66"/>
      <c r="Q1442" s="66"/>
      <c r="R1442" s="66"/>
      <c r="S1442" s="66"/>
      <c r="T1442" s="66"/>
      <c r="U1442" s="66"/>
      <c r="V1442" s="66"/>
      <c r="W1442" s="66"/>
      <c r="X1442" s="66"/>
      <c r="Y1442" s="66"/>
      <c r="Z1442" s="66"/>
      <c r="AA1442" s="66"/>
      <c r="AB1442" s="66"/>
      <c r="AC1442" s="66"/>
    </row>
    <row r="1443" spans="1:29" ht="15.5">
      <c r="A1443" s="66"/>
      <c r="B1443" s="66"/>
      <c r="C1443" s="66"/>
      <c r="D1443" s="66"/>
      <c r="E1443" s="66"/>
      <c r="F1443" s="66"/>
      <c r="G1443" s="66"/>
      <c r="H1443" s="66"/>
      <c r="I1443" s="66"/>
      <c r="J1443" s="66"/>
      <c r="K1443" s="66"/>
      <c r="L1443" s="66"/>
      <c r="M1443" s="66"/>
      <c r="N1443" s="66"/>
      <c r="O1443" s="66"/>
      <c r="P1443" s="66"/>
      <c r="Q1443" s="66"/>
      <c r="R1443" s="66"/>
      <c r="S1443" s="66"/>
      <c r="T1443" s="66"/>
      <c r="U1443" s="66"/>
      <c r="V1443" s="66"/>
      <c r="W1443" s="66"/>
      <c r="X1443" s="66"/>
      <c r="Y1443" s="66"/>
      <c r="Z1443" s="66"/>
      <c r="AA1443" s="66"/>
      <c r="AB1443" s="66"/>
      <c r="AC1443" s="66"/>
    </row>
    <row r="1444" spans="1:29" ht="15.5">
      <c r="A1444" s="66"/>
      <c r="B1444" s="66"/>
      <c r="C1444" s="66"/>
      <c r="D1444" s="66"/>
      <c r="E1444" s="66"/>
      <c r="F1444" s="66"/>
      <c r="G1444" s="66"/>
      <c r="H1444" s="66"/>
      <c r="I1444" s="66"/>
      <c r="J1444" s="66"/>
      <c r="K1444" s="66"/>
      <c r="L1444" s="66"/>
      <c r="M1444" s="66"/>
      <c r="N1444" s="66"/>
      <c r="O1444" s="66"/>
      <c r="P1444" s="66"/>
      <c r="Q1444" s="66"/>
      <c r="R1444" s="66"/>
      <c r="S1444" s="66"/>
      <c r="T1444" s="66"/>
      <c r="U1444" s="66"/>
      <c r="V1444" s="66"/>
      <c r="W1444" s="66"/>
      <c r="X1444" s="66"/>
      <c r="Y1444" s="66"/>
      <c r="Z1444" s="66"/>
      <c r="AA1444" s="66"/>
      <c r="AB1444" s="66"/>
      <c r="AC1444" s="66"/>
    </row>
    <row r="1445" spans="1:29" ht="15.5">
      <c r="A1445" s="66"/>
      <c r="B1445" s="66"/>
      <c r="C1445" s="66"/>
      <c r="D1445" s="66"/>
      <c r="E1445" s="66"/>
      <c r="F1445" s="66"/>
      <c r="G1445" s="66"/>
      <c r="H1445" s="66"/>
      <c r="I1445" s="66"/>
      <c r="J1445" s="66"/>
      <c r="K1445" s="66"/>
      <c r="L1445" s="66"/>
      <c r="M1445" s="66"/>
      <c r="N1445" s="66"/>
      <c r="O1445" s="66"/>
      <c r="P1445" s="66"/>
      <c r="Q1445" s="66"/>
      <c r="R1445" s="66"/>
      <c r="S1445" s="66"/>
      <c r="T1445" s="66"/>
      <c r="U1445" s="66"/>
      <c r="V1445" s="66"/>
      <c r="W1445" s="66"/>
      <c r="X1445" s="66"/>
      <c r="Y1445" s="66"/>
      <c r="Z1445" s="66"/>
      <c r="AA1445" s="66"/>
      <c r="AB1445" s="66"/>
      <c r="AC1445" s="66"/>
    </row>
    <row r="1446" spans="1:29" ht="15.5">
      <c r="A1446" s="66"/>
      <c r="B1446" s="66"/>
      <c r="C1446" s="66"/>
      <c r="D1446" s="66"/>
      <c r="E1446" s="66"/>
      <c r="F1446" s="66"/>
      <c r="G1446" s="66"/>
      <c r="H1446" s="66"/>
      <c r="I1446" s="66"/>
      <c r="J1446" s="66"/>
      <c r="K1446" s="66"/>
      <c r="L1446" s="66"/>
      <c r="M1446" s="66"/>
      <c r="N1446" s="66"/>
      <c r="O1446" s="66"/>
      <c r="P1446" s="66"/>
      <c r="Q1446" s="66"/>
      <c r="R1446" s="66"/>
      <c r="S1446" s="66"/>
      <c r="T1446" s="66"/>
      <c r="U1446" s="66"/>
      <c r="V1446" s="66"/>
      <c r="W1446" s="66"/>
      <c r="X1446" s="66"/>
      <c r="Y1446" s="66"/>
      <c r="Z1446" s="66"/>
      <c r="AA1446" s="66"/>
      <c r="AB1446" s="66"/>
      <c r="AC1446" s="66"/>
    </row>
    <row r="1447" spans="1:29" ht="15.5">
      <c r="A1447" s="66"/>
      <c r="B1447" s="66"/>
      <c r="C1447" s="66"/>
      <c r="D1447" s="66"/>
      <c r="E1447" s="66"/>
      <c r="F1447" s="66"/>
      <c r="G1447" s="66"/>
      <c r="H1447" s="66"/>
      <c r="I1447" s="66"/>
      <c r="J1447" s="66"/>
      <c r="K1447" s="66"/>
      <c r="L1447" s="66"/>
      <c r="M1447" s="66"/>
      <c r="N1447" s="66"/>
      <c r="O1447" s="66"/>
      <c r="P1447" s="66"/>
      <c r="Q1447" s="66"/>
      <c r="R1447" s="66"/>
      <c r="S1447" s="66"/>
      <c r="T1447" s="66"/>
      <c r="U1447" s="66"/>
      <c r="V1447" s="66"/>
      <c r="W1447" s="66"/>
      <c r="X1447" s="66"/>
      <c r="Y1447" s="66"/>
      <c r="Z1447" s="66"/>
      <c r="AA1447" s="66"/>
      <c r="AB1447" s="66"/>
      <c r="AC1447" s="66"/>
    </row>
    <row r="1448" spans="1:29" ht="15.5">
      <c r="A1448" s="66"/>
      <c r="B1448" s="66"/>
      <c r="C1448" s="66"/>
      <c r="D1448" s="66"/>
      <c r="E1448" s="66"/>
      <c r="F1448" s="66"/>
      <c r="G1448" s="66"/>
      <c r="H1448" s="66"/>
      <c r="I1448" s="66"/>
      <c r="J1448" s="66"/>
      <c r="K1448" s="66"/>
      <c r="L1448" s="66"/>
      <c r="M1448" s="66"/>
      <c r="N1448" s="66"/>
      <c r="O1448" s="66"/>
      <c r="P1448" s="66"/>
      <c r="Q1448" s="66"/>
      <c r="R1448" s="66"/>
      <c r="S1448" s="66"/>
      <c r="T1448" s="66"/>
      <c r="U1448" s="66"/>
      <c r="V1448" s="66"/>
      <c r="W1448" s="66"/>
      <c r="X1448" s="66"/>
      <c r="Y1448" s="66"/>
      <c r="Z1448" s="66"/>
      <c r="AA1448" s="66"/>
      <c r="AB1448" s="66"/>
      <c r="AC1448" s="66"/>
    </row>
    <row r="1449" spans="1:29" ht="15.5">
      <c r="A1449" s="66"/>
      <c r="B1449" s="66"/>
      <c r="C1449" s="66"/>
      <c r="D1449" s="66"/>
      <c r="E1449" s="66"/>
      <c r="F1449" s="66"/>
      <c r="G1449" s="66"/>
      <c r="H1449" s="66"/>
      <c r="I1449" s="66"/>
      <c r="J1449" s="66"/>
      <c r="K1449" s="66"/>
      <c r="L1449" s="66"/>
      <c r="M1449" s="66"/>
      <c r="N1449" s="66"/>
      <c r="O1449" s="66"/>
      <c r="P1449" s="66"/>
      <c r="Q1449" s="66"/>
      <c r="R1449" s="66"/>
      <c r="S1449" s="66"/>
      <c r="T1449" s="66"/>
      <c r="U1449" s="66"/>
      <c r="V1449" s="66"/>
      <c r="W1449" s="66"/>
      <c r="X1449" s="66"/>
      <c r="Y1449" s="66"/>
      <c r="Z1449" s="66"/>
      <c r="AA1449" s="66"/>
      <c r="AB1449" s="66"/>
      <c r="AC1449" s="66"/>
    </row>
    <row r="1450" spans="1:29" ht="15.5">
      <c r="A1450" s="66"/>
      <c r="B1450" s="66"/>
      <c r="C1450" s="66"/>
      <c r="D1450" s="66"/>
      <c r="E1450" s="66"/>
      <c r="F1450" s="66"/>
      <c r="G1450" s="66"/>
      <c r="H1450" s="66"/>
      <c r="I1450" s="66"/>
      <c r="J1450" s="66"/>
      <c r="K1450" s="66"/>
      <c r="L1450" s="66"/>
      <c r="M1450" s="66"/>
      <c r="N1450" s="66"/>
      <c r="O1450" s="66"/>
      <c r="P1450" s="66"/>
      <c r="Q1450" s="66"/>
      <c r="R1450" s="66"/>
      <c r="S1450" s="66"/>
      <c r="T1450" s="66"/>
      <c r="U1450" s="66"/>
      <c r="V1450" s="66"/>
      <c r="W1450" s="66"/>
      <c r="X1450" s="66"/>
      <c r="Y1450" s="66"/>
      <c r="Z1450" s="66"/>
      <c r="AA1450" s="66"/>
      <c r="AB1450" s="66"/>
      <c r="AC1450" s="66"/>
    </row>
    <row r="1451" spans="1:29" ht="15.5">
      <c r="A1451" s="66"/>
      <c r="B1451" s="66"/>
      <c r="C1451" s="66"/>
      <c r="D1451" s="66"/>
      <c r="E1451" s="66"/>
      <c r="F1451" s="66"/>
      <c r="G1451" s="66"/>
      <c r="H1451" s="66"/>
      <c r="I1451" s="66"/>
      <c r="J1451" s="66"/>
      <c r="K1451" s="66"/>
      <c r="L1451" s="66"/>
      <c r="M1451" s="66"/>
      <c r="N1451" s="66"/>
      <c r="O1451" s="66"/>
      <c r="P1451" s="66"/>
      <c r="Q1451" s="66"/>
      <c r="R1451" s="66"/>
      <c r="S1451" s="66"/>
      <c r="T1451" s="66"/>
      <c r="U1451" s="66"/>
      <c r="V1451" s="66"/>
      <c r="W1451" s="66"/>
      <c r="X1451" s="66"/>
      <c r="Y1451" s="66"/>
      <c r="Z1451" s="66"/>
      <c r="AA1451" s="66"/>
      <c r="AB1451" s="66"/>
      <c r="AC1451" s="66"/>
    </row>
    <row r="1452" spans="1:29" ht="15.5">
      <c r="A1452" s="66"/>
      <c r="B1452" s="66"/>
      <c r="C1452" s="66"/>
      <c r="D1452" s="66"/>
      <c r="E1452" s="66"/>
      <c r="F1452" s="66"/>
      <c r="G1452" s="66"/>
      <c r="H1452" s="66"/>
      <c r="I1452" s="66"/>
      <c r="J1452" s="66"/>
      <c r="K1452" s="66"/>
      <c r="L1452" s="66"/>
      <c r="M1452" s="66"/>
      <c r="N1452" s="66"/>
      <c r="O1452" s="66"/>
      <c r="P1452" s="66"/>
      <c r="Q1452" s="66"/>
      <c r="R1452" s="66"/>
      <c r="S1452" s="66"/>
      <c r="T1452" s="66"/>
      <c r="U1452" s="66"/>
      <c r="V1452" s="66"/>
      <c r="W1452" s="66"/>
      <c r="X1452" s="66"/>
      <c r="Y1452" s="66"/>
      <c r="Z1452" s="66"/>
      <c r="AA1452" s="66"/>
      <c r="AB1452" s="66"/>
      <c r="AC1452" s="66"/>
    </row>
    <row r="1453" spans="1:29" ht="15.5">
      <c r="A1453" s="66"/>
      <c r="B1453" s="66"/>
      <c r="C1453" s="66"/>
      <c r="D1453" s="66"/>
      <c r="E1453" s="66"/>
      <c r="F1453" s="66"/>
      <c r="G1453" s="66"/>
      <c r="H1453" s="66"/>
      <c r="I1453" s="66"/>
      <c r="J1453" s="66"/>
      <c r="K1453" s="66"/>
      <c r="L1453" s="66"/>
      <c r="M1453" s="66"/>
      <c r="N1453" s="66"/>
      <c r="O1453" s="66"/>
      <c r="P1453" s="66"/>
      <c r="Q1453" s="66"/>
      <c r="R1453" s="66"/>
      <c r="S1453" s="66"/>
      <c r="T1453" s="66"/>
      <c r="U1453" s="66"/>
      <c r="V1453" s="66"/>
      <c r="W1453" s="66"/>
      <c r="X1453" s="66"/>
      <c r="Y1453" s="66"/>
      <c r="Z1453" s="66"/>
      <c r="AA1453" s="66"/>
      <c r="AB1453" s="66"/>
      <c r="AC1453" s="66"/>
    </row>
    <row r="1454" spans="1:29" ht="15.5">
      <c r="A1454" s="66"/>
      <c r="B1454" s="66"/>
      <c r="C1454" s="66"/>
      <c r="D1454" s="66"/>
      <c r="E1454" s="66"/>
      <c r="F1454" s="66"/>
      <c r="G1454" s="66"/>
      <c r="H1454" s="66"/>
      <c r="I1454" s="66"/>
      <c r="J1454" s="66"/>
      <c r="K1454" s="66"/>
      <c r="L1454" s="66"/>
      <c r="M1454" s="66"/>
      <c r="N1454" s="66"/>
      <c r="O1454" s="66"/>
      <c r="P1454" s="66"/>
      <c r="Q1454" s="66"/>
      <c r="R1454" s="66"/>
      <c r="S1454" s="66"/>
      <c r="T1454" s="66"/>
      <c r="U1454" s="66"/>
      <c r="V1454" s="66"/>
      <c r="W1454" s="66"/>
      <c r="X1454" s="66"/>
      <c r="Y1454" s="66"/>
      <c r="Z1454" s="66"/>
      <c r="AA1454" s="66"/>
      <c r="AB1454" s="66"/>
      <c r="AC1454" s="66"/>
    </row>
    <row r="1455" spans="1:29" ht="15.5">
      <c r="A1455" s="66"/>
      <c r="B1455" s="66"/>
      <c r="C1455" s="66"/>
      <c r="D1455" s="66"/>
      <c r="E1455" s="66"/>
      <c r="F1455" s="66"/>
      <c r="G1455" s="66"/>
      <c r="H1455" s="66"/>
      <c r="I1455" s="66"/>
      <c r="J1455" s="66"/>
      <c r="K1455" s="66"/>
      <c r="L1455" s="66"/>
      <c r="M1455" s="66"/>
      <c r="N1455" s="66"/>
      <c r="O1455" s="66"/>
      <c r="P1455" s="66"/>
      <c r="Q1455" s="66"/>
      <c r="R1455" s="66"/>
      <c r="S1455" s="66"/>
      <c r="T1455" s="66"/>
      <c r="U1455" s="66"/>
      <c r="V1455" s="66"/>
      <c r="W1455" s="66"/>
      <c r="X1455" s="66"/>
      <c r="Y1455" s="66"/>
      <c r="Z1455" s="66"/>
      <c r="AA1455" s="66"/>
      <c r="AB1455" s="66"/>
      <c r="AC1455" s="66"/>
    </row>
    <row r="1456" spans="1:29" ht="15.5">
      <c r="A1456" s="66"/>
      <c r="B1456" s="66"/>
      <c r="C1456" s="66"/>
      <c r="D1456" s="66"/>
      <c r="E1456" s="66"/>
      <c r="F1456" s="66"/>
      <c r="G1456" s="66"/>
      <c r="H1456" s="66"/>
      <c r="I1456" s="66"/>
      <c r="J1456" s="66"/>
      <c r="K1456" s="66"/>
      <c r="L1456" s="66"/>
      <c r="M1456" s="66"/>
      <c r="N1456" s="66"/>
      <c r="O1456" s="66"/>
      <c r="P1456" s="66"/>
      <c r="Q1456" s="66"/>
      <c r="R1456" s="66"/>
      <c r="S1456" s="66"/>
      <c r="T1456" s="66"/>
      <c r="U1456" s="66"/>
      <c r="V1456" s="66"/>
      <c r="W1456" s="66"/>
      <c r="X1456" s="66"/>
      <c r="Y1456" s="66"/>
      <c r="Z1456" s="66"/>
      <c r="AA1456" s="66"/>
      <c r="AB1456" s="66"/>
      <c r="AC1456" s="66"/>
    </row>
    <row r="1457" spans="1:29" ht="15.5">
      <c r="A1457" s="66"/>
      <c r="B1457" s="66"/>
      <c r="C1457" s="66"/>
      <c r="D1457" s="66"/>
      <c r="E1457" s="66"/>
      <c r="F1457" s="66"/>
      <c r="G1457" s="66"/>
      <c r="H1457" s="66"/>
      <c r="I1457" s="66"/>
      <c r="J1457" s="66"/>
      <c r="K1457" s="66"/>
      <c r="L1457" s="66"/>
      <c r="M1457" s="66"/>
      <c r="N1457" s="66"/>
      <c r="O1457" s="66"/>
      <c r="P1457" s="66"/>
      <c r="Q1457" s="66"/>
      <c r="R1457" s="66"/>
      <c r="S1457" s="66"/>
      <c r="T1457" s="66"/>
      <c r="U1457" s="66"/>
      <c r="V1457" s="66"/>
      <c r="W1457" s="66"/>
      <c r="X1457" s="66"/>
      <c r="Y1457" s="66"/>
      <c r="Z1457" s="66"/>
      <c r="AA1457" s="66"/>
      <c r="AB1457" s="66"/>
      <c r="AC1457" s="66"/>
    </row>
    <row r="1458" spans="1:29" ht="15.5">
      <c r="A1458" s="66"/>
      <c r="B1458" s="66"/>
      <c r="C1458" s="66"/>
      <c r="D1458" s="66"/>
      <c r="E1458" s="66"/>
      <c r="F1458" s="66"/>
      <c r="G1458" s="66"/>
      <c r="H1458" s="66"/>
      <c r="I1458" s="66"/>
      <c r="J1458" s="66"/>
      <c r="K1458" s="66"/>
      <c r="L1458" s="66"/>
      <c r="M1458" s="66"/>
      <c r="N1458" s="66"/>
      <c r="O1458" s="66"/>
      <c r="P1458" s="66"/>
      <c r="Q1458" s="66"/>
      <c r="R1458" s="66"/>
      <c r="S1458" s="66"/>
      <c r="T1458" s="66"/>
      <c r="U1458" s="66"/>
      <c r="V1458" s="66"/>
      <c r="W1458" s="66"/>
      <c r="X1458" s="66"/>
      <c r="Y1458" s="66"/>
      <c r="Z1458" s="66"/>
      <c r="AA1458" s="66"/>
      <c r="AB1458" s="66"/>
      <c r="AC1458" s="66"/>
    </row>
    <row r="1459" spans="1:29" ht="15.5">
      <c r="A1459" s="66"/>
      <c r="B1459" s="66"/>
      <c r="C1459" s="66"/>
      <c r="D1459" s="66"/>
      <c r="E1459" s="66"/>
      <c r="F1459" s="66"/>
      <c r="G1459" s="66"/>
      <c r="H1459" s="66"/>
      <c r="I1459" s="66"/>
      <c r="J1459" s="66"/>
      <c r="K1459" s="66"/>
      <c r="L1459" s="66"/>
      <c r="M1459" s="66"/>
      <c r="N1459" s="66"/>
      <c r="O1459" s="66"/>
      <c r="P1459" s="66"/>
      <c r="Q1459" s="66"/>
      <c r="R1459" s="66"/>
      <c r="S1459" s="66"/>
      <c r="T1459" s="66"/>
      <c r="U1459" s="66"/>
      <c r="V1459" s="66"/>
      <c r="W1459" s="66"/>
      <c r="X1459" s="66"/>
      <c r="Y1459" s="66"/>
      <c r="Z1459" s="66"/>
      <c r="AA1459" s="66"/>
      <c r="AB1459" s="66"/>
      <c r="AC1459" s="66"/>
    </row>
    <row r="1460" spans="1:29" ht="15.5">
      <c r="A1460" s="66"/>
      <c r="B1460" s="66"/>
      <c r="C1460" s="66"/>
      <c r="D1460" s="66"/>
      <c r="E1460" s="66"/>
      <c r="F1460" s="66"/>
      <c r="G1460" s="66"/>
      <c r="H1460" s="66"/>
      <c r="I1460" s="66"/>
      <c r="J1460" s="66"/>
      <c r="K1460" s="66"/>
      <c r="L1460" s="66"/>
      <c r="M1460" s="66"/>
      <c r="N1460" s="66"/>
      <c r="O1460" s="66"/>
      <c r="P1460" s="66"/>
      <c r="Q1460" s="66"/>
      <c r="R1460" s="66"/>
      <c r="S1460" s="66"/>
      <c r="T1460" s="66"/>
      <c r="U1460" s="66"/>
      <c r="V1460" s="66"/>
      <c r="W1460" s="66"/>
      <c r="X1460" s="66"/>
      <c r="Y1460" s="66"/>
      <c r="Z1460" s="66"/>
      <c r="AA1460" s="66"/>
      <c r="AB1460" s="66"/>
      <c r="AC1460" s="66"/>
    </row>
    <row r="1461" spans="1:29" ht="15.5">
      <c r="A1461" s="66"/>
      <c r="B1461" s="66"/>
      <c r="C1461" s="66"/>
      <c r="D1461" s="66"/>
      <c r="E1461" s="66"/>
      <c r="F1461" s="66"/>
      <c r="G1461" s="66"/>
      <c r="H1461" s="66"/>
      <c r="I1461" s="66"/>
      <c r="J1461" s="66"/>
      <c r="K1461" s="66"/>
      <c r="L1461" s="66"/>
      <c r="M1461" s="66"/>
      <c r="N1461" s="66"/>
      <c r="O1461" s="66"/>
      <c r="P1461" s="66"/>
      <c r="Q1461" s="66"/>
      <c r="R1461" s="66"/>
      <c r="S1461" s="66"/>
      <c r="T1461" s="66"/>
      <c r="U1461" s="66"/>
      <c r="V1461" s="66"/>
      <c r="W1461" s="66"/>
      <c r="X1461" s="66"/>
      <c r="Y1461" s="66"/>
      <c r="Z1461" s="66"/>
      <c r="AA1461" s="66"/>
      <c r="AB1461" s="66"/>
      <c r="AC1461" s="66"/>
    </row>
    <row r="1462" spans="1:29" ht="15.5">
      <c r="A1462" s="66"/>
      <c r="B1462" s="66"/>
      <c r="C1462" s="66"/>
      <c r="D1462" s="66"/>
      <c r="E1462" s="66"/>
      <c r="F1462" s="66"/>
      <c r="G1462" s="66"/>
      <c r="H1462" s="66"/>
      <c r="I1462" s="66"/>
      <c r="J1462" s="66"/>
      <c r="K1462" s="66"/>
      <c r="L1462" s="66"/>
      <c r="M1462" s="66"/>
      <c r="N1462" s="66"/>
      <c r="O1462" s="66"/>
      <c r="P1462" s="66"/>
      <c r="Q1462" s="66"/>
      <c r="R1462" s="66"/>
      <c r="S1462" s="66"/>
      <c r="T1462" s="66"/>
      <c r="U1462" s="66"/>
      <c r="V1462" s="66"/>
      <c r="W1462" s="66"/>
      <c r="X1462" s="66"/>
      <c r="Y1462" s="66"/>
      <c r="Z1462" s="66"/>
      <c r="AA1462" s="66"/>
      <c r="AB1462" s="66"/>
      <c r="AC1462" s="66"/>
    </row>
    <row r="1463" spans="1:29" ht="15.5">
      <c r="A1463" s="66"/>
      <c r="B1463" s="66"/>
      <c r="C1463" s="66"/>
      <c r="D1463" s="66"/>
      <c r="E1463" s="66"/>
      <c r="F1463" s="66"/>
      <c r="G1463" s="66"/>
      <c r="H1463" s="66"/>
      <c r="I1463" s="66"/>
      <c r="J1463" s="66"/>
      <c r="K1463" s="66"/>
      <c r="L1463" s="66"/>
      <c r="M1463" s="66"/>
      <c r="N1463" s="66"/>
      <c r="O1463" s="66"/>
      <c r="P1463" s="66"/>
      <c r="Q1463" s="66"/>
      <c r="R1463" s="66"/>
      <c r="S1463" s="66"/>
      <c r="T1463" s="66"/>
      <c r="U1463" s="66"/>
      <c r="V1463" s="66"/>
      <c r="W1463" s="66"/>
      <c r="X1463" s="66"/>
      <c r="Y1463" s="66"/>
      <c r="Z1463" s="66"/>
      <c r="AA1463" s="66"/>
      <c r="AB1463" s="66"/>
      <c r="AC1463" s="66"/>
    </row>
    <row r="1464" spans="1:29" ht="15.5">
      <c r="A1464" s="66"/>
      <c r="B1464" s="66"/>
      <c r="C1464" s="66"/>
      <c r="D1464" s="66"/>
      <c r="E1464" s="66"/>
      <c r="F1464" s="66"/>
      <c r="G1464" s="66"/>
      <c r="H1464" s="66"/>
      <c r="I1464" s="66"/>
      <c r="J1464" s="66"/>
      <c r="K1464" s="66"/>
      <c r="L1464" s="66"/>
      <c r="M1464" s="66"/>
      <c r="N1464" s="66"/>
      <c r="O1464" s="66"/>
      <c r="P1464" s="66"/>
      <c r="Q1464" s="66"/>
      <c r="R1464" s="66"/>
      <c r="S1464" s="66"/>
      <c r="T1464" s="66"/>
      <c r="U1464" s="66"/>
      <c r="V1464" s="66"/>
      <c r="W1464" s="66"/>
      <c r="X1464" s="66"/>
      <c r="Y1464" s="66"/>
      <c r="Z1464" s="66"/>
      <c r="AA1464" s="66"/>
      <c r="AB1464" s="66"/>
      <c r="AC1464" s="66"/>
    </row>
    <row r="1465" spans="1:29" ht="15.5">
      <c r="A1465" s="66"/>
      <c r="B1465" s="66"/>
      <c r="C1465" s="66"/>
      <c r="D1465" s="66"/>
      <c r="E1465" s="66"/>
      <c r="F1465" s="66"/>
      <c r="G1465" s="66"/>
      <c r="H1465" s="66"/>
      <c r="I1465" s="66"/>
      <c r="J1465" s="66"/>
      <c r="K1465" s="66"/>
      <c r="L1465" s="66"/>
      <c r="M1465" s="66"/>
      <c r="N1465" s="66"/>
      <c r="O1465" s="66"/>
      <c r="P1465" s="66"/>
      <c r="Q1465" s="66"/>
      <c r="R1465" s="66"/>
      <c r="S1465" s="66"/>
      <c r="T1465" s="66"/>
      <c r="U1465" s="66"/>
      <c r="V1465" s="66"/>
      <c r="W1465" s="66"/>
      <c r="X1465" s="66"/>
      <c r="Y1465" s="66"/>
      <c r="Z1465" s="66"/>
      <c r="AA1465" s="66"/>
      <c r="AB1465" s="66"/>
      <c r="AC1465" s="66"/>
    </row>
    <row r="1466" spans="1:29" ht="15.5">
      <c r="A1466" s="66"/>
      <c r="B1466" s="66"/>
      <c r="C1466" s="66"/>
      <c r="D1466" s="66"/>
      <c r="E1466" s="66"/>
      <c r="F1466" s="66"/>
      <c r="G1466" s="66"/>
      <c r="H1466" s="66"/>
      <c r="I1466" s="66"/>
      <c r="J1466" s="66"/>
      <c r="K1466" s="66"/>
      <c r="L1466" s="66"/>
      <c r="M1466" s="66"/>
      <c r="N1466" s="66"/>
      <c r="O1466" s="66"/>
      <c r="P1466" s="66"/>
      <c r="Q1466" s="66"/>
      <c r="R1466" s="66"/>
      <c r="S1466" s="66"/>
      <c r="T1466" s="66"/>
      <c r="U1466" s="66"/>
      <c r="V1466" s="66"/>
      <c r="W1466" s="66"/>
      <c r="X1466" s="66"/>
      <c r="Y1466" s="66"/>
      <c r="Z1466" s="66"/>
      <c r="AA1466" s="66"/>
      <c r="AB1466" s="66"/>
      <c r="AC1466" s="66"/>
    </row>
    <row r="1467" spans="1:29" ht="15.5">
      <c r="A1467" s="66"/>
      <c r="B1467" s="66"/>
      <c r="C1467" s="66"/>
      <c r="D1467" s="66"/>
      <c r="E1467" s="66"/>
      <c r="F1467" s="66"/>
      <c r="G1467" s="66"/>
      <c r="H1467" s="66"/>
      <c r="I1467" s="66"/>
      <c r="J1467" s="66"/>
      <c r="K1467" s="66"/>
      <c r="L1467" s="66"/>
      <c r="M1467" s="66"/>
      <c r="N1467" s="66"/>
      <c r="O1467" s="66"/>
      <c r="P1467" s="66"/>
      <c r="Q1467" s="66"/>
      <c r="R1467" s="66"/>
      <c r="S1467" s="66"/>
      <c r="T1467" s="66"/>
      <c r="U1467" s="66"/>
      <c r="V1467" s="66"/>
      <c r="W1467" s="66"/>
      <c r="X1467" s="66"/>
      <c r="Y1467" s="66"/>
      <c r="Z1467" s="66"/>
      <c r="AA1467" s="66"/>
      <c r="AB1467" s="66"/>
      <c r="AC1467" s="66"/>
    </row>
    <row r="1468" spans="1:29" ht="15.5">
      <c r="A1468" s="66"/>
      <c r="B1468" s="66"/>
      <c r="C1468" s="66"/>
      <c r="D1468" s="66"/>
      <c r="E1468" s="66"/>
      <c r="F1468" s="66"/>
      <c r="G1468" s="66"/>
      <c r="H1468" s="66"/>
      <c r="I1468" s="66"/>
      <c r="J1468" s="66"/>
      <c r="K1468" s="66"/>
      <c r="L1468" s="66"/>
      <c r="M1468" s="66"/>
      <c r="N1468" s="66"/>
      <c r="O1468" s="66"/>
      <c r="P1468" s="66"/>
      <c r="Q1468" s="66"/>
      <c r="R1468" s="66"/>
      <c r="S1468" s="66"/>
      <c r="T1468" s="66"/>
      <c r="U1468" s="66"/>
      <c r="V1468" s="66"/>
      <c r="W1468" s="66"/>
      <c r="X1468" s="66"/>
      <c r="Y1468" s="66"/>
      <c r="Z1468" s="66"/>
      <c r="AA1468" s="66"/>
      <c r="AB1468" s="66"/>
      <c r="AC1468" s="66"/>
    </row>
    <row r="1469" spans="1:29" ht="15.5">
      <c r="A1469" s="66"/>
      <c r="B1469" s="66"/>
      <c r="C1469" s="66"/>
      <c r="D1469" s="66"/>
      <c r="E1469" s="66"/>
      <c r="F1469" s="66"/>
      <c r="G1469" s="66"/>
      <c r="H1469" s="66"/>
      <c r="I1469" s="66"/>
      <c r="J1469" s="66"/>
      <c r="K1469" s="66"/>
      <c r="L1469" s="66"/>
      <c r="M1469" s="66"/>
      <c r="N1469" s="66"/>
      <c r="O1469" s="66"/>
      <c r="P1469" s="66"/>
      <c r="Q1469" s="66"/>
      <c r="R1469" s="66"/>
      <c r="S1469" s="66"/>
      <c r="T1469" s="66"/>
      <c r="U1469" s="66"/>
      <c r="V1469" s="66"/>
      <c r="W1469" s="66"/>
      <c r="X1469" s="66"/>
      <c r="Y1469" s="66"/>
      <c r="Z1469" s="66"/>
      <c r="AA1469" s="66"/>
      <c r="AB1469" s="66"/>
      <c r="AC1469" s="66"/>
    </row>
    <row r="1470" spans="1:29" ht="15.5">
      <c r="A1470" s="66"/>
      <c r="B1470" s="66"/>
      <c r="C1470" s="66"/>
      <c r="D1470" s="66"/>
      <c r="E1470" s="66"/>
      <c r="F1470" s="66"/>
      <c r="G1470" s="66"/>
      <c r="H1470" s="66"/>
      <c r="I1470" s="66"/>
      <c r="J1470" s="66"/>
      <c r="K1470" s="66"/>
      <c r="L1470" s="66"/>
      <c r="M1470" s="66"/>
      <c r="N1470" s="66"/>
      <c r="O1470" s="66"/>
      <c r="P1470" s="66"/>
      <c r="Q1470" s="66"/>
      <c r="R1470" s="66"/>
      <c r="S1470" s="66"/>
      <c r="T1470" s="66"/>
      <c r="U1470" s="66"/>
      <c r="V1470" s="66"/>
      <c r="W1470" s="66"/>
      <c r="X1470" s="66"/>
      <c r="Y1470" s="66"/>
      <c r="Z1470" s="66"/>
      <c r="AA1470" s="66"/>
      <c r="AB1470" s="66"/>
      <c r="AC1470" s="66"/>
    </row>
    <row r="1471" spans="1:29" ht="15.5">
      <c r="A1471" s="66"/>
      <c r="B1471" s="66"/>
      <c r="C1471" s="66"/>
      <c r="D1471" s="66"/>
      <c r="E1471" s="66"/>
      <c r="F1471" s="66"/>
      <c r="G1471" s="66"/>
      <c r="H1471" s="66"/>
      <c r="I1471" s="66"/>
      <c r="J1471" s="66"/>
      <c r="K1471" s="66"/>
      <c r="L1471" s="66"/>
      <c r="M1471" s="66"/>
      <c r="N1471" s="66"/>
      <c r="O1471" s="66"/>
      <c r="P1471" s="66"/>
      <c r="Q1471" s="66"/>
      <c r="R1471" s="66"/>
      <c r="S1471" s="66"/>
      <c r="T1471" s="66"/>
      <c r="U1471" s="66"/>
      <c r="V1471" s="66"/>
      <c r="W1471" s="66"/>
      <c r="X1471" s="66"/>
      <c r="Y1471" s="66"/>
      <c r="Z1471" s="66"/>
      <c r="AA1471" s="66"/>
      <c r="AB1471" s="66"/>
      <c r="AC1471" s="66"/>
    </row>
    <row r="1472" spans="1:29" ht="15.5">
      <c r="A1472" s="66"/>
      <c r="B1472" s="66"/>
      <c r="C1472" s="66"/>
      <c r="D1472" s="66"/>
      <c r="E1472" s="66"/>
      <c r="F1472" s="66"/>
      <c r="G1472" s="66"/>
      <c r="H1472" s="66"/>
      <c r="I1472" s="66"/>
      <c r="J1472" s="66"/>
      <c r="K1472" s="66"/>
      <c r="L1472" s="66"/>
      <c r="M1472" s="66"/>
      <c r="N1472" s="66"/>
      <c r="O1472" s="66"/>
      <c r="P1472" s="66"/>
      <c r="Q1472" s="66"/>
      <c r="R1472" s="66"/>
      <c r="S1472" s="66"/>
      <c r="T1472" s="66"/>
      <c r="U1472" s="66"/>
      <c r="V1472" s="66"/>
      <c r="W1472" s="66"/>
      <c r="X1472" s="66"/>
      <c r="Y1472" s="66"/>
      <c r="Z1472" s="66"/>
      <c r="AA1472" s="66"/>
      <c r="AB1472" s="66"/>
      <c r="AC1472" s="66"/>
    </row>
    <row r="1473" spans="1:29" ht="15.5">
      <c r="A1473" s="66"/>
      <c r="B1473" s="66"/>
      <c r="C1473" s="66"/>
      <c r="D1473" s="66"/>
      <c r="E1473" s="66"/>
      <c r="F1473" s="66"/>
      <c r="G1473" s="66"/>
      <c r="H1473" s="66"/>
      <c r="I1473" s="66"/>
      <c r="J1473" s="66"/>
      <c r="K1473" s="66"/>
      <c r="L1473" s="66"/>
      <c r="M1473" s="66"/>
      <c r="N1473" s="66"/>
      <c r="O1473" s="66"/>
      <c r="P1473" s="66"/>
      <c r="Q1473" s="66"/>
      <c r="R1473" s="66"/>
      <c r="S1473" s="66"/>
      <c r="T1473" s="66"/>
      <c r="U1473" s="66"/>
      <c r="V1473" s="66"/>
      <c r="W1473" s="66"/>
      <c r="X1473" s="66"/>
      <c r="Y1473" s="66"/>
      <c r="Z1473" s="66"/>
      <c r="AA1473" s="66"/>
      <c r="AB1473" s="66"/>
      <c r="AC1473" s="66"/>
    </row>
    <row r="1474" spans="1:29" ht="15.5">
      <c r="A1474" s="66"/>
      <c r="B1474" s="66"/>
      <c r="C1474" s="66"/>
      <c r="D1474" s="66"/>
      <c r="E1474" s="66"/>
      <c r="F1474" s="66"/>
      <c r="G1474" s="66"/>
      <c r="H1474" s="66"/>
      <c r="I1474" s="66"/>
      <c r="J1474" s="66"/>
      <c r="K1474" s="66"/>
      <c r="L1474" s="66"/>
      <c r="M1474" s="66"/>
      <c r="N1474" s="66"/>
      <c r="O1474" s="66"/>
      <c r="P1474" s="66"/>
      <c r="Q1474" s="66"/>
      <c r="R1474" s="66"/>
      <c r="S1474" s="66"/>
      <c r="T1474" s="66"/>
      <c r="U1474" s="66"/>
      <c r="V1474" s="66"/>
      <c r="W1474" s="66"/>
      <c r="X1474" s="66"/>
      <c r="Y1474" s="66"/>
      <c r="Z1474" s="66"/>
      <c r="AA1474" s="66"/>
      <c r="AB1474" s="66"/>
      <c r="AC1474" s="66"/>
    </row>
    <row r="1475" spans="1:29" ht="15.5">
      <c r="A1475" s="66"/>
      <c r="B1475" s="66"/>
      <c r="C1475" s="66"/>
      <c r="D1475" s="66"/>
      <c r="E1475" s="66"/>
      <c r="F1475" s="66"/>
      <c r="G1475" s="66"/>
      <c r="H1475" s="66"/>
      <c r="I1475" s="66"/>
      <c r="J1475" s="66"/>
      <c r="K1475" s="66"/>
      <c r="L1475" s="66"/>
      <c r="M1475" s="66"/>
      <c r="N1475" s="66"/>
      <c r="O1475" s="66"/>
      <c r="P1475" s="66"/>
      <c r="Q1475" s="66"/>
      <c r="R1475" s="66"/>
      <c r="S1475" s="66"/>
      <c r="T1475" s="66"/>
      <c r="U1475" s="66"/>
      <c r="V1475" s="66"/>
      <c r="W1475" s="66"/>
      <c r="X1475" s="66"/>
      <c r="Y1475" s="66"/>
      <c r="Z1475" s="66"/>
      <c r="AA1475" s="66"/>
      <c r="AB1475" s="66"/>
      <c r="AC1475" s="66"/>
    </row>
    <row r="1476" spans="1:29" ht="15.5">
      <c r="A1476" s="66"/>
      <c r="B1476" s="66"/>
      <c r="C1476" s="66"/>
      <c r="D1476" s="66"/>
      <c r="E1476" s="66"/>
      <c r="F1476" s="66"/>
      <c r="G1476" s="66"/>
      <c r="H1476" s="66"/>
      <c r="I1476" s="66"/>
      <c r="J1476" s="66"/>
      <c r="K1476" s="66"/>
      <c r="L1476" s="66"/>
      <c r="M1476" s="66"/>
      <c r="N1476" s="66"/>
      <c r="O1476" s="66"/>
      <c r="P1476" s="66"/>
      <c r="Q1476" s="66"/>
      <c r="R1476" s="66"/>
      <c r="S1476" s="66"/>
      <c r="T1476" s="66"/>
      <c r="U1476" s="66"/>
      <c r="V1476" s="66"/>
      <c r="W1476" s="66"/>
      <c r="X1476" s="66"/>
      <c r="Y1476" s="66"/>
      <c r="Z1476" s="66"/>
      <c r="AA1476" s="66"/>
      <c r="AB1476" s="66"/>
      <c r="AC1476" s="66"/>
    </row>
    <row r="1477" spans="1:29" ht="15.5">
      <c r="A1477" s="66"/>
      <c r="B1477" s="66"/>
      <c r="C1477" s="66"/>
      <c r="D1477" s="66"/>
      <c r="E1477" s="66"/>
      <c r="F1477" s="66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66"/>
      <c r="R1477" s="66"/>
      <c r="S1477" s="66"/>
      <c r="T1477" s="66"/>
      <c r="U1477" s="66"/>
      <c r="V1477" s="66"/>
      <c r="W1477" s="66"/>
      <c r="X1477" s="66"/>
      <c r="Y1477" s="66"/>
      <c r="Z1477" s="66"/>
      <c r="AA1477" s="66"/>
      <c r="AB1477" s="66"/>
      <c r="AC1477" s="66"/>
    </row>
    <row r="1478" spans="1:29" ht="15.5">
      <c r="A1478" s="66"/>
      <c r="B1478" s="66"/>
      <c r="C1478" s="66"/>
      <c r="D1478" s="66"/>
      <c r="E1478" s="66"/>
      <c r="F1478" s="66"/>
      <c r="G1478" s="66"/>
      <c r="H1478" s="66"/>
      <c r="I1478" s="66"/>
      <c r="J1478" s="66"/>
      <c r="K1478" s="66"/>
      <c r="L1478" s="66"/>
      <c r="M1478" s="66"/>
      <c r="N1478" s="66"/>
      <c r="O1478" s="66"/>
      <c r="P1478" s="66"/>
      <c r="Q1478" s="66"/>
      <c r="R1478" s="66"/>
      <c r="S1478" s="66"/>
      <c r="T1478" s="66"/>
      <c r="U1478" s="66"/>
      <c r="V1478" s="66"/>
      <c r="W1478" s="66"/>
      <c r="X1478" s="66"/>
      <c r="Y1478" s="66"/>
      <c r="Z1478" s="66"/>
      <c r="AA1478" s="66"/>
      <c r="AB1478" s="66"/>
      <c r="AC1478" s="66"/>
    </row>
    <row r="1479" spans="1:29" ht="15.5">
      <c r="A1479" s="66"/>
      <c r="B1479" s="66"/>
      <c r="C1479" s="66"/>
      <c r="D1479" s="66"/>
      <c r="E1479" s="66"/>
      <c r="F1479" s="66"/>
      <c r="G1479" s="66"/>
      <c r="H1479" s="66"/>
      <c r="I1479" s="66"/>
      <c r="J1479" s="66"/>
      <c r="K1479" s="66"/>
      <c r="L1479" s="66"/>
      <c r="M1479" s="66"/>
      <c r="N1479" s="66"/>
      <c r="O1479" s="66"/>
      <c r="P1479" s="66"/>
      <c r="Q1479" s="66"/>
      <c r="R1479" s="66"/>
      <c r="S1479" s="66"/>
      <c r="T1479" s="66"/>
      <c r="U1479" s="66"/>
      <c r="V1479" s="66"/>
      <c r="W1479" s="66"/>
      <c r="X1479" s="66"/>
      <c r="Y1479" s="66"/>
      <c r="Z1479" s="66"/>
      <c r="AA1479" s="66"/>
      <c r="AB1479" s="66"/>
      <c r="AC1479" s="66"/>
    </row>
    <row r="1480" spans="1:29" ht="15.5">
      <c r="A1480" s="66"/>
      <c r="B1480" s="66"/>
      <c r="C1480" s="66"/>
      <c r="D1480" s="66"/>
      <c r="E1480" s="66"/>
      <c r="F1480" s="66"/>
      <c r="G1480" s="66"/>
      <c r="H1480" s="66"/>
      <c r="I1480" s="66"/>
      <c r="J1480" s="66"/>
      <c r="K1480" s="66"/>
      <c r="L1480" s="66"/>
      <c r="M1480" s="66"/>
      <c r="N1480" s="66"/>
      <c r="O1480" s="66"/>
      <c r="P1480" s="66"/>
      <c r="Q1480" s="66"/>
      <c r="R1480" s="66"/>
      <c r="S1480" s="66"/>
      <c r="T1480" s="66"/>
      <c r="U1480" s="66"/>
      <c r="V1480" s="66"/>
      <c r="W1480" s="66"/>
      <c r="X1480" s="66"/>
      <c r="Y1480" s="66"/>
      <c r="Z1480" s="66"/>
      <c r="AA1480" s="66"/>
      <c r="AB1480" s="66"/>
      <c r="AC1480" s="66"/>
    </row>
    <row r="1481" spans="1:29" ht="15.5">
      <c r="A1481" s="66"/>
      <c r="B1481" s="66"/>
      <c r="C1481" s="66"/>
      <c r="D1481" s="66"/>
      <c r="E1481" s="66"/>
      <c r="F1481" s="66"/>
      <c r="G1481" s="66"/>
      <c r="H1481" s="66"/>
      <c r="I1481" s="66"/>
      <c r="J1481" s="66"/>
      <c r="K1481" s="66"/>
      <c r="L1481" s="66"/>
      <c r="M1481" s="66"/>
      <c r="N1481" s="66"/>
      <c r="O1481" s="66"/>
      <c r="P1481" s="66"/>
      <c r="Q1481" s="66"/>
      <c r="R1481" s="66"/>
      <c r="S1481" s="66"/>
      <c r="T1481" s="66"/>
      <c r="U1481" s="66"/>
      <c r="V1481" s="66"/>
      <c r="W1481" s="66"/>
      <c r="X1481" s="66"/>
      <c r="Y1481" s="66"/>
      <c r="Z1481" s="66"/>
      <c r="AA1481" s="66"/>
      <c r="AB1481" s="66"/>
      <c r="AC1481" s="66"/>
    </row>
    <row r="1482" spans="1:29" ht="15.5">
      <c r="A1482" s="66"/>
      <c r="B1482" s="66"/>
      <c r="C1482" s="66"/>
      <c r="D1482" s="66"/>
      <c r="E1482" s="66"/>
      <c r="F1482" s="66"/>
      <c r="G1482" s="66"/>
      <c r="H1482" s="66"/>
      <c r="I1482" s="66"/>
      <c r="J1482" s="66"/>
      <c r="K1482" s="66"/>
      <c r="L1482" s="66"/>
      <c r="M1482" s="66"/>
      <c r="N1482" s="66"/>
      <c r="O1482" s="66"/>
      <c r="P1482" s="66"/>
      <c r="Q1482" s="66"/>
      <c r="R1482" s="66"/>
      <c r="S1482" s="66"/>
      <c r="T1482" s="66"/>
      <c r="U1482" s="66"/>
      <c r="V1482" s="66"/>
      <c r="W1482" s="66"/>
      <c r="X1482" s="66"/>
      <c r="Y1482" s="66"/>
      <c r="Z1482" s="66"/>
      <c r="AA1482" s="66"/>
      <c r="AB1482" s="66"/>
      <c r="AC1482" s="66"/>
    </row>
    <row r="1483" spans="1:29" ht="15.5">
      <c r="A1483" s="66"/>
      <c r="B1483" s="66"/>
      <c r="C1483" s="66"/>
      <c r="D1483" s="66"/>
      <c r="E1483" s="66"/>
      <c r="F1483" s="66"/>
      <c r="G1483" s="66"/>
      <c r="H1483" s="66"/>
      <c r="I1483" s="66"/>
      <c r="J1483" s="66"/>
      <c r="K1483" s="66"/>
      <c r="L1483" s="66"/>
      <c r="M1483" s="66"/>
      <c r="N1483" s="66"/>
      <c r="O1483" s="66"/>
      <c r="P1483" s="66"/>
      <c r="Q1483" s="66"/>
      <c r="R1483" s="66"/>
      <c r="S1483" s="66"/>
      <c r="T1483" s="66"/>
      <c r="U1483" s="66"/>
      <c r="V1483" s="66"/>
      <c r="W1483" s="66"/>
      <c r="X1483" s="66"/>
      <c r="Y1483" s="66"/>
      <c r="Z1483" s="66"/>
      <c r="AA1483" s="66"/>
      <c r="AB1483" s="66"/>
      <c r="AC1483" s="66"/>
    </row>
    <row r="1484" spans="1:29" ht="15.5">
      <c r="A1484" s="66"/>
      <c r="B1484" s="66"/>
      <c r="C1484" s="66"/>
      <c r="D1484" s="66"/>
      <c r="E1484" s="66"/>
      <c r="F1484" s="66"/>
      <c r="G1484" s="66"/>
      <c r="H1484" s="66"/>
      <c r="I1484" s="66"/>
      <c r="J1484" s="66"/>
      <c r="K1484" s="66"/>
      <c r="L1484" s="66"/>
      <c r="M1484" s="66"/>
      <c r="N1484" s="66"/>
      <c r="O1484" s="66"/>
      <c r="P1484" s="66"/>
      <c r="Q1484" s="66"/>
      <c r="R1484" s="66"/>
      <c r="S1484" s="66"/>
      <c r="T1484" s="66"/>
      <c r="U1484" s="66"/>
      <c r="V1484" s="66"/>
      <c r="W1484" s="66"/>
      <c r="X1484" s="66"/>
      <c r="Y1484" s="66"/>
      <c r="Z1484" s="66"/>
      <c r="AA1484" s="66"/>
      <c r="AB1484" s="66"/>
      <c r="AC1484" s="66"/>
    </row>
    <row r="1485" spans="1:29" ht="15.5">
      <c r="A1485" s="66"/>
      <c r="B1485" s="66"/>
      <c r="C1485" s="66"/>
      <c r="D1485" s="66"/>
      <c r="E1485" s="66"/>
      <c r="F1485" s="66"/>
      <c r="G1485" s="66"/>
      <c r="H1485" s="66"/>
      <c r="I1485" s="66"/>
      <c r="J1485" s="66"/>
      <c r="K1485" s="66"/>
      <c r="L1485" s="66"/>
      <c r="M1485" s="66"/>
      <c r="N1485" s="66"/>
      <c r="O1485" s="66"/>
      <c r="P1485" s="66"/>
      <c r="Q1485" s="66"/>
      <c r="R1485" s="66"/>
      <c r="S1485" s="66"/>
      <c r="T1485" s="66"/>
      <c r="U1485" s="66"/>
      <c r="V1485" s="66"/>
      <c r="W1485" s="66"/>
      <c r="X1485" s="66"/>
      <c r="Y1485" s="66"/>
      <c r="Z1485" s="66"/>
      <c r="AA1485" s="66"/>
      <c r="AB1485" s="66"/>
      <c r="AC1485" s="66"/>
    </row>
    <row r="1486" spans="1:29" ht="15.5">
      <c r="A1486" s="66"/>
      <c r="B1486" s="66"/>
      <c r="C1486" s="66"/>
      <c r="D1486" s="66"/>
      <c r="E1486" s="66"/>
      <c r="F1486" s="66"/>
      <c r="G1486" s="66"/>
      <c r="H1486" s="66"/>
      <c r="I1486" s="66"/>
      <c r="J1486" s="66"/>
      <c r="K1486" s="66"/>
      <c r="L1486" s="66"/>
      <c r="M1486" s="66"/>
      <c r="N1486" s="66"/>
      <c r="O1486" s="66"/>
      <c r="P1486" s="66"/>
      <c r="Q1486" s="66"/>
      <c r="R1486" s="66"/>
      <c r="S1486" s="66"/>
      <c r="T1486" s="66"/>
      <c r="U1486" s="66"/>
      <c r="V1486" s="66"/>
      <c r="W1486" s="66"/>
      <c r="X1486" s="66"/>
      <c r="Y1486" s="66"/>
      <c r="Z1486" s="66"/>
      <c r="AA1486" s="66"/>
      <c r="AB1486" s="66"/>
      <c r="AC1486" s="66"/>
    </row>
    <row r="1487" spans="1:29" ht="15.5">
      <c r="A1487" s="66"/>
      <c r="B1487" s="66"/>
      <c r="C1487" s="66"/>
      <c r="D1487" s="66"/>
      <c r="E1487" s="66"/>
      <c r="F1487" s="66"/>
      <c r="G1487" s="66"/>
      <c r="H1487" s="66"/>
      <c r="I1487" s="66"/>
      <c r="J1487" s="66"/>
      <c r="K1487" s="66"/>
      <c r="L1487" s="66"/>
      <c r="M1487" s="66"/>
      <c r="N1487" s="66"/>
      <c r="O1487" s="66"/>
      <c r="P1487" s="66"/>
      <c r="Q1487" s="66"/>
      <c r="R1487" s="66"/>
      <c r="S1487" s="66"/>
      <c r="T1487" s="66"/>
      <c r="U1487" s="66"/>
      <c r="V1487" s="66"/>
      <c r="W1487" s="66"/>
      <c r="X1487" s="66"/>
      <c r="Y1487" s="66"/>
      <c r="Z1487" s="66"/>
      <c r="AA1487" s="66"/>
      <c r="AB1487" s="66"/>
      <c r="AC1487" s="66"/>
    </row>
    <row r="1488" spans="1:29" ht="15.5">
      <c r="A1488" s="66"/>
      <c r="B1488" s="66"/>
      <c r="C1488" s="66"/>
      <c r="D1488" s="66"/>
      <c r="E1488" s="66"/>
      <c r="F1488" s="66"/>
      <c r="G1488" s="66"/>
      <c r="H1488" s="66"/>
      <c r="I1488" s="66"/>
      <c r="J1488" s="66"/>
      <c r="K1488" s="66"/>
      <c r="L1488" s="66"/>
      <c r="M1488" s="66"/>
      <c r="N1488" s="66"/>
      <c r="O1488" s="66"/>
      <c r="P1488" s="66"/>
      <c r="Q1488" s="66"/>
      <c r="R1488" s="66"/>
      <c r="S1488" s="66"/>
      <c r="T1488" s="66"/>
      <c r="U1488" s="66"/>
      <c r="V1488" s="66"/>
      <c r="W1488" s="66"/>
      <c r="X1488" s="66"/>
      <c r="Y1488" s="66"/>
      <c r="Z1488" s="66"/>
      <c r="AA1488" s="66"/>
      <c r="AB1488" s="66"/>
      <c r="AC1488" s="66"/>
    </row>
    <row r="1489" spans="1:29" ht="15.5">
      <c r="A1489" s="66"/>
      <c r="B1489" s="66"/>
      <c r="C1489" s="66"/>
      <c r="D1489" s="66"/>
      <c r="E1489" s="66"/>
      <c r="F1489" s="66"/>
      <c r="G1489" s="66"/>
      <c r="H1489" s="66"/>
      <c r="I1489" s="66"/>
      <c r="J1489" s="66"/>
      <c r="K1489" s="66"/>
      <c r="L1489" s="66"/>
      <c r="M1489" s="66"/>
      <c r="N1489" s="66"/>
      <c r="O1489" s="66"/>
      <c r="P1489" s="66"/>
      <c r="Q1489" s="66"/>
      <c r="R1489" s="66"/>
      <c r="S1489" s="66"/>
      <c r="T1489" s="66"/>
      <c r="U1489" s="66"/>
      <c r="V1489" s="66"/>
      <c r="W1489" s="66"/>
      <c r="X1489" s="66"/>
      <c r="Y1489" s="66"/>
      <c r="Z1489" s="66"/>
      <c r="AA1489" s="66"/>
      <c r="AB1489" s="66"/>
      <c r="AC1489" s="66"/>
    </row>
    <row r="1490" spans="1:29" ht="15.5">
      <c r="A1490" s="66"/>
      <c r="B1490" s="66"/>
      <c r="C1490" s="66"/>
      <c r="D1490" s="66"/>
      <c r="E1490" s="66"/>
      <c r="F1490" s="66"/>
      <c r="G1490" s="66"/>
      <c r="H1490" s="66"/>
      <c r="I1490" s="66"/>
      <c r="J1490" s="66"/>
      <c r="K1490" s="66"/>
      <c r="L1490" s="66"/>
      <c r="M1490" s="66"/>
      <c r="N1490" s="66"/>
      <c r="O1490" s="66"/>
      <c r="P1490" s="66"/>
      <c r="Q1490" s="66"/>
      <c r="R1490" s="66"/>
      <c r="S1490" s="66"/>
      <c r="T1490" s="66"/>
      <c r="U1490" s="66"/>
      <c r="V1490" s="66"/>
      <c r="W1490" s="66"/>
      <c r="X1490" s="66"/>
      <c r="Y1490" s="66"/>
      <c r="Z1490" s="66"/>
      <c r="AA1490" s="66"/>
      <c r="AB1490" s="66"/>
      <c r="AC1490" s="66"/>
    </row>
    <row r="1491" spans="1:29" ht="15.5">
      <c r="A1491" s="66"/>
      <c r="B1491" s="66"/>
      <c r="C1491" s="66"/>
      <c r="D1491" s="66"/>
      <c r="E1491" s="66"/>
      <c r="F1491" s="66"/>
      <c r="G1491" s="66"/>
      <c r="H1491" s="66"/>
      <c r="I1491" s="66"/>
      <c r="J1491" s="66"/>
      <c r="K1491" s="66"/>
      <c r="L1491" s="66"/>
      <c r="M1491" s="66"/>
      <c r="N1491" s="66"/>
      <c r="O1491" s="66"/>
      <c r="P1491" s="66"/>
      <c r="Q1491" s="66"/>
      <c r="R1491" s="66"/>
      <c r="S1491" s="66"/>
      <c r="T1491" s="66"/>
      <c r="U1491" s="66"/>
      <c r="V1491" s="66"/>
      <c r="W1491" s="66"/>
      <c r="X1491" s="66"/>
      <c r="Y1491" s="66"/>
      <c r="Z1491" s="66"/>
      <c r="AA1491" s="66"/>
      <c r="AB1491" s="66"/>
      <c r="AC1491" s="66"/>
    </row>
    <row r="1492" spans="1:29" ht="15.5">
      <c r="A1492" s="66"/>
      <c r="B1492" s="66"/>
      <c r="C1492" s="66"/>
      <c r="D1492" s="66"/>
      <c r="E1492" s="66"/>
      <c r="F1492" s="66"/>
      <c r="G1492" s="66"/>
      <c r="H1492" s="66"/>
      <c r="I1492" s="66"/>
      <c r="J1492" s="66"/>
      <c r="K1492" s="66"/>
      <c r="L1492" s="66"/>
      <c r="M1492" s="66"/>
      <c r="N1492" s="66"/>
      <c r="O1492" s="66"/>
      <c r="P1492" s="66"/>
      <c r="Q1492" s="66"/>
      <c r="R1492" s="66"/>
      <c r="S1492" s="66"/>
      <c r="T1492" s="66"/>
      <c r="U1492" s="66"/>
      <c r="V1492" s="66"/>
      <c r="W1492" s="66"/>
      <c r="X1492" s="66"/>
      <c r="Y1492" s="66"/>
      <c r="Z1492" s="66"/>
      <c r="AA1492" s="66"/>
      <c r="AB1492" s="66"/>
      <c r="AC1492" s="66"/>
    </row>
    <row r="1493" spans="1:29" ht="15.5">
      <c r="A1493" s="66"/>
      <c r="B1493" s="66"/>
      <c r="C1493" s="66"/>
      <c r="D1493" s="66"/>
      <c r="E1493" s="66"/>
      <c r="F1493" s="66"/>
      <c r="G1493" s="66"/>
      <c r="H1493" s="66"/>
      <c r="I1493" s="66"/>
      <c r="J1493" s="66"/>
      <c r="K1493" s="66"/>
      <c r="L1493" s="66"/>
      <c r="M1493" s="66"/>
      <c r="N1493" s="66"/>
      <c r="O1493" s="66"/>
      <c r="P1493" s="66"/>
      <c r="Q1493" s="66"/>
      <c r="R1493" s="66"/>
      <c r="S1493" s="66"/>
      <c r="T1493" s="66"/>
      <c r="U1493" s="66"/>
      <c r="V1493" s="66"/>
      <c r="W1493" s="66"/>
      <c r="X1493" s="66"/>
      <c r="Y1493" s="66"/>
      <c r="Z1493" s="66"/>
      <c r="AA1493" s="66"/>
      <c r="AB1493" s="66"/>
      <c r="AC1493" s="66"/>
    </row>
    <row r="1494" spans="1:29" ht="15.5">
      <c r="A1494" s="66"/>
      <c r="B1494" s="66"/>
      <c r="C1494" s="66"/>
      <c r="D1494" s="66"/>
      <c r="E1494" s="66"/>
      <c r="F1494" s="66"/>
      <c r="G1494" s="66"/>
      <c r="H1494" s="66"/>
      <c r="I1494" s="66"/>
      <c r="J1494" s="66"/>
      <c r="K1494" s="66"/>
      <c r="L1494" s="66"/>
      <c r="M1494" s="66"/>
      <c r="N1494" s="66"/>
      <c r="O1494" s="66"/>
      <c r="P1494" s="66"/>
      <c r="Q1494" s="66"/>
      <c r="R1494" s="66"/>
      <c r="S1494" s="66"/>
      <c r="T1494" s="66"/>
      <c r="U1494" s="66"/>
      <c r="V1494" s="66"/>
      <c r="W1494" s="66"/>
      <c r="X1494" s="66"/>
      <c r="Y1494" s="66"/>
      <c r="Z1494" s="66"/>
      <c r="AA1494" s="66"/>
      <c r="AB1494" s="66"/>
      <c r="AC1494" s="66"/>
    </row>
    <row r="1495" spans="1:29" ht="15.5">
      <c r="A1495" s="66"/>
      <c r="B1495" s="66"/>
      <c r="C1495" s="66"/>
      <c r="D1495" s="66"/>
      <c r="E1495" s="66"/>
      <c r="F1495" s="66"/>
      <c r="G1495" s="66"/>
      <c r="H1495" s="66"/>
      <c r="I1495" s="66"/>
      <c r="J1495" s="66"/>
      <c r="K1495" s="66"/>
      <c r="L1495" s="66"/>
      <c r="M1495" s="66"/>
      <c r="N1495" s="66"/>
      <c r="O1495" s="66"/>
      <c r="P1495" s="66"/>
      <c r="Q1495" s="66"/>
      <c r="R1495" s="66"/>
      <c r="S1495" s="66"/>
      <c r="T1495" s="66"/>
      <c r="U1495" s="66"/>
      <c r="V1495" s="66"/>
      <c r="W1495" s="66"/>
      <c r="X1495" s="66"/>
      <c r="Y1495" s="66"/>
      <c r="Z1495" s="66"/>
      <c r="AA1495" s="66"/>
      <c r="AB1495" s="66"/>
      <c r="AC1495" s="66"/>
    </row>
    <row r="1496" spans="1:29" ht="15.5">
      <c r="A1496" s="66"/>
      <c r="B1496" s="66"/>
      <c r="C1496" s="66"/>
      <c r="D1496" s="66"/>
      <c r="E1496" s="66"/>
      <c r="F1496" s="66"/>
      <c r="G1496" s="66"/>
      <c r="H1496" s="66"/>
      <c r="I1496" s="66"/>
      <c r="J1496" s="66"/>
      <c r="K1496" s="66"/>
      <c r="L1496" s="66"/>
      <c r="M1496" s="66"/>
      <c r="N1496" s="66"/>
      <c r="O1496" s="66"/>
      <c r="P1496" s="66"/>
      <c r="Q1496" s="66"/>
      <c r="R1496" s="66"/>
      <c r="S1496" s="66"/>
      <c r="T1496" s="66"/>
      <c r="U1496" s="66"/>
      <c r="V1496" s="66"/>
      <c r="W1496" s="66"/>
      <c r="X1496" s="66"/>
      <c r="Y1496" s="66"/>
      <c r="Z1496" s="66"/>
      <c r="AA1496" s="66"/>
      <c r="AB1496" s="66"/>
      <c r="AC1496" s="66"/>
    </row>
    <row r="1497" spans="1:29" ht="15.5">
      <c r="A1497" s="66"/>
      <c r="B1497" s="66"/>
      <c r="C1497" s="66"/>
      <c r="D1497" s="66"/>
      <c r="E1497" s="66"/>
      <c r="F1497" s="66"/>
      <c r="G1497" s="66"/>
      <c r="H1497" s="66"/>
      <c r="I1497" s="66"/>
      <c r="J1497" s="66"/>
      <c r="K1497" s="66"/>
      <c r="L1497" s="66"/>
      <c r="M1497" s="66"/>
      <c r="N1497" s="66"/>
      <c r="O1497" s="66"/>
      <c r="P1497" s="66"/>
      <c r="Q1497" s="66"/>
      <c r="R1497" s="66"/>
      <c r="S1497" s="66"/>
      <c r="T1497" s="66"/>
      <c r="U1497" s="66"/>
      <c r="V1497" s="66"/>
      <c r="W1497" s="66"/>
      <c r="X1497" s="66"/>
      <c r="Y1497" s="66"/>
      <c r="Z1497" s="66"/>
      <c r="AA1497" s="66"/>
      <c r="AB1497" s="66"/>
      <c r="AC1497" s="66"/>
    </row>
    <row r="1498" spans="1:29" ht="15.5">
      <c r="A1498" s="66"/>
      <c r="B1498" s="66"/>
      <c r="C1498" s="66"/>
      <c r="D1498" s="66"/>
      <c r="E1498" s="66"/>
      <c r="F1498" s="66"/>
      <c r="G1498" s="66"/>
      <c r="H1498" s="66"/>
      <c r="I1498" s="66"/>
      <c r="J1498" s="66"/>
      <c r="K1498" s="66"/>
      <c r="L1498" s="66"/>
      <c r="M1498" s="66"/>
      <c r="N1498" s="66"/>
      <c r="O1498" s="66"/>
      <c r="P1498" s="66"/>
      <c r="Q1498" s="66"/>
      <c r="R1498" s="66"/>
      <c r="S1498" s="66"/>
      <c r="T1498" s="66"/>
      <c r="U1498" s="66"/>
      <c r="V1498" s="66"/>
      <c r="W1498" s="66"/>
      <c r="X1498" s="66"/>
      <c r="Y1498" s="66"/>
      <c r="Z1498" s="66"/>
      <c r="AA1498" s="66"/>
      <c r="AB1498" s="66"/>
      <c r="AC1498" s="66"/>
    </row>
    <row r="1499" spans="1:29" ht="15.5">
      <c r="A1499" s="66"/>
      <c r="B1499" s="66"/>
      <c r="C1499" s="66"/>
      <c r="D1499" s="66"/>
      <c r="E1499" s="66"/>
      <c r="F1499" s="66"/>
      <c r="G1499" s="66"/>
      <c r="H1499" s="66"/>
      <c r="I1499" s="66"/>
      <c r="J1499" s="66"/>
      <c r="K1499" s="66"/>
      <c r="L1499" s="66"/>
      <c r="M1499" s="66"/>
      <c r="N1499" s="66"/>
      <c r="O1499" s="66"/>
      <c r="P1499" s="66"/>
      <c r="Q1499" s="66"/>
      <c r="R1499" s="66"/>
      <c r="S1499" s="66"/>
      <c r="T1499" s="66"/>
      <c r="U1499" s="66"/>
      <c r="V1499" s="66"/>
      <c r="W1499" s="66"/>
      <c r="X1499" s="66"/>
      <c r="Y1499" s="66"/>
      <c r="Z1499" s="66"/>
      <c r="AA1499" s="66"/>
      <c r="AB1499" s="66"/>
      <c r="AC1499" s="66"/>
    </row>
    <row r="1500" spans="1:29" ht="15.5">
      <c r="A1500" s="66"/>
      <c r="B1500" s="66"/>
      <c r="C1500" s="66"/>
      <c r="D1500" s="66"/>
      <c r="E1500" s="66"/>
      <c r="F1500" s="66"/>
      <c r="G1500" s="66"/>
      <c r="H1500" s="66"/>
      <c r="I1500" s="66"/>
      <c r="J1500" s="66"/>
      <c r="K1500" s="66"/>
      <c r="L1500" s="66"/>
      <c r="M1500" s="66"/>
      <c r="N1500" s="66"/>
      <c r="O1500" s="66"/>
      <c r="P1500" s="66"/>
      <c r="Q1500" s="66"/>
      <c r="R1500" s="66"/>
      <c r="S1500" s="66"/>
      <c r="T1500" s="66"/>
      <c r="U1500" s="66"/>
      <c r="V1500" s="66"/>
      <c r="W1500" s="66"/>
      <c r="X1500" s="66"/>
      <c r="Y1500" s="66"/>
      <c r="Z1500" s="66"/>
      <c r="AA1500" s="66"/>
      <c r="AB1500" s="66"/>
      <c r="AC1500" s="66"/>
    </row>
    <row r="1501" spans="1:29" ht="15.5">
      <c r="A1501" s="66"/>
      <c r="B1501" s="66"/>
      <c r="C1501" s="66"/>
      <c r="D1501" s="66"/>
      <c r="E1501" s="66"/>
      <c r="F1501" s="66"/>
      <c r="G1501" s="66"/>
      <c r="H1501" s="66"/>
      <c r="I1501" s="66"/>
      <c r="J1501" s="66"/>
      <c r="K1501" s="66"/>
      <c r="L1501" s="66"/>
      <c r="M1501" s="66"/>
      <c r="N1501" s="66"/>
      <c r="O1501" s="66"/>
      <c r="P1501" s="66"/>
      <c r="Q1501" s="66"/>
      <c r="R1501" s="66"/>
      <c r="S1501" s="66"/>
      <c r="T1501" s="66"/>
      <c r="U1501" s="66"/>
      <c r="V1501" s="66"/>
      <c r="W1501" s="66"/>
      <c r="X1501" s="66"/>
      <c r="Y1501" s="66"/>
      <c r="Z1501" s="66"/>
      <c r="AA1501" s="66"/>
      <c r="AB1501" s="66"/>
      <c r="AC1501" s="66"/>
    </row>
    <row r="1502" spans="1:29" ht="15.5">
      <c r="A1502" s="66"/>
      <c r="B1502" s="66"/>
      <c r="C1502" s="66"/>
      <c r="D1502" s="66"/>
      <c r="E1502" s="66"/>
      <c r="F1502" s="66"/>
      <c r="G1502" s="66"/>
      <c r="H1502" s="66"/>
      <c r="I1502" s="66"/>
      <c r="J1502" s="66"/>
      <c r="K1502" s="66"/>
      <c r="L1502" s="66"/>
      <c r="M1502" s="66"/>
      <c r="N1502" s="66"/>
      <c r="O1502" s="66"/>
      <c r="P1502" s="66"/>
      <c r="Q1502" s="66"/>
      <c r="R1502" s="66"/>
      <c r="S1502" s="66"/>
      <c r="T1502" s="66"/>
      <c r="U1502" s="66"/>
      <c r="V1502" s="66"/>
      <c r="W1502" s="66"/>
      <c r="X1502" s="66"/>
      <c r="Y1502" s="66"/>
      <c r="Z1502" s="66"/>
      <c r="AA1502" s="66"/>
      <c r="AB1502" s="66"/>
      <c r="AC1502" s="66"/>
    </row>
    <row r="1503" spans="1:29" ht="15.5">
      <c r="A1503" s="66"/>
      <c r="B1503" s="66"/>
      <c r="C1503" s="66"/>
      <c r="D1503" s="66"/>
      <c r="E1503" s="66"/>
      <c r="F1503" s="66"/>
      <c r="G1503" s="66"/>
      <c r="H1503" s="66"/>
      <c r="I1503" s="66"/>
      <c r="J1503" s="66"/>
      <c r="K1503" s="66"/>
      <c r="L1503" s="66"/>
      <c r="M1503" s="66"/>
      <c r="N1503" s="66"/>
      <c r="O1503" s="66"/>
      <c r="P1503" s="66"/>
      <c r="Q1503" s="66"/>
      <c r="R1503" s="66"/>
      <c r="S1503" s="66"/>
      <c r="T1503" s="66"/>
      <c r="U1503" s="66"/>
      <c r="V1503" s="66"/>
      <c r="W1503" s="66"/>
      <c r="X1503" s="66"/>
      <c r="Y1503" s="66"/>
      <c r="Z1503" s="66"/>
      <c r="AA1503" s="66"/>
      <c r="AB1503" s="66"/>
      <c r="AC1503" s="66"/>
    </row>
    <row r="1504" spans="1:29" ht="15.5">
      <c r="A1504" s="66"/>
      <c r="B1504" s="66"/>
      <c r="C1504" s="66"/>
      <c r="D1504" s="66"/>
      <c r="E1504" s="66"/>
      <c r="F1504" s="66"/>
      <c r="G1504" s="66"/>
      <c r="H1504" s="66"/>
      <c r="I1504" s="66"/>
      <c r="J1504" s="66"/>
      <c r="K1504" s="66"/>
      <c r="L1504" s="66"/>
      <c r="M1504" s="66"/>
      <c r="N1504" s="66"/>
      <c r="O1504" s="66"/>
      <c r="P1504" s="66"/>
      <c r="Q1504" s="66"/>
      <c r="R1504" s="66"/>
      <c r="S1504" s="66"/>
      <c r="T1504" s="66"/>
      <c r="U1504" s="66"/>
      <c r="V1504" s="66"/>
      <c r="W1504" s="66"/>
      <c r="X1504" s="66"/>
      <c r="Y1504" s="66"/>
      <c r="Z1504" s="66"/>
      <c r="AA1504" s="66"/>
      <c r="AB1504" s="66"/>
      <c r="AC1504" s="66"/>
    </row>
    <row r="1505" spans="1:29" ht="15.5">
      <c r="A1505" s="66"/>
      <c r="B1505" s="66"/>
      <c r="C1505" s="66"/>
      <c r="D1505" s="66"/>
      <c r="E1505" s="66"/>
      <c r="F1505" s="66"/>
      <c r="G1505" s="66"/>
      <c r="H1505" s="66"/>
      <c r="I1505" s="66"/>
      <c r="J1505" s="66"/>
      <c r="K1505" s="66"/>
      <c r="L1505" s="66"/>
      <c r="M1505" s="66"/>
      <c r="N1505" s="66"/>
      <c r="O1505" s="66"/>
      <c r="P1505" s="66"/>
      <c r="Q1505" s="66"/>
      <c r="R1505" s="66"/>
      <c r="S1505" s="66"/>
      <c r="T1505" s="66"/>
      <c r="U1505" s="66"/>
      <c r="V1505" s="66"/>
      <c r="W1505" s="66"/>
      <c r="X1505" s="66"/>
      <c r="Y1505" s="66"/>
      <c r="Z1505" s="66"/>
      <c r="AA1505" s="66"/>
      <c r="AB1505" s="66"/>
      <c r="AC1505" s="66"/>
    </row>
    <row r="1506" spans="1:29" ht="15.5">
      <c r="A1506" s="66"/>
      <c r="B1506" s="66"/>
      <c r="C1506" s="66"/>
      <c r="D1506" s="66"/>
      <c r="E1506" s="66"/>
      <c r="F1506" s="66"/>
      <c r="G1506" s="66"/>
      <c r="H1506" s="66"/>
      <c r="I1506" s="66"/>
      <c r="J1506" s="66"/>
      <c r="K1506" s="66"/>
      <c r="L1506" s="66"/>
      <c r="M1506" s="66"/>
      <c r="N1506" s="66"/>
      <c r="O1506" s="66"/>
      <c r="P1506" s="66"/>
      <c r="Q1506" s="66"/>
      <c r="R1506" s="66"/>
      <c r="S1506" s="66"/>
      <c r="T1506" s="66"/>
      <c r="U1506" s="66"/>
      <c r="V1506" s="66"/>
      <c r="W1506" s="66"/>
      <c r="X1506" s="66"/>
      <c r="Y1506" s="66"/>
      <c r="Z1506" s="66"/>
      <c r="AA1506" s="66"/>
      <c r="AB1506" s="66"/>
      <c r="AC1506" s="66"/>
    </row>
    <row r="1507" spans="1:29" ht="15.5">
      <c r="A1507" s="66"/>
      <c r="B1507" s="66"/>
      <c r="C1507" s="66"/>
      <c r="D1507" s="66"/>
      <c r="E1507" s="66"/>
      <c r="F1507" s="66"/>
      <c r="G1507" s="66"/>
      <c r="H1507" s="66"/>
      <c r="I1507" s="66"/>
      <c r="J1507" s="66"/>
      <c r="K1507" s="66"/>
      <c r="L1507" s="66"/>
      <c r="M1507" s="66"/>
      <c r="N1507" s="66"/>
      <c r="O1507" s="66"/>
      <c r="P1507" s="66"/>
      <c r="Q1507" s="66"/>
      <c r="R1507" s="66"/>
      <c r="S1507" s="66"/>
      <c r="T1507" s="66"/>
      <c r="U1507" s="66"/>
      <c r="V1507" s="66"/>
      <c r="W1507" s="66"/>
      <c r="X1507" s="66"/>
      <c r="Y1507" s="66"/>
      <c r="Z1507" s="66"/>
      <c r="AA1507" s="66"/>
      <c r="AB1507" s="66"/>
      <c r="AC1507" s="66"/>
    </row>
    <row r="1508" spans="1:29" ht="15.5">
      <c r="A1508" s="66"/>
      <c r="B1508" s="66"/>
      <c r="C1508" s="66"/>
      <c r="D1508" s="66"/>
      <c r="E1508" s="66"/>
      <c r="F1508" s="66"/>
      <c r="G1508" s="66"/>
      <c r="H1508" s="66"/>
      <c r="I1508" s="66"/>
      <c r="J1508" s="66"/>
      <c r="K1508" s="66"/>
      <c r="L1508" s="66"/>
      <c r="M1508" s="66"/>
      <c r="N1508" s="66"/>
      <c r="O1508" s="66"/>
      <c r="P1508" s="66"/>
      <c r="Q1508" s="66"/>
      <c r="R1508" s="66"/>
      <c r="S1508" s="66"/>
      <c r="T1508" s="66"/>
      <c r="U1508" s="66"/>
      <c r="V1508" s="66"/>
      <c r="W1508" s="66"/>
      <c r="X1508" s="66"/>
      <c r="Y1508" s="66"/>
      <c r="Z1508" s="66"/>
      <c r="AA1508" s="66"/>
      <c r="AB1508" s="66"/>
      <c r="AC1508" s="66"/>
    </row>
    <row r="1509" spans="1:29" ht="15.5">
      <c r="A1509" s="66"/>
      <c r="B1509" s="66"/>
      <c r="C1509" s="66"/>
      <c r="D1509" s="66"/>
      <c r="E1509" s="66"/>
      <c r="F1509" s="66"/>
      <c r="G1509" s="66"/>
      <c r="H1509" s="66"/>
      <c r="I1509" s="66"/>
      <c r="J1509" s="66"/>
      <c r="K1509" s="66"/>
      <c r="L1509" s="66"/>
      <c r="M1509" s="66"/>
      <c r="N1509" s="66"/>
      <c r="O1509" s="66"/>
      <c r="P1509" s="66"/>
      <c r="Q1509" s="66"/>
      <c r="R1509" s="66"/>
      <c r="S1509" s="66"/>
      <c r="T1509" s="66"/>
      <c r="U1509" s="66"/>
      <c r="V1509" s="66"/>
      <c r="W1509" s="66"/>
      <c r="X1509" s="66"/>
      <c r="Y1509" s="66"/>
      <c r="Z1509" s="66"/>
      <c r="AA1509" s="66"/>
      <c r="AB1509" s="66"/>
      <c r="AC1509" s="66"/>
    </row>
    <row r="1510" spans="1:29" ht="15.5">
      <c r="A1510" s="66"/>
      <c r="B1510" s="66"/>
      <c r="C1510" s="66"/>
      <c r="D1510" s="66"/>
      <c r="E1510" s="66"/>
      <c r="F1510" s="66"/>
      <c r="G1510" s="66"/>
      <c r="H1510" s="66"/>
      <c r="I1510" s="66"/>
      <c r="J1510" s="66"/>
      <c r="K1510" s="66"/>
      <c r="L1510" s="66"/>
      <c r="M1510" s="66"/>
      <c r="N1510" s="66"/>
      <c r="O1510" s="66"/>
      <c r="P1510" s="66"/>
      <c r="Q1510" s="66"/>
      <c r="R1510" s="66"/>
      <c r="S1510" s="66"/>
      <c r="T1510" s="66"/>
      <c r="U1510" s="66"/>
      <c r="V1510" s="66"/>
      <c r="W1510" s="66"/>
      <c r="X1510" s="66"/>
      <c r="Y1510" s="66"/>
      <c r="Z1510" s="66"/>
      <c r="AA1510" s="66"/>
      <c r="AB1510" s="66"/>
      <c r="AC1510" s="66"/>
    </row>
    <row r="1511" spans="1:29" ht="15.5">
      <c r="A1511" s="66"/>
      <c r="B1511" s="66"/>
      <c r="C1511" s="66"/>
      <c r="D1511" s="66"/>
      <c r="E1511" s="66"/>
      <c r="F1511" s="66"/>
      <c r="G1511" s="66"/>
      <c r="H1511" s="66"/>
      <c r="I1511" s="66"/>
      <c r="J1511" s="66"/>
      <c r="K1511" s="66"/>
      <c r="L1511" s="66"/>
      <c r="M1511" s="66"/>
      <c r="N1511" s="66"/>
      <c r="O1511" s="66"/>
      <c r="P1511" s="66"/>
      <c r="Q1511" s="66"/>
      <c r="R1511" s="66"/>
      <c r="S1511" s="66"/>
      <c r="T1511" s="66"/>
      <c r="U1511" s="66"/>
      <c r="V1511" s="66"/>
      <c r="W1511" s="66"/>
      <c r="X1511" s="66"/>
      <c r="Y1511" s="66"/>
      <c r="Z1511" s="66"/>
      <c r="AA1511" s="66"/>
      <c r="AB1511" s="66"/>
      <c r="AC1511" s="66"/>
    </row>
    <row r="1512" spans="1:29" ht="15.5">
      <c r="A1512" s="66"/>
      <c r="B1512" s="66"/>
      <c r="C1512" s="66"/>
      <c r="D1512" s="66"/>
      <c r="E1512" s="66"/>
      <c r="F1512" s="66"/>
      <c r="G1512" s="66"/>
      <c r="H1512" s="66"/>
      <c r="I1512" s="66"/>
      <c r="J1512" s="66"/>
      <c r="K1512" s="66"/>
      <c r="L1512" s="66"/>
      <c r="M1512" s="66"/>
      <c r="N1512" s="66"/>
      <c r="O1512" s="66"/>
      <c r="P1512" s="66"/>
      <c r="Q1512" s="66"/>
      <c r="R1512" s="66"/>
      <c r="S1512" s="66"/>
      <c r="T1512" s="66"/>
      <c r="U1512" s="66"/>
      <c r="V1512" s="66"/>
      <c r="W1512" s="66"/>
      <c r="X1512" s="66"/>
      <c r="Y1512" s="66"/>
      <c r="Z1512" s="66"/>
      <c r="AA1512" s="66"/>
      <c r="AB1512" s="66"/>
      <c r="AC1512" s="66"/>
    </row>
    <row r="1513" spans="1:29" ht="15.5">
      <c r="A1513" s="66"/>
      <c r="B1513" s="66"/>
      <c r="C1513" s="66"/>
      <c r="D1513" s="66"/>
      <c r="E1513" s="66"/>
      <c r="F1513" s="66"/>
      <c r="G1513" s="66"/>
      <c r="H1513" s="66"/>
      <c r="I1513" s="66"/>
      <c r="J1513" s="66"/>
      <c r="K1513" s="66"/>
      <c r="L1513" s="66"/>
      <c r="M1513" s="66"/>
      <c r="N1513" s="66"/>
      <c r="O1513" s="66"/>
      <c r="P1513" s="66"/>
      <c r="Q1513" s="66"/>
      <c r="R1513" s="66"/>
      <c r="S1513" s="66"/>
      <c r="T1513" s="66"/>
      <c r="U1513" s="66"/>
      <c r="V1513" s="66"/>
      <c r="W1513" s="66"/>
      <c r="X1513" s="66"/>
      <c r="Y1513" s="66"/>
      <c r="Z1513" s="66"/>
      <c r="AA1513" s="66"/>
      <c r="AB1513" s="66"/>
      <c r="AC1513" s="66"/>
    </row>
    <row r="1514" spans="1:29" ht="15.5">
      <c r="A1514" s="66"/>
      <c r="B1514" s="66"/>
      <c r="C1514" s="66"/>
      <c r="D1514" s="66"/>
      <c r="E1514" s="66"/>
      <c r="F1514" s="66"/>
      <c r="G1514" s="66"/>
      <c r="H1514" s="66"/>
      <c r="I1514" s="66"/>
      <c r="J1514" s="66"/>
      <c r="K1514" s="66"/>
      <c r="L1514" s="66"/>
      <c r="M1514" s="66"/>
      <c r="N1514" s="66"/>
      <c r="O1514" s="66"/>
      <c r="P1514" s="66"/>
      <c r="Q1514" s="66"/>
      <c r="R1514" s="66"/>
      <c r="S1514" s="66"/>
      <c r="T1514" s="66"/>
      <c r="U1514" s="66"/>
      <c r="V1514" s="66"/>
      <c r="W1514" s="66"/>
      <c r="X1514" s="66"/>
      <c r="Y1514" s="66"/>
      <c r="Z1514" s="66"/>
      <c r="AA1514" s="66"/>
      <c r="AB1514" s="66"/>
      <c r="AC1514" s="66"/>
    </row>
    <row r="1515" spans="1:29" ht="15.5">
      <c r="A1515" s="66"/>
      <c r="B1515" s="66"/>
      <c r="C1515" s="66"/>
      <c r="D1515" s="66"/>
      <c r="E1515" s="66"/>
      <c r="F1515" s="66"/>
      <c r="G1515" s="66"/>
      <c r="H1515" s="66"/>
      <c r="I1515" s="66"/>
      <c r="J1515" s="66"/>
      <c r="K1515" s="66"/>
      <c r="L1515" s="66"/>
      <c r="M1515" s="66"/>
      <c r="N1515" s="66"/>
      <c r="O1515" s="66"/>
      <c r="P1515" s="66"/>
      <c r="Q1515" s="66"/>
      <c r="R1515" s="66"/>
      <c r="S1515" s="66"/>
      <c r="T1515" s="66"/>
      <c r="U1515" s="66"/>
      <c r="V1515" s="66"/>
      <c r="W1515" s="66"/>
      <c r="X1515" s="66"/>
      <c r="Y1515" s="66"/>
      <c r="Z1515" s="66"/>
      <c r="AA1515" s="66"/>
      <c r="AB1515" s="66"/>
      <c r="AC1515" s="66"/>
    </row>
    <row r="1516" spans="1:29" ht="15.5">
      <c r="A1516" s="66"/>
      <c r="B1516" s="66"/>
      <c r="C1516" s="66"/>
      <c r="D1516" s="66"/>
      <c r="E1516" s="66"/>
      <c r="F1516" s="66"/>
      <c r="G1516" s="66"/>
      <c r="H1516" s="66"/>
      <c r="I1516" s="66"/>
      <c r="J1516" s="66"/>
      <c r="K1516" s="66"/>
      <c r="L1516" s="66"/>
      <c r="M1516" s="66"/>
      <c r="N1516" s="66"/>
      <c r="O1516" s="66"/>
      <c r="P1516" s="66"/>
      <c r="Q1516" s="66"/>
      <c r="R1516" s="66"/>
      <c r="S1516" s="66"/>
      <c r="T1516" s="66"/>
      <c r="U1516" s="66"/>
      <c r="V1516" s="66"/>
      <c r="W1516" s="66"/>
      <c r="X1516" s="66"/>
      <c r="Y1516" s="66"/>
      <c r="Z1516" s="66"/>
      <c r="AA1516" s="66"/>
      <c r="AB1516" s="66"/>
      <c r="AC1516" s="66"/>
    </row>
    <row r="1517" spans="1:29" ht="15.5">
      <c r="A1517" s="66"/>
      <c r="B1517" s="66"/>
      <c r="C1517" s="66"/>
      <c r="D1517" s="66"/>
      <c r="E1517" s="66"/>
      <c r="F1517" s="66"/>
      <c r="G1517" s="66"/>
      <c r="H1517" s="66"/>
      <c r="I1517" s="66"/>
      <c r="J1517" s="66"/>
      <c r="K1517" s="66"/>
      <c r="L1517" s="66"/>
      <c r="M1517" s="66"/>
      <c r="N1517" s="66"/>
      <c r="O1517" s="66"/>
      <c r="P1517" s="66"/>
      <c r="Q1517" s="66"/>
      <c r="R1517" s="66"/>
      <c r="S1517" s="66"/>
      <c r="T1517" s="66"/>
      <c r="U1517" s="66"/>
      <c r="V1517" s="66"/>
      <c r="W1517" s="66"/>
      <c r="X1517" s="66"/>
      <c r="Y1517" s="66"/>
      <c r="Z1517" s="66"/>
      <c r="AA1517" s="66"/>
      <c r="AB1517" s="66"/>
      <c r="AC1517" s="66"/>
    </row>
    <row r="1518" spans="1:29" ht="15.5">
      <c r="A1518" s="66"/>
      <c r="B1518" s="66"/>
      <c r="C1518" s="66"/>
      <c r="D1518" s="66"/>
      <c r="E1518" s="66"/>
      <c r="F1518" s="66"/>
      <c r="G1518" s="66"/>
      <c r="H1518" s="66"/>
      <c r="I1518" s="66"/>
      <c r="J1518" s="66"/>
      <c r="K1518" s="66"/>
      <c r="L1518" s="66"/>
      <c r="M1518" s="66"/>
      <c r="N1518" s="66"/>
      <c r="O1518" s="66"/>
      <c r="P1518" s="66"/>
      <c r="Q1518" s="66"/>
      <c r="R1518" s="66"/>
      <c r="S1518" s="66"/>
      <c r="T1518" s="66"/>
      <c r="U1518" s="66"/>
      <c r="V1518" s="66"/>
      <c r="W1518" s="66"/>
      <c r="X1518" s="66"/>
      <c r="Y1518" s="66"/>
      <c r="Z1518" s="66"/>
      <c r="AA1518" s="66"/>
      <c r="AB1518" s="66"/>
      <c r="AC1518" s="66"/>
    </row>
    <row r="1519" spans="1:29" ht="15.5">
      <c r="A1519" s="66"/>
      <c r="B1519" s="66"/>
      <c r="C1519" s="66"/>
      <c r="D1519" s="66"/>
      <c r="E1519" s="66"/>
      <c r="F1519" s="66"/>
      <c r="G1519" s="66"/>
      <c r="H1519" s="66"/>
      <c r="I1519" s="66"/>
      <c r="J1519" s="66"/>
      <c r="K1519" s="66"/>
      <c r="L1519" s="66"/>
      <c r="M1519" s="66"/>
      <c r="N1519" s="66"/>
      <c r="O1519" s="66"/>
      <c r="P1519" s="66"/>
      <c r="Q1519" s="66"/>
      <c r="R1519" s="66"/>
      <c r="S1519" s="66"/>
      <c r="T1519" s="66"/>
      <c r="U1519" s="66"/>
      <c r="V1519" s="66"/>
      <c r="W1519" s="66"/>
      <c r="X1519" s="66"/>
      <c r="Y1519" s="66"/>
      <c r="Z1519" s="66"/>
      <c r="AA1519" s="66"/>
      <c r="AB1519" s="66"/>
      <c r="AC1519" s="66"/>
    </row>
    <row r="1520" spans="1:29" ht="15.5">
      <c r="A1520" s="66"/>
      <c r="B1520" s="66"/>
      <c r="C1520" s="66"/>
      <c r="D1520" s="66"/>
      <c r="E1520" s="66"/>
      <c r="F1520" s="66"/>
      <c r="G1520" s="66"/>
      <c r="H1520" s="66"/>
      <c r="I1520" s="66"/>
      <c r="J1520" s="66"/>
      <c r="K1520" s="66"/>
      <c r="L1520" s="66"/>
      <c r="M1520" s="66"/>
      <c r="N1520" s="66"/>
      <c r="O1520" s="66"/>
      <c r="P1520" s="66"/>
      <c r="Q1520" s="66"/>
      <c r="R1520" s="66"/>
      <c r="S1520" s="66"/>
      <c r="T1520" s="66"/>
      <c r="U1520" s="66"/>
      <c r="V1520" s="66"/>
      <c r="W1520" s="66"/>
      <c r="X1520" s="66"/>
      <c r="Y1520" s="66"/>
      <c r="Z1520" s="66"/>
      <c r="AA1520" s="66"/>
      <c r="AB1520" s="66"/>
      <c r="AC1520" s="66"/>
    </row>
    <row r="1521" spans="1:29" ht="15.5">
      <c r="A1521" s="66"/>
      <c r="B1521" s="66"/>
      <c r="C1521" s="66"/>
      <c r="D1521" s="66"/>
      <c r="E1521" s="66"/>
      <c r="F1521" s="66"/>
      <c r="G1521" s="66"/>
      <c r="H1521" s="66"/>
      <c r="I1521" s="66"/>
      <c r="J1521" s="66"/>
      <c r="K1521" s="66"/>
      <c r="L1521" s="66"/>
      <c r="M1521" s="66"/>
      <c r="N1521" s="66"/>
      <c r="O1521" s="66"/>
      <c r="P1521" s="66"/>
      <c r="Q1521" s="66"/>
      <c r="R1521" s="66"/>
      <c r="S1521" s="66"/>
      <c r="T1521" s="66"/>
      <c r="U1521" s="66"/>
      <c r="V1521" s="66"/>
      <c r="W1521" s="66"/>
      <c r="X1521" s="66"/>
      <c r="Y1521" s="66"/>
      <c r="Z1521" s="66"/>
      <c r="AA1521" s="66"/>
      <c r="AB1521" s="66"/>
      <c r="AC1521" s="66"/>
    </row>
    <row r="1522" spans="1:29" ht="15.5">
      <c r="A1522" s="66"/>
      <c r="B1522" s="66"/>
      <c r="C1522" s="66"/>
      <c r="D1522" s="66"/>
      <c r="E1522" s="66"/>
      <c r="F1522" s="66"/>
      <c r="G1522" s="66"/>
      <c r="H1522" s="66"/>
      <c r="I1522" s="66"/>
      <c r="J1522" s="66"/>
      <c r="K1522" s="66"/>
      <c r="L1522" s="66"/>
      <c r="M1522" s="66"/>
      <c r="N1522" s="66"/>
      <c r="O1522" s="66"/>
      <c r="P1522" s="66"/>
      <c r="Q1522" s="66"/>
      <c r="R1522" s="66"/>
      <c r="S1522" s="66"/>
      <c r="T1522" s="66"/>
      <c r="U1522" s="66"/>
      <c r="V1522" s="66"/>
      <c r="W1522" s="66"/>
      <c r="X1522" s="66"/>
      <c r="Y1522" s="66"/>
      <c r="Z1522" s="66"/>
      <c r="AA1522" s="66"/>
      <c r="AB1522" s="66"/>
      <c r="AC1522" s="66"/>
    </row>
    <row r="1523" spans="1:29" ht="15.5">
      <c r="A1523" s="66"/>
      <c r="B1523" s="66"/>
      <c r="C1523" s="66"/>
      <c r="D1523" s="66"/>
      <c r="E1523" s="66"/>
      <c r="F1523" s="66"/>
      <c r="G1523" s="66"/>
      <c r="H1523" s="66"/>
      <c r="I1523" s="66"/>
      <c r="J1523" s="66"/>
      <c r="K1523" s="66"/>
      <c r="L1523" s="66"/>
      <c r="M1523" s="66"/>
      <c r="N1523" s="66"/>
      <c r="O1523" s="66"/>
      <c r="P1523" s="66"/>
      <c r="Q1523" s="66"/>
      <c r="R1523" s="66"/>
      <c r="S1523" s="66"/>
      <c r="T1523" s="66"/>
      <c r="U1523" s="66"/>
      <c r="V1523" s="66"/>
      <c r="W1523" s="66"/>
      <c r="X1523" s="66"/>
      <c r="Y1523" s="66"/>
      <c r="Z1523" s="66"/>
      <c r="AA1523" s="66"/>
      <c r="AB1523" s="66"/>
      <c r="AC1523" s="66"/>
    </row>
    <row r="1524" spans="1:29" ht="15.5">
      <c r="A1524" s="66"/>
      <c r="B1524" s="66"/>
      <c r="C1524" s="66"/>
      <c r="D1524" s="66"/>
      <c r="E1524" s="66"/>
      <c r="F1524" s="66"/>
      <c r="G1524" s="66"/>
      <c r="H1524" s="66"/>
      <c r="I1524" s="66"/>
      <c r="J1524" s="66"/>
      <c r="K1524" s="66"/>
      <c r="L1524" s="66"/>
      <c r="M1524" s="66"/>
      <c r="N1524" s="66"/>
      <c r="O1524" s="66"/>
      <c r="P1524" s="66"/>
      <c r="Q1524" s="66"/>
      <c r="R1524" s="66"/>
      <c r="S1524" s="66"/>
      <c r="T1524" s="66"/>
      <c r="U1524" s="66"/>
      <c r="V1524" s="66"/>
      <c r="W1524" s="66"/>
      <c r="X1524" s="66"/>
      <c r="Y1524" s="66"/>
      <c r="Z1524" s="66"/>
      <c r="AA1524" s="66"/>
      <c r="AB1524" s="66"/>
      <c r="AC1524" s="66"/>
    </row>
    <row r="1525" spans="1:29" ht="15.5">
      <c r="A1525" s="66"/>
      <c r="B1525" s="66"/>
      <c r="C1525" s="66"/>
      <c r="D1525" s="66"/>
      <c r="E1525" s="66"/>
      <c r="F1525" s="66"/>
      <c r="G1525" s="66"/>
      <c r="H1525" s="66"/>
      <c r="I1525" s="66"/>
      <c r="J1525" s="66"/>
      <c r="K1525" s="66"/>
      <c r="L1525" s="66"/>
      <c r="M1525" s="66"/>
      <c r="N1525" s="66"/>
      <c r="O1525" s="66"/>
      <c r="P1525" s="66"/>
      <c r="Q1525" s="66"/>
      <c r="R1525" s="66"/>
      <c r="S1525" s="66"/>
      <c r="T1525" s="66"/>
      <c r="U1525" s="66"/>
      <c r="V1525" s="66"/>
      <c r="W1525" s="66"/>
      <c r="X1525" s="66"/>
      <c r="Y1525" s="66"/>
      <c r="Z1525" s="66"/>
      <c r="AA1525" s="66"/>
      <c r="AB1525" s="66"/>
      <c r="AC1525" s="66"/>
    </row>
    <row r="1526" spans="1:29" ht="15.5">
      <c r="A1526" s="66"/>
      <c r="B1526" s="66"/>
      <c r="C1526" s="66"/>
      <c r="D1526" s="66"/>
      <c r="E1526" s="66"/>
      <c r="F1526" s="66"/>
      <c r="G1526" s="66"/>
      <c r="H1526" s="66"/>
      <c r="I1526" s="66"/>
      <c r="J1526" s="66"/>
      <c r="K1526" s="66"/>
      <c r="L1526" s="66"/>
      <c r="M1526" s="66"/>
      <c r="N1526" s="66"/>
      <c r="O1526" s="66"/>
      <c r="P1526" s="66"/>
      <c r="Q1526" s="66"/>
      <c r="R1526" s="66"/>
      <c r="S1526" s="66"/>
      <c r="T1526" s="66"/>
      <c r="U1526" s="66"/>
      <c r="V1526" s="66"/>
      <c r="W1526" s="66"/>
      <c r="X1526" s="66"/>
      <c r="Y1526" s="66"/>
      <c r="Z1526" s="66"/>
      <c r="AA1526" s="66"/>
      <c r="AB1526" s="66"/>
      <c r="AC1526" s="66"/>
    </row>
    <row r="1527" spans="1:29" ht="15.5">
      <c r="A1527" s="66"/>
      <c r="B1527" s="66"/>
      <c r="C1527" s="66"/>
      <c r="D1527" s="66"/>
      <c r="E1527" s="66"/>
      <c r="F1527" s="66"/>
      <c r="G1527" s="66"/>
      <c r="H1527" s="66"/>
      <c r="I1527" s="66"/>
      <c r="J1527" s="66"/>
      <c r="K1527" s="66"/>
      <c r="L1527" s="66"/>
      <c r="M1527" s="66"/>
      <c r="N1527" s="66"/>
      <c r="O1527" s="66"/>
      <c r="P1527" s="66"/>
      <c r="Q1527" s="66"/>
      <c r="R1527" s="66"/>
      <c r="S1527" s="66"/>
      <c r="T1527" s="66"/>
      <c r="U1527" s="66"/>
      <c r="V1527" s="66"/>
      <c r="W1527" s="66"/>
      <c r="X1527" s="66"/>
      <c r="Y1527" s="66"/>
      <c r="Z1527" s="66"/>
      <c r="AA1527" s="66"/>
      <c r="AB1527" s="66"/>
      <c r="AC1527" s="66"/>
    </row>
    <row r="1528" spans="1:29" ht="15.5">
      <c r="A1528" s="66"/>
      <c r="B1528" s="66"/>
      <c r="C1528" s="66"/>
      <c r="D1528" s="66"/>
      <c r="E1528" s="66"/>
      <c r="F1528" s="66"/>
      <c r="G1528" s="66"/>
      <c r="H1528" s="66"/>
      <c r="I1528" s="66"/>
      <c r="J1528" s="66"/>
      <c r="K1528" s="66"/>
      <c r="L1528" s="66"/>
      <c r="M1528" s="66"/>
      <c r="N1528" s="66"/>
      <c r="O1528" s="66"/>
      <c r="P1528" s="66"/>
      <c r="Q1528" s="66"/>
      <c r="R1528" s="66"/>
      <c r="S1528" s="66"/>
      <c r="T1528" s="66"/>
      <c r="U1528" s="66"/>
      <c r="V1528" s="66"/>
      <c r="W1528" s="66"/>
      <c r="X1528" s="66"/>
      <c r="Y1528" s="66"/>
      <c r="Z1528" s="66"/>
      <c r="AA1528" s="66"/>
      <c r="AB1528" s="66"/>
      <c r="AC1528" s="66"/>
    </row>
    <row r="1529" spans="1:29" ht="15.5">
      <c r="A1529" s="66"/>
      <c r="B1529" s="66"/>
      <c r="C1529" s="66"/>
      <c r="D1529" s="66"/>
      <c r="E1529" s="66"/>
      <c r="F1529" s="66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66"/>
      <c r="R1529" s="66"/>
      <c r="S1529" s="66"/>
      <c r="T1529" s="66"/>
      <c r="U1529" s="66"/>
      <c r="V1529" s="66"/>
      <c r="W1529" s="66"/>
      <c r="X1529" s="66"/>
      <c r="Y1529" s="66"/>
      <c r="Z1529" s="66"/>
      <c r="AA1529" s="66"/>
      <c r="AB1529" s="66"/>
      <c r="AC1529" s="66"/>
    </row>
    <row r="1530" spans="1:29" ht="15.5">
      <c r="A1530" s="66"/>
      <c r="B1530" s="66"/>
      <c r="C1530" s="66"/>
      <c r="D1530" s="66"/>
      <c r="E1530" s="66"/>
      <c r="F1530" s="66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66"/>
      <c r="R1530" s="66"/>
      <c r="S1530" s="66"/>
      <c r="T1530" s="66"/>
      <c r="U1530" s="66"/>
      <c r="V1530" s="66"/>
      <c r="W1530" s="66"/>
      <c r="X1530" s="66"/>
      <c r="Y1530" s="66"/>
      <c r="Z1530" s="66"/>
      <c r="AA1530" s="66"/>
      <c r="AB1530" s="66"/>
      <c r="AC1530" s="66"/>
    </row>
    <row r="1531" spans="1:29" ht="15.5">
      <c r="A1531" s="66"/>
      <c r="B1531" s="66"/>
      <c r="C1531" s="66"/>
      <c r="D1531" s="66"/>
      <c r="E1531" s="66"/>
      <c r="F1531" s="66"/>
      <c r="G1531" s="66"/>
      <c r="H1531" s="66"/>
      <c r="I1531" s="66"/>
      <c r="J1531" s="66"/>
      <c r="K1531" s="66"/>
      <c r="L1531" s="66"/>
      <c r="M1531" s="66"/>
      <c r="N1531" s="66"/>
      <c r="O1531" s="66"/>
      <c r="P1531" s="66"/>
      <c r="Q1531" s="66"/>
      <c r="R1531" s="66"/>
      <c r="S1531" s="66"/>
      <c r="T1531" s="66"/>
      <c r="U1531" s="66"/>
      <c r="V1531" s="66"/>
      <c r="W1531" s="66"/>
      <c r="X1531" s="66"/>
      <c r="Y1531" s="66"/>
      <c r="Z1531" s="66"/>
      <c r="AA1531" s="66"/>
      <c r="AB1531" s="66"/>
      <c r="AC1531" s="66"/>
    </row>
    <row r="1532" spans="1:29" ht="15.5">
      <c r="A1532" s="66"/>
      <c r="B1532" s="66"/>
      <c r="C1532" s="66"/>
      <c r="D1532" s="66"/>
      <c r="E1532" s="66"/>
      <c r="F1532" s="66"/>
      <c r="G1532" s="66"/>
      <c r="H1532" s="66"/>
      <c r="I1532" s="66"/>
      <c r="J1532" s="66"/>
      <c r="K1532" s="66"/>
      <c r="L1532" s="66"/>
      <c r="M1532" s="66"/>
      <c r="N1532" s="66"/>
      <c r="O1532" s="66"/>
      <c r="P1532" s="66"/>
      <c r="Q1532" s="66"/>
      <c r="R1532" s="66"/>
      <c r="S1532" s="66"/>
      <c r="T1532" s="66"/>
      <c r="U1532" s="66"/>
      <c r="V1532" s="66"/>
      <c r="W1532" s="66"/>
      <c r="X1532" s="66"/>
      <c r="Y1532" s="66"/>
      <c r="Z1532" s="66"/>
      <c r="AA1532" s="66"/>
      <c r="AB1532" s="66"/>
      <c r="AC1532" s="66"/>
    </row>
    <row r="1533" spans="1:29" ht="15.5">
      <c r="A1533" s="66"/>
      <c r="B1533" s="66"/>
      <c r="C1533" s="66"/>
      <c r="D1533" s="66"/>
      <c r="E1533" s="66"/>
      <c r="F1533" s="66"/>
      <c r="G1533" s="66"/>
      <c r="H1533" s="66"/>
      <c r="I1533" s="66"/>
      <c r="J1533" s="66"/>
      <c r="K1533" s="66"/>
      <c r="L1533" s="66"/>
      <c r="M1533" s="66"/>
      <c r="N1533" s="66"/>
      <c r="O1533" s="66"/>
      <c r="P1533" s="66"/>
      <c r="Q1533" s="66"/>
      <c r="R1533" s="66"/>
      <c r="S1533" s="66"/>
      <c r="T1533" s="66"/>
      <c r="U1533" s="66"/>
      <c r="V1533" s="66"/>
      <c r="W1533" s="66"/>
      <c r="X1533" s="66"/>
      <c r="Y1533" s="66"/>
      <c r="Z1533" s="66"/>
      <c r="AA1533" s="66"/>
      <c r="AB1533" s="66"/>
      <c r="AC1533" s="66"/>
    </row>
    <row r="1534" spans="1:29" ht="15.5">
      <c r="A1534" s="66"/>
      <c r="B1534" s="66"/>
      <c r="C1534" s="66"/>
      <c r="D1534" s="66"/>
      <c r="E1534" s="66"/>
      <c r="F1534" s="66"/>
      <c r="G1534" s="66"/>
      <c r="H1534" s="66"/>
      <c r="I1534" s="66"/>
      <c r="J1534" s="66"/>
      <c r="K1534" s="66"/>
      <c r="L1534" s="66"/>
      <c r="M1534" s="66"/>
      <c r="N1534" s="66"/>
      <c r="O1534" s="66"/>
      <c r="P1534" s="66"/>
      <c r="Q1534" s="66"/>
      <c r="R1534" s="66"/>
      <c r="S1534" s="66"/>
      <c r="T1534" s="66"/>
      <c r="U1534" s="66"/>
      <c r="V1534" s="66"/>
      <c r="W1534" s="66"/>
      <c r="X1534" s="66"/>
      <c r="Y1534" s="66"/>
      <c r="Z1534" s="66"/>
      <c r="AA1534" s="66"/>
      <c r="AB1534" s="66"/>
      <c r="AC1534" s="66"/>
    </row>
    <row r="1535" spans="1:29" ht="15.5">
      <c r="A1535" s="66"/>
      <c r="B1535" s="66"/>
      <c r="C1535" s="66"/>
      <c r="D1535" s="66"/>
      <c r="E1535" s="66"/>
      <c r="F1535" s="66"/>
      <c r="G1535" s="66"/>
      <c r="H1535" s="66"/>
      <c r="I1535" s="66"/>
      <c r="J1535" s="66"/>
      <c r="K1535" s="66"/>
      <c r="L1535" s="66"/>
      <c r="M1535" s="66"/>
      <c r="N1535" s="66"/>
      <c r="O1535" s="66"/>
      <c r="P1535" s="66"/>
      <c r="Q1535" s="66"/>
      <c r="R1535" s="66"/>
      <c r="S1535" s="66"/>
      <c r="T1535" s="66"/>
      <c r="U1535" s="66"/>
      <c r="V1535" s="66"/>
      <c r="W1535" s="66"/>
      <c r="X1535" s="66"/>
      <c r="Y1535" s="66"/>
      <c r="Z1535" s="66"/>
      <c r="AA1535" s="66"/>
      <c r="AB1535" s="66"/>
      <c r="AC1535" s="66"/>
    </row>
    <row r="1536" spans="1:29" ht="15.5">
      <c r="A1536" s="66"/>
      <c r="B1536" s="66"/>
      <c r="C1536" s="66"/>
      <c r="D1536" s="66"/>
      <c r="E1536" s="66"/>
      <c r="F1536" s="66"/>
      <c r="G1536" s="66"/>
      <c r="H1536" s="66"/>
      <c r="I1536" s="66"/>
      <c r="J1536" s="66"/>
      <c r="K1536" s="66"/>
      <c r="L1536" s="66"/>
      <c r="M1536" s="66"/>
      <c r="N1536" s="66"/>
      <c r="O1536" s="66"/>
      <c r="P1536" s="66"/>
      <c r="Q1536" s="66"/>
      <c r="R1536" s="66"/>
      <c r="S1536" s="66"/>
      <c r="T1536" s="66"/>
      <c r="U1536" s="66"/>
      <c r="V1536" s="66"/>
      <c r="W1536" s="66"/>
      <c r="X1536" s="66"/>
      <c r="Y1536" s="66"/>
      <c r="Z1536" s="66"/>
      <c r="AA1536" s="66"/>
      <c r="AB1536" s="66"/>
      <c r="AC1536" s="66"/>
    </row>
    <row r="1537" spans="1:29" ht="15.5">
      <c r="A1537" s="66"/>
      <c r="B1537" s="66"/>
      <c r="C1537" s="66"/>
      <c r="D1537" s="66"/>
      <c r="E1537" s="66"/>
      <c r="F1537" s="66"/>
      <c r="G1537" s="66"/>
      <c r="H1537" s="66"/>
      <c r="I1537" s="66"/>
      <c r="J1537" s="66"/>
      <c r="K1537" s="66"/>
      <c r="L1537" s="66"/>
      <c r="M1537" s="66"/>
      <c r="N1537" s="66"/>
      <c r="O1537" s="66"/>
      <c r="P1537" s="66"/>
      <c r="Q1537" s="66"/>
      <c r="R1537" s="66"/>
      <c r="S1537" s="66"/>
      <c r="T1537" s="66"/>
      <c r="U1537" s="66"/>
      <c r="V1537" s="66"/>
      <c r="W1537" s="66"/>
      <c r="X1537" s="66"/>
      <c r="Y1537" s="66"/>
      <c r="Z1537" s="66"/>
      <c r="AA1537" s="66"/>
      <c r="AB1537" s="66"/>
      <c r="AC1537" s="66"/>
    </row>
    <row r="1538" spans="1:29" ht="15.5">
      <c r="A1538" s="66"/>
      <c r="B1538" s="66"/>
      <c r="C1538" s="66"/>
      <c r="D1538" s="66"/>
      <c r="E1538" s="66"/>
      <c r="F1538" s="66"/>
      <c r="G1538" s="66"/>
      <c r="H1538" s="66"/>
      <c r="I1538" s="66"/>
      <c r="J1538" s="66"/>
      <c r="K1538" s="66"/>
      <c r="L1538" s="66"/>
      <c r="M1538" s="66"/>
      <c r="N1538" s="66"/>
      <c r="O1538" s="66"/>
      <c r="P1538" s="66"/>
      <c r="Q1538" s="66"/>
      <c r="R1538" s="66"/>
      <c r="S1538" s="66"/>
      <c r="T1538" s="66"/>
      <c r="U1538" s="66"/>
      <c r="V1538" s="66"/>
      <c r="W1538" s="66"/>
      <c r="X1538" s="66"/>
      <c r="Y1538" s="66"/>
      <c r="Z1538" s="66"/>
      <c r="AA1538" s="66"/>
      <c r="AB1538" s="66"/>
      <c r="AC1538" s="66"/>
    </row>
    <row r="1539" spans="1:29" ht="15.5">
      <c r="A1539" s="66"/>
      <c r="B1539" s="66"/>
      <c r="C1539" s="66"/>
      <c r="D1539" s="66"/>
      <c r="E1539" s="66"/>
      <c r="F1539" s="66"/>
      <c r="G1539" s="66"/>
      <c r="H1539" s="66"/>
      <c r="I1539" s="66"/>
      <c r="J1539" s="66"/>
      <c r="K1539" s="66"/>
      <c r="L1539" s="66"/>
      <c r="M1539" s="66"/>
      <c r="N1539" s="66"/>
      <c r="O1539" s="66"/>
      <c r="P1539" s="66"/>
      <c r="Q1539" s="66"/>
      <c r="R1539" s="66"/>
      <c r="S1539" s="66"/>
      <c r="T1539" s="66"/>
      <c r="U1539" s="66"/>
      <c r="V1539" s="66"/>
      <c r="W1539" s="66"/>
      <c r="X1539" s="66"/>
      <c r="Y1539" s="66"/>
      <c r="Z1539" s="66"/>
      <c r="AA1539" s="66"/>
      <c r="AB1539" s="66"/>
      <c r="AC1539" s="66"/>
    </row>
    <row r="1540" spans="1:29" ht="15.5">
      <c r="A1540" s="66"/>
      <c r="B1540" s="66"/>
      <c r="C1540" s="66"/>
      <c r="D1540" s="66"/>
      <c r="E1540" s="66"/>
      <c r="F1540" s="66"/>
      <c r="G1540" s="66"/>
      <c r="H1540" s="66"/>
      <c r="I1540" s="66"/>
      <c r="J1540" s="66"/>
      <c r="K1540" s="66"/>
      <c r="L1540" s="66"/>
      <c r="M1540" s="66"/>
      <c r="N1540" s="66"/>
      <c r="O1540" s="66"/>
      <c r="P1540" s="66"/>
      <c r="Q1540" s="66"/>
      <c r="R1540" s="66"/>
      <c r="S1540" s="66"/>
      <c r="T1540" s="66"/>
      <c r="U1540" s="66"/>
      <c r="V1540" s="66"/>
      <c r="W1540" s="66"/>
      <c r="X1540" s="66"/>
      <c r="Y1540" s="66"/>
      <c r="Z1540" s="66"/>
      <c r="AA1540" s="66"/>
      <c r="AB1540" s="66"/>
      <c r="AC1540" s="66"/>
    </row>
    <row r="1541" spans="1:29" ht="15.5">
      <c r="A1541" s="66"/>
      <c r="B1541" s="66"/>
      <c r="C1541" s="66"/>
      <c r="D1541" s="66"/>
      <c r="E1541" s="66"/>
      <c r="F1541" s="66"/>
      <c r="G1541" s="66"/>
      <c r="H1541" s="66"/>
      <c r="I1541" s="66"/>
      <c r="J1541" s="66"/>
      <c r="K1541" s="66"/>
      <c r="L1541" s="66"/>
      <c r="M1541" s="66"/>
      <c r="N1541" s="66"/>
      <c r="O1541" s="66"/>
      <c r="P1541" s="66"/>
      <c r="Q1541" s="66"/>
      <c r="R1541" s="66"/>
      <c r="S1541" s="66"/>
      <c r="T1541" s="66"/>
      <c r="U1541" s="66"/>
      <c r="V1541" s="66"/>
      <c r="W1541" s="66"/>
      <c r="X1541" s="66"/>
      <c r="Y1541" s="66"/>
      <c r="Z1541" s="66"/>
      <c r="AA1541" s="66"/>
      <c r="AB1541" s="66"/>
      <c r="AC1541" s="66"/>
    </row>
    <row r="1542" spans="1:29" ht="15.5">
      <c r="A1542" s="66"/>
      <c r="B1542" s="66"/>
      <c r="C1542" s="66"/>
      <c r="D1542" s="66"/>
      <c r="E1542" s="66"/>
      <c r="F1542" s="66"/>
      <c r="G1542" s="66"/>
      <c r="H1542" s="66"/>
      <c r="I1542" s="66"/>
      <c r="J1542" s="66"/>
      <c r="K1542" s="66"/>
      <c r="L1542" s="66"/>
      <c r="M1542" s="66"/>
      <c r="N1542" s="66"/>
      <c r="O1542" s="66"/>
      <c r="P1542" s="66"/>
      <c r="Q1542" s="66"/>
      <c r="R1542" s="66"/>
      <c r="S1542" s="66"/>
      <c r="T1542" s="66"/>
      <c r="U1542" s="66"/>
      <c r="V1542" s="66"/>
      <c r="W1542" s="66"/>
      <c r="X1542" s="66"/>
      <c r="Y1542" s="66"/>
      <c r="Z1542" s="66"/>
      <c r="AA1542" s="66"/>
      <c r="AB1542" s="66"/>
      <c r="AC1542" s="66"/>
    </row>
  </sheetData>
  <autoFilter ref="V70:X79" xr:uid="{00000000-0009-0000-0000-000000000000}">
    <sortState xmlns:xlrd2="http://schemas.microsoft.com/office/spreadsheetml/2017/richdata2" ref="V70:X79">
      <sortCondition descending="1" ref="V70:V79"/>
      <sortCondition descending="1" ref="X70:X79"/>
    </sortState>
  </autoFilter>
  <customSheetViews>
    <customSheetView guid="{42BCD50F-3474-4FFC-8C97-E68652B0A70A}" filter="1" showAutoFilter="1">
      <pageMargins left="0.7" right="0.7" top="0.75" bottom="0.75" header="0.3" footer="0.3"/>
      <autoFilter ref="R69:T78" xr:uid="{D0E635EC-5EFA-4B36-96FA-7EB7061BAAE0}"/>
    </customSheetView>
    <customSheetView guid="{9C82ABF7-6871-4D8C-A843-D78906B49403}" filter="1" showAutoFilter="1">
      <pageMargins left="0.7" right="0.7" top="0.75" bottom="0.75" header="0.3" footer="0.3"/>
      <autoFilter ref="V70:X79" xr:uid="{B587157A-4EB4-4256-A280-C5EBC5E8C9A4}"/>
    </customSheetView>
  </customSheetViews>
  <mergeCells count="27">
    <mergeCell ref="B1:B2"/>
    <mergeCell ref="C1:C2"/>
    <mergeCell ref="E1:F4"/>
    <mergeCell ref="A3:A4"/>
    <mergeCell ref="B3:B4"/>
    <mergeCell ref="C3:C4"/>
    <mergeCell ref="B7:F7"/>
    <mergeCell ref="B8:C8"/>
    <mergeCell ref="D8:F8"/>
    <mergeCell ref="B9:C9"/>
    <mergeCell ref="D9:F9"/>
    <mergeCell ref="B11:F11"/>
    <mergeCell ref="D12:F12"/>
    <mergeCell ref="D13:F13"/>
    <mergeCell ref="B23:F23"/>
    <mergeCell ref="A31:F33"/>
    <mergeCell ref="A34:A35"/>
    <mergeCell ref="F41:F42"/>
    <mergeCell ref="A44:A45"/>
    <mergeCell ref="R68:T68"/>
    <mergeCell ref="B15:F15"/>
    <mergeCell ref="D16:F16"/>
    <mergeCell ref="D17:F17"/>
    <mergeCell ref="B19:F19"/>
    <mergeCell ref="D20:E20"/>
    <mergeCell ref="D21:E21"/>
    <mergeCell ref="I26:J26"/>
  </mergeCells>
  <phoneticPr fontId="43" type="noConversion"/>
  <conditionalFormatting sqref="A5:A6">
    <cfRule type="containsText" dxfId="85" priority="56" operator="containsText" text="減">
      <formula>NOT(ISERROR(SEARCH(("減"),(A5))))</formula>
    </cfRule>
    <cfRule type="containsText" dxfId="84" priority="55" operator="containsText" text="增">
      <formula>NOT(ISERROR(SEARCH(("增"),(A5))))</formula>
    </cfRule>
  </conditionalFormatting>
  <conditionalFormatting sqref="A7:A8">
    <cfRule type="containsText" dxfId="83" priority="31" operator="containsText" text="買">
      <formula>NOT(ISERROR(SEARCH(("買"),(A7))))</formula>
    </cfRule>
    <cfRule type="containsText" dxfId="82" priority="32" operator="containsText" text="賣">
      <formula>NOT(ISERROR(SEARCH(("賣"),(A7))))</formula>
    </cfRule>
  </conditionalFormatting>
  <conditionalFormatting sqref="A9">
    <cfRule type="containsText" dxfId="81" priority="49" operator="containsText" text="上升">
      <formula>NOT(ISERROR(SEARCH(("上升"),(A9))))</formula>
    </cfRule>
    <cfRule type="containsText" dxfId="80" priority="50" operator="containsText" text="下降">
      <formula>NOT(ISERROR(SEARCH(("下降"),(A9))))</formula>
    </cfRule>
  </conditionalFormatting>
  <conditionalFormatting sqref="A10">
    <cfRule type="expression" dxfId="79" priority="48">
      <formula>"籌碼'!AG8&gt;='籌碼'!AG9"</formula>
    </cfRule>
  </conditionalFormatting>
  <conditionalFormatting sqref="A13">
    <cfRule type="containsText" dxfId="78" priority="53" operator="containsText" text="上升">
      <formula>NOT(ISERROR(SEARCH(("上升"),(A13))))</formula>
    </cfRule>
    <cfRule type="containsText" dxfId="77" priority="54" operator="containsText" text="下降">
      <formula>NOT(ISERROR(SEARCH(("下降"),(A13))))</formula>
    </cfRule>
  </conditionalFormatting>
  <conditionalFormatting sqref="B5:B6">
    <cfRule type="containsText" dxfId="76" priority="39" operator="containsText" text="衰退">
      <formula>NOT(ISERROR(SEARCH(("衰退"),(B5))))</formula>
    </cfRule>
    <cfRule type="containsText" dxfId="75" priority="38" operator="containsText" text="成長">
      <formula>NOT(ISERROR(SEARCH(("成長"),(B5))))</formula>
    </cfRule>
  </conditionalFormatting>
  <conditionalFormatting sqref="B35:E35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39:E39">
    <cfRule type="colorScale" priority="5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45:E45">
    <cfRule type="colorScale" priority="7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48:E48 B38">
    <cfRule type="colorScale" priority="1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5">
    <cfRule type="cellIs" dxfId="74" priority="28" operator="equal">
      <formula>"存貨週轉季減"</formula>
    </cfRule>
    <cfRule type="cellIs" dxfId="73" priority="27" operator="equal">
      <formula>"存貨週轉季增"</formula>
    </cfRule>
  </conditionalFormatting>
  <conditionalFormatting sqref="C6">
    <cfRule type="cellIs" dxfId="72" priority="29" operator="equal">
      <formula>"估存貨週轉年增"</formula>
    </cfRule>
    <cfRule type="cellIs" dxfId="71" priority="30" operator="equal">
      <formula>"估存貨週轉年減"</formula>
    </cfRule>
  </conditionalFormatting>
  <conditionalFormatting sqref="C67:C116">
    <cfRule type="colorScale" priority="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3:D4">
    <cfRule type="containsText" dxfId="70" priority="5" operator="containsText" text="便宜">
      <formula>NOT(ISERROR(SEARCH(("便宜"),(D3))))</formula>
    </cfRule>
    <cfRule type="containsText" dxfId="69" priority="42" operator="containsText" text="合理">
      <formula>NOT(ISERROR(SEARCH(("合理"),(D3))))</formula>
    </cfRule>
    <cfRule type="containsText" dxfId="68" priority="47" operator="containsText" text="衰退">
      <formula>NOT(ISERROR(SEARCH(("衰退"),(D3))))</formula>
    </cfRule>
    <cfRule type="containsText" dxfId="67" priority="14" operator="containsText" text="昂貴">
      <formula>NOT(ISERROR(SEARCH(("昂貴"),(D3))))</formula>
    </cfRule>
  </conditionalFormatting>
  <conditionalFormatting sqref="D5">
    <cfRule type="cellIs" dxfId="66" priority="23" operator="equal">
      <formula>"毛利季增"</formula>
    </cfRule>
    <cfRule type="cellIs" dxfId="65" priority="24" operator="equal">
      <formula>"毛利季減"</formula>
    </cfRule>
  </conditionalFormatting>
  <conditionalFormatting sqref="D6">
    <cfRule type="cellIs" dxfId="64" priority="26" operator="equal">
      <formula>"估毛利年減"</formula>
    </cfRule>
    <cfRule type="cellIs" dxfId="63" priority="25" operator="equal">
      <formula>"估毛利年增"</formula>
    </cfRule>
  </conditionalFormatting>
  <conditionalFormatting sqref="E5">
    <cfRule type="cellIs" dxfId="62" priority="18" operator="equal">
      <formula>"估本益比河流下滑"</formula>
    </cfRule>
    <cfRule type="cellIs" dxfId="61" priority="17" operator="equal">
      <formula>"估本益比河流上升"</formula>
    </cfRule>
  </conditionalFormatting>
  <conditionalFormatting sqref="E6">
    <cfRule type="cellIs" dxfId="60" priority="19" operator="equal">
      <formula>"累積年增率&gt;0"</formula>
    </cfRule>
    <cfRule type="cellIs" dxfId="59" priority="20" operator="equal">
      <formula>"累積年增率&lt;0"</formula>
    </cfRule>
  </conditionalFormatting>
  <conditionalFormatting sqref="E25">
    <cfRule type="colorScale" priority="2">
      <colorScale>
        <cfvo type="min"/>
        <cfvo type="max"/>
        <color rgb="FF57BB8A"/>
        <color rgb="FFFFFFFF"/>
      </colorScale>
    </cfRule>
  </conditionalFormatting>
  <conditionalFormatting sqref="E42">
    <cfRule type="expression" dxfId="58" priority="3">
      <formula>E42&gt;C42</formula>
    </cfRule>
    <cfRule type="expression" dxfId="57" priority="33">
      <formula>E42&lt;C42</formula>
    </cfRule>
  </conditionalFormatting>
  <conditionalFormatting sqref="E67:E116">
    <cfRule type="colorScale" priority="10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F5:F6">
    <cfRule type="containsText" dxfId="56" priority="9" operator="containsText" text="擴大">
      <formula>NOT(ISERROR(SEARCH(("擴大"),(F5))))</formula>
    </cfRule>
    <cfRule type="containsText" dxfId="55" priority="8" operator="containsText" text="收斂">
      <formula>NOT(ISERROR(SEARCH(("收斂"),(F5))))</formula>
    </cfRule>
  </conditionalFormatting>
  <conditionalFormatting sqref="F6">
    <cfRule type="cellIs" dxfId="54" priority="22" operator="equal">
      <formula>"估本益比上升"</formula>
    </cfRule>
    <cfRule type="cellIs" dxfId="53" priority="21" operator="equal">
      <formula>"估本益比下降"</formula>
    </cfRule>
  </conditionalFormatting>
  <conditionalFormatting sqref="F35 F45">
    <cfRule type="colorScale" priority="44">
      <colorScale>
        <cfvo type="min"/>
        <cfvo type="percentile" val="50"/>
        <cfvo type="max"/>
        <color rgb="FF57BB8A"/>
        <color rgb="FFFFFFFF"/>
        <color rgb="FFE67C73"/>
      </colorScale>
    </cfRule>
    <cfRule type="cellIs" dxfId="52" priority="43" operator="equal">
      <formula>0</formula>
    </cfRule>
  </conditionalFormatting>
  <conditionalFormatting sqref="F41:F42">
    <cfRule type="containsText" dxfId="51" priority="36" operator="containsText" text="衰退">
      <formula>NOT(ISERROR(SEARCH(("衰退"),(F41))))</formula>
    </cfRule>
    <cfRule type="containsText" dxfId="50" priority="37" operator="containsText" text="成長">
      <formula>NOT(ISERROR(SEARCH(("成長"),(F41))))</formula>
    </cfRule>
  </conditionalFormatting>
  <conditionalFormatting sqref="G45">
    <cfRule type="expression" dxfId="49" priority="34">
      <formula>G45&lt;G35</formula>
    </cfRule>
    <cfRule type="expression" dxfId="48" priority="35">
      <formula>G45&gt;G35</formula>
    </cfRule>
  </conditionalFormatting>
  <conditionalFormatting sqref="H12">
    <cfRule type="expression" dxfId="47" priority="1">
      <formula>sum</formula>
    </cfRule>
  </conditionalFormatting>
  <conditionalFormatting sqref="H38 J38">
    <cfRule type="cellIs" dxfId="46" priority="41" operator="lessThan">
      <formula>0</formula>
    </cfRule>
    <cfRule type="cellIs" dxfId="45" priority="40" operator="greaterThan">
      <formula>0</formula>
    </cfRule>
  </conditionalFormatting>
  <conditionalFormatting sqref="H67:H116">
    <cfRule type="colorScale" priority="1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33">
    <cfRule type="cellIs" dxfId="44" priority="15" operator="greaterThan">
      <formula>0</formula>
    </cfRule>
  </conditionalFormatting>
  <conditionalFormatting sqref="I43">
    <cfRule type="cellIs" dxfId="43" priority="16" operator="greaterThan">
      <formula>0</formula>
    </cfRule>
  </conditionalFormatting>
  <conditionalFormatting sqref="I45">
    <cfRule type="cellIs" dxfId="42" priority="57" operator="greaterThan">
      <formula>0</formula>
    </cfRule>
    <cfRule type="cellIs" dxfId="41" priority="58" operator="lessThan">
      <formula>0</formula>
    </cfRule>
  </conditionalFormatting>
  <conditionalFormatting sqref="I47">
    <cfRule type="cellIs" dxfId="40" priority="60" operator="lessThan">
      <formula>0</formula>
    </cfRule>
    <cfRule type="cellIs" dxfId="39" priority="59" operator="greaterThan">
      <formula>0</formula>
    </cfRule>
  </conditionalFormatting>
  <conditionalFormatting sqref="K67:K116">
    <cfRule type="colorScale" priority="1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R69:R78">
    <cfRule type="cellIs" dxfId="38" priority="45" operator="equal">
      <formula>0</formula>
    </cfRule>
    <cfRule type="colorScale" priority="4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V71:V79">
    <cfRule type="colorScale" priority="5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ataValidations disablePrompts="1" count="8">
    <dataValidation type="list" allowBlank="1" showErrorMessage="1" sqref="C16" xr:uid="{00000000-0002-0000-0000-000000000000}">
      <formula1>"近1季營業費,平均4季營業費"</formula1>
    </dataValidation>
    <dataValidation type="list" allowBlank="1" showErrorMessage="1" sqref="F20" xr:uid="{00000000-0002-0000-0000-000001000000}">
      <formula1>"預估稅後淨利(上季),預估稅後淨利(季均)"</formula1>
    </dataValidation>
    <dataValidation type="list" allowBlank="1" showErrorMessage="1" sqref="A28" xr:uid="{00000000-0002-0000-0000-000002000000}">
      <formula1>"平均配息率,近一季配息率"</formula1>
    </dataValidation>
    <dataValidation type="list" allowBlank="1" showErrorMessage="1" sqref="H37" xr:uid="{00000000-0002-0000-0000-000003000000}">
      <formula1>"近1年盈餘成長率,預估盈餘成長率,近3年盈餘成長率,近4年盈餘成長率"</formula1>
    </dataValidation>
    <dataValidation type="list" allowBlank="1" sqref="B8" xr:uid="{00000000-0002-0000-0000-000004000000}">
      <formula1>"近1個月營收(積極),近3個月營收(保守),近12個月營收"</formula1>
    </dataValidation>
    <dataValidation type="list" allowBlank="1" sqref="C12" xr:uid="{00000000-0002-0000-0000-000005000000}">
      <formula1>"近1季毛利率,平均4季毛利率"</formula1>
    </dataValidation>
    <dataValidation type="list" allowBlank="1" sqref="C20" xr:uid="{00000000-0002-0000-0000-000006000000}">
      <formula1>"業外收支(預設),業外收支(季均)"</formula1>
    </dataValidation>
    <dataValidation type="list" allowBlank="1" sqref="E24" xr:uid="{00000000-0002-0000-0000-000007000000}">
      <formula1>"預估季EPS,減資後季EPS"</formula1>
    </dataValidation>
  </dataValidations>
  <hyperlinks>
    <hyperlink ref="C49" r:id="rId1" tooltip="https://www.google.com/search?q=台積電&amp;client=firefox-b-d&amp;sca_esv=dcb7b8806130e33c&amp;tbas=0&amp;tbm=nws&amp;sxsrf=ADLYWIJsZ5Y5_2HGQdJ_-50nFMBIDFpXeQ:1721360623952&amp;source=lnt&amp;tbs=sbd:1&amp;sa=X&amp;ved=2ahUKEwiWoZWEmLKHAxX5a_UHHSD7DBkQpwV6BAgCEBo&amp;biw=1920&amp;bih=927&amp;dpr=1" xr:uid="{AB889536-926E-4A2B-86D8-A968F90573A3}"/>
    <hyperlink ref="C50" r:id="rId2" tooltip="https://www.tsmc.com" xr:uid="{9C583EE0-AA12-44FA-8DCA-53B0B671ECF6}"/>
    <hyperlink ref="F49" r:id="rId3" tooltip="https://www.cmoney.tw/finance/f00032.aspx?s=2330" xr:uid="{485FBDE9-AFDB-4EA6-A7B2-13F06C23DE42}"/>
    <hyperlink ref="F50" r:id="rId4" tooltip="https://goodinfo.tw/tw/ShowK_ChartFlow.asp?RPT_CAT=PER&amp;STOCK_ID=2330&amp;CHT_CAT=WEEK" xr:uid="{8FF5FBD5-919E-4456-97FD-29447BD6C1E7}"/>
    <hyperlink ref="I49" r:id="rId5" tooltip="https://fubon-ebrokerdj.fbs.com.tw/z/zc/zcp/zcpa/zcpa_2330.djhtm" xr:uid="{9CC4FCBD-94E6-45F8-ACFE-7B193DA1329B}"/>
  </hyperlinks>
  <pageMargins left="0.7" right="0.7" top="0.75" bottom="0.75" header="0.3" footer="0.3"/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ADB"/>
    <outlinePr summaryBelow="0" summaryRight="0"/>
  </sheetPr>
  <dimension ref="A1:L68"/>
  <sheetViews>
    <sheetView workbookViewId="0">
      <selection activeCell="C16" sqref="C16"/>
    </sheetView>
  </sheetViews>
  <sheetFormatPr defaultColWidth="12.6328125" defaultRowHeight="15.75" customHeight="1"/>
  <cols>
    <col min="1" max="8" width="20.90625" customWidth="1"/>
  </cols>
  <sheetData>
    <row r="1" spans="1:12" ht="15.75" customHeight="1">
      <c r="A1" s="3" t="str">
        <f ca="1">IFERROR(__xludf.DUMMYFUNCTION("IMPORTHTML(SUBSTITUTE(""https://fubon-ebrokerdj.fbs.com.tw/z/zc/zca/zca_股票代碼.djhtm"", ""股票代碼"",'股價預估'!E1),""table"",0)"),"台積電 (2330)  基本資料   
最近交易日:08/14   市值單位:百萬")</f>
        <v>台積電 (2330)  基本資料   
最近交易日:08/14   市值單位:百萬</v>
      </c>
      <c r="B1" s="4"/>
      <c r="C1" s="4"/>
      <c r="D1" s="4"/>
      <c r="E1" s="4"/>
      <c r="F1" s="4"/>
      <c r="G1" s="4"/>
      <c r="H1" s="4"/>
    </row>
    <row r="2" spans="1:12" ht="15.75" customHeight="1">
      <c r="A2" s="4" t="str">
        <f ca="1">IFERROR(__xludf.DUMMYFUNCTION("""COMPUTED_VALUE"""),"開盤價")</f>
        <v>開盤價</v>
      </c>
      <c r="B2" s="4">
        <f ca="1">IFERROR(__xludf.DUMMYFUNCTION("""COMPUTED_VALUE"""),2435)</f>
        <v>2435</v>
      </c>
      <c r="C2" s="4" t="str">
        <f ca="1">IFERROR(__xludf.DUMMYFUNCTION("""COMPUTED_VALUE"""),"最高價")</f>
        <v>最高價</v>
      </c>
      <c r="D2" s="4">
        <f ca="1">IFERROR(__xludf.DUMMYFUNCTION("""COMPUTED_VALUE"""),2440)</f>
        <v>2440</v>
      </c>
      <c r="E2" s="4" t="str">
        <f ca="1">IFERROR(__xludf.DUMMYFUNCTION("""COMPUTED_VALUE"""),"最低價")</f>
        <v>最低價</v>
      </c>
      <c r="F2" s="4">
        <f ca="1">IFERROR(__xludf.DUMMYFUNCTION("""COMPUTED_VALUE"""),2395)</f>
        <v>2395</v>
      </c>
      <c r="G2" s="4" t="str">
        <f ca="1">IFERROR(__xludf.DUMMYFUNCTION("""COMPUTED_VALUE"""),"收盤價")</f>
        <v>收盤價</v>
      </c>
      <c r="H2" s="4">
        <f ca="1">IFERROR(__xludf.DUMMYFUNCTION("""COMPUTED_VALUE"""),2395)</f>
        <v>2395</v>
      </c>
      <c r="J2" s="18" t="s">
        <v>58</v>
      </c>
      <c r="K2" s="19" t="s">
        <v>59</v>
      </c>
      <c r="L2" s="20" t="s">
        <v>60</v>
      </c>
    </row>
    <row r="3" spans="1:12" ht="15.75" customHeight="1">
      <c r="A3" s="4" t="str">
        <f ca="1">IFERROR(__xludf.DUMMYFUNCTION("""COMPUTED_VALUE"""),"漲跌")</f>
        <v>漲跌</v>
      </c>
      <c r="B3" s="30">
        <f ca="1">IFERROR(__xludf.DUMMYFUNCTION("""COMPUTED_VALUE"""),-40)</f>
        <v>-40</v>
      </c>
      <c r="C3" s="4" t="str">
        <f ca="1">IFERROR(__xludf.DUMMYFUNCTION("""COMPUTED_VALUE"""),"一年內最高價")</f>
        <v>一年內最高價</v>
      </c>
      <c r="D3" s="4">
        <f ca="1">IFERROR(__xludf.DUMMYFUNCTION("""COMPUTED_VALUE"""),2535)</f>
        <v>2535</v>
      </c>
      <c r="E3" s="4" t="str">
        <f ca="1">IFERROR(__xludf.DUMMYFUNCTION("""COMPUTED_VALUE"""),"一年內最低價")</f>
        <v>一年內最低價</v>
      </c>
      <c r="F3" s="4">
        <f ca="1">IFERROR(__xludf.DUMMYFUNCTION("""COMPUTED_VALUE"""),1135)</f>
        <v>1135</v>
      </c>
      <c r="G3" s="4"/>
      <c r="H3" s="4"/>
      <c r="J3" s="32" t="s">
        <v>61</v>
      </c>
      <c r="K3" s="33">
        <f ca="1">DATE(YEAR(TODAY()),5,15)</f>
        <v>46157</v>
      </c>
      <c r="L3" s="34" t="str">
        <f t="shared" ref="L3:L4" ca="1" si="0">IF(NETWORKDAYS.INTL(TODAY(),K3)&lt;0,"",NETWORKDAYS.INTL(TODAY(),K3))</f>
        <v/>
      </c>
    </row>
    <row r="4" spans="1:12" ht="15.75" customHeight="1">
      <c r="A4" s="4" t="str">
        <f ca="1">IFERROR(__xludf.DUMMYFUNCTION("""COMPUTED_VALUE"""),"本益比")</f>
        <v>本益比</v>
      </c>
      <c r="B4" s="35">
        <f ca="1">IFERROR(__xludf.DUMMYFUNCTION("""COMPUTED_VALUE"""),27.76)</f>
        <v>27.76</v>
      </c>
      <c r="C4" s="4" t="str">
        <f ca="1">IFERROR(__xludf.DUMMYFUNCTION("""COMPUTED_VALUE"""),"一年內最大量")</f>
        <v>一年內最大量</v>
      </c>
      <c r="D4" s="9">
        <f ca="1">IFERROR(__xludf.DUMMYFUNCTION("""COMPUTED_VALUE"""),104784)</f>
        <v>104784</v>
      </c>
      <c r="E4" s="4" t="str">
        <f ca="1">IFERROR(__xludf.DUMMYFUNCTION("""COMPUTED_VALUE"""),"一年內最低量")</f>
        <v>一年內最低量</v>
      </c>
      <c r="F4" s="9">
        <f ca="1">IFERROR(__xludf.DUMMYFUNCTION("""COMPUTED_VALUE"""),13707)</f>
        <v>13707</v>
      </c>
      <c r="G4" s="4" t="str">
        <f ca="1">IFERROR(__xludf.DUMMYFUNCTION("""COMPUTED_VALUE"""),"成交量")</f>
        <v>成交量</v>
      </c>
      <c r="H4" s="36">
        <f ca="1">IFERROR(__xludf.DUMMYFUNCTION("""COMPUTED_VALUE"""),21163)</f>
        <v>21163</v>
      </c>
      <c r="J4" s="32" t="s">
        <v>62</v>
      </c>
      <c r="K4" s="33">
        <f ca="1">DATE(YEAR(TODAY()),8,14)</f>
        <v>46248</v>
      </c>
      <c r="L4" s="34" t="str">
        <f t="shared" ca="1" si="0"/>
        <v/>
      </c>
    </row>
    <row r="5" spans="1:12" ht="15.75" customHeight="1">
      <c r="A5" s="10" t="str">
        <f ca="1">IFERROR(__xludf.DUMMYFUNCTION("""COMPUTED_VALUE"""),"同業平均本益比")</f>
        <v>同業平均本益比</v>
      </c>
      <c r="B5" s="10">
        <f ca="1">IFERROR(__xludf.DUMMYFUNCTION("""COMPUTED_VALUE"""),44.7)</f>
        <v>44.7</v>
      </c>
      <c r="C5" s="37" t="str">
        <f ca="1">IFERROR(__xludf.DUMMYFUNCTION("""COMPUTED_VALUE"""),"一年來最高本益比")</f>
        <v>一年來最高本益比</v>
      </c>
      <c r="D5" s="38">
        <f ca="1">IFERROR(__xludf.DUMMYFUNCTION("""COMPUTED_VALUE"""),34.87)</f>
        <v>34.869999999999997</v>
      </c>
      <c r="E5" s="39" t="str">
        <f ca="1">IFERROR(__xludf.DUMMYFUNCTION("""COMPUTED_VALUE"""),"一年來最低本益比")</f>
        <v>一年來最低本益比</v>
      </c>
      <c r="F5" s="40">
        <f ca="1">IFERROR(__xludf.DUMMYFUNCTION("""COMPUTED_VALUE"""),20.16)</f>
        <v>20.16</v>
      </c>
      <c r="G5" s="4" t="str">
        <f ca="1">IFERROR(__xludf.DUMMYFUNCTION("""COMPUTED_VALUE"""),"盤後量")</f>
        <v>盤後量</v>
      </c>
      <c r="H5" s="9">
        <f ca="1">IFERROR(__xludf.DUMMYFUNCTION("""COMPUTED_VALUE"""),2238)</f>
        <v>2238</v>
      </c>
      <c r="J5" s="32" t="s">
        <v>63</v>
      </c>
      <c r="K5" s="33">
        <f ca="1">DATE(YEAR(TODAY()),11,14)</f>
        <v>46340</v>
      </c>
      <c r="L5" s="34">
        <f t="shared" ref="L5:L6" ca="1" si="1">IF(NETWORKDAYS.INTL(TODAY(),K5)&lt;0,"",NETWORKDAYS.INTL(TODAY(),K5))</f>
        <v>65</v>
      </c>
    </row>
    <row r="6" spans="1:12" ht="15.75" customHeight="1">
      <c r="A6" s="4" t="str">
        <f ca="1">IFERROR(__xludf.DUMMYFUNCTION("""COMPUTED_VALUE"""),"殖利率")</f>
        <v>殖利率</v>
      </c>
      <c r="B6" s="5">
        <f ca="1">IFERROR(__xludf.DUMMYFUNCTION("""COMPUTED_VALUE"""),0.0092)</f>
        <v>9.1999999999999998E-3</v>
      </c>
      <c r="C6" s="4" t="str">
        <f ca="1">IFERROR(__xludf.DUMMYFUNCTION("""COMPUTED_VALUE"""),"總市值")</f>
        <v>總市值</v>
      </c>
      <c r="D6" s="9">
        <f ca="1">IFERROR(__xludf.DUMMYFUNCTION("""COMPUTED_VALUE"""),62108026)</f>
        <v>62108026</v>
      </c>
      <c r="E6" s="4" t="str">
        <f ca="1">IFERROR(__xludf.DUMMYFUNCTION("""COMPUTED_VALUE"""),"85年來最高總市值")</f>
        <v>85年來最高總市值</v>
      </c>
      <c r="F6" s="9">
        <f ca="1">IFERROR(__xludf.DUMMYFUNCTION("""COMPUTED_VALUE"""),65090249)</f>
        <v>65090249</v>
      </c>
      <c r="G6" s="4" t="str">
        <f ca="1">IFERROR(__xludf.DUMMYFUNCTION("""COMPUTED_VALUE"""),"85年來最低總市值")</f>
        <v>85年來最低總市值</v>
      </c>
      <c r="H6" s="9">
        <f ca="1">IFERROR(__xludf.DUMMYFUNCTION("""COMPUTED_VALUE"""),92816)</f>
        <v>92816</v>
      </c>
      <c r="J6" s="32" t="s">
        <v>64</v>
      </c>
      <c r="K6" s="33">
        <f ca="1">IF(MONTH(TODAY())=12,DATE(YEAR(TODAY())+1,3, 31),DATE(YEAR(TODAY()),3, 31))</f>
        <v>46112</v>
      </c>
      <c r="L6" s="34" t="str">
        <f t="shared" ca="1" si="1"/>
        <v/>
      </c>
    </row>
    <row r="7" spans="1:12" ht="15.75" customHeight="1">
      <c r="A7" s="4" t="str">
        <f ca="1">IFERROR(__xludf.DUMMYFUNCTION("""COMPUTED_VALUE"""),"投資報酬率(08/14)")</f>
        <v>投資報酬率(08/14)</v>
      </c>
      <c r="B7" s="4"/>
      <c r="C7" s="4" t="str">
        <f ca="1">IFERROR(__xludf.DUMMYFUNCTION("""COMPUTED_VALUE"""),"財務比例(115.2Q)")</f>
        <v>財務比例(115.2Q)</v>
      </c>
      <c r="D7" s="4"/>
      <c r="E7" s="4" t="str">
        <f ca="1">IFERROR(__xludf.DUMMYFUNCTION("""COMPUTED_VALUE"""),"獲利能力(115.2Q)")</f>
        <v>獲利能力(115.2Q)</v>
      </c>
      <c r="F7" s="4"/>
      <c r="G7" s="4" t="str">
        <f ca="1">IFERROR(__xludf.DUMMYFUNCTION("""COMPUTED_VALUE"""),"投資風險(08/14)")</f>
        <v>投資風險(08/14)</v>
      </c>
      <c r="H7" s="4"/>
      <c r="J7" s="41"/>
      <c r="K7" s="8"/>
      <c r="L7" s="34">
        <f ca="1">MIN(L3:L6)</f>
        <v>65</v>
      </c>
    </row>
    <row r="8" spans="1:12" ht="15.75" customHeight="1">
      <c r="A8" s="4" t="str">
        <f ca="1">IFERROR(__xludf.DUMMYFUNCTION("""COMPUTED_VALUE"""),"今年以來")</f>
        <v>今年以來</v>
      </c>
      <c r="B8" s="5">
        <f ca="1">IFERROR(__xludf.DUMMYFUNCTION("""COMPUTED_VALUE"""),0.5803)</f>
        <v>0.58030000000000004</v>
      </c>
      <c r="C8" s="4" t="str">
        <f ca="1">IFERROR(__xludf.DUMMYFUNCTION("""COMPUTED_VALUE"""),"每股淨值(元)")</f>
        <v>每股淨值(元)</v>
      </c>
      <c r="D8" s="42">
        <f>ROUND(財報健檢!B36,2)</f>
        <v>249.67</v>
      </c>
      <c r="E8" s="4" t="str">
        <f ca="1">IFERROR(__xludf.DUMMYFUNCTION("""COMPUTED_VALUE"""),"營業毛利率")</f>
        <v>營業毛利率</v>
      </c>
      <c r="F8" s="5">
        <f ca="1">IFERROR(__xludf.DUMMYFUNCTION("""COMPUTED_VALUE"""),0.6772)</f>
        <v>0.67720000000000002</v>
      </c>
      <c r="G8" s="4" t="str">
        <f ca="1">IFERROR(__xludf.DUMMYFUNCTION("""COMPUTED_VALUE"""),"貝他值")</f>
        <v>貝他值</v>
      </c>
      <c r="H8" s="16">
        <f ca="1">IFERROR(__xludf.DUMMYFUNCTION("""COMPUTED_VALUE"""),1.1)</f>
        <v>1.1000000000000001</v>
      </c>
      <c r="J8" s="43" t="s">
        <v>65</v>
      </c>
      <c r="K8" s="44">
        <f ca="1">IF(MONTH(TODAY())=12,IF(DAY(TODAY())&gt;10,DATE(YEAR(TODAY())+1, 1, 10),DATE(YEAR(TODAY()), 12, 10)),IF(DAY(TODAY())&lt;10, DATE(YEAR(TODAY()), MONTH(TODAY()), 10),DATE(YEAR(TODAY()), MONTH(TODAY())+1, 10)))</f>
        <v>46275</v>
      </c>
      <c r="L8" s="45">
        <f ca="1">IF(MONTH(TODAY())=12,IF(DAY(TODAY())&gt;10,NETWORKDAYS.INTL(TODAY(), DATE(YEAR(TODAY())+1, 1, 10)),NETWORKDAYS.INTL(TODAY(), DATE(YEAR(TODAY()), 12, 10))),IF(DAY(TODAY())&lt;10,NETWORKDAYS.INTL(TODAY(), DATE(YEAR(TODAY()), MONTH(TODAY()), 10)),NETWORKDAYS.INTL(TODAY(), DATE(YEAR(TODAY()), MONTH(TODAY())+1, 10))))</f>
        <v>19</v>
      </c>
    </row>
    <row r="9" spans="1:12" ht="15.75" customHeight="1">
      <c r="A9" s="4" t="str">
        <f ca="1">IFERROR(__xludf.DUMMYFUNCTION("""COMPUTED_VALUE"""),"最近一週")</f>
        <v>最近一週</v>
      </c>
      <c r="B9" s="5">
        <f ca="1">IFERROR(__xludf.DUMMYFUNCTION("""COMPUTED_VALUE"""),0.0274)</f>
        <v>2.7400000000000001E-2</v>
      </c>
      <c r="C9" s="4" t="str">
        <f ca="1">IFERROR(__xludf.DUMMYFUNCTION("""COMPUTED_VALUE"""),"每人營收(仟元)")</f>
        <v>每人營收(仟元)</v>
      </c>
      <c r="D9" s="11">
        <f ca="1">IFERROR(__xludf.DUMMYFUNCTION("""COMPUTED_VALUE"""),13906)</f>
        <v>13906</v>
      </c>
      <c r="E9" s="4" t="str">
        <f ca="1">IFERROR(__xludf.DUMMYFUNCTION("""COMPUTED_VALUE"""),"營業利益率")</f>
        <v>營業利益率</v>
      </c>
      <c r="F9" s="5">
        <f ca="1">IFERROR(__xludf.DUMMYFUNCTION("""COMPUTED_VALUE"""),0.6034)</f>
        <v>0.60340000000000005</v>
      </c>
      <c r="G9" s="4" t="str">
        <f ca="1">IFERROR(__xludf.DUMMYFUNCTION("""COMPUTED_VALUE"""),"標準差")</f>
        <v>標準差</v>
      </c>
      <c r="H9" s="31">
        <f ca="1">IFERROR(__xludf.DUMMYFUNCTION("""COMPUTED_VALUE"""),0.0208)</f>
        <v>2.0799999999999999E-2</v>
      </c>
    </row>
    <row r="10" spans="1:12" ht="15.75" customHeight="1">
      <c r="A10" s="4" t="str">
        <f ca="1">IFERROR(__xludf.DUMMYFUNCTION("""COMPUTED_VALUE"""),"最近一個月")</f>
        <v>最近一個月</v>
      </c>
      <c r="B10" s="5">
        <f ca="1">IFERROR(__xludf.DUMMYFUNCTION("""COMPUTED_VALUE"""),0.0062)</f>
        <v>6.1999999999999998E-3</v>
      </c>
      <c r="C10" s="4" t="str">
        <f ca="1">IFERROR(__xludf.DUMMYFUNCTION("""COMPUTED_VALUE"""),"每股營收(元)")</f>
        <v>每股營收(元)</v>
      </c>
      <c r="D10" s="4">
        <f ca="1">IFERROR(__xludf.DUMMYFUNCTION("""COMPUTED_VALUE"""),48.99)</f>
        <v>48.99</v>
      </c>
      <c r="E10" s="4" t="str">
        <f ca="1">IFERROR(__xludf.DUMMYFUNCTION("""COMPUTED_VALUE"""),"稅前淨利率")</f>
        <v>稅前淨利率</v>
      </c>
      <c r="F10" s="5">
        <f ca="1">IFERROR(__xludf.DUMMYFUNCTION("""COMPUTED_VALUE"""),0.6789)</f>
        <v>0.67889999999999995</v>
      </c>
      <c r="G10" s="4"/>
      <c r="H10" s="4"/>
    </row>
    <row r="11" spans="1:12" ht="15.75" customHeight="1">
      <c r="A11" s="4" t="str">
        <f ca="1">IFERROR(__xludf.DUMMYFUNCTION("""COMPUTED_VALUE"""),"最近二個月")</f>
        <v>最近二個月</v>
      </c>
      <c r="B11" s="5">
        <f ca="1">IFERROR(__xludf.DUMMYFUNCTION("""COMPUTED_VALUE"""),0.0541)</f>
        <v>5.4100000000000002E-2</v>
      </c>
      <c r="C11" s="4" t="str">
        <f ca="1">IFERROR(__xludf.DUMMYFUNCTION("""COMPUTED_VALUE"""),"負債比例")</f>
        <v>負債比例</v>
      </c>
      <c r="D11" s="5">
        <f ca="1">IFERROR(__xludf.DUMMYFUNCTION("""COMPUTED_VALUE"""),0.3094)</f>
        <v>0.30940000000000001</v>
      </c>
      <c r="E11" s="4" t="str">
        <f ca="1">IFERROR(__xludf.DUMMYFUNCTION("""COMPUTED_VALUE"""),"資產報酬率")</f>
        <v>資產報酬率</v>
      </c>
      <c r="F11" s="5">
        <f ca="1">IFERROR(__xludf.DUMMYFUNCTION("""COMPUTED_VALUE"""),0.0786)</f>
        <v>7.8600000000000003E-2</v>
      </c>
      <c r="G11" s="4"/>
      <c r="H11" s="4"/>
    </row>
    <row r="12" spans="1:12" ht="15.75" customHeight="1">
      <c r="A12" s="4" t="str">
        <f ca="1">IFERROR(__xludf.DUMMYFUNCTION("""COMPUTED_VALUE"""),"最近三個月")</f>
        <v>最近三個月</v>
      </c>
      <c r="B12" s="5">
        <f ca="1">IFERROR(__xludf.DUMMYFUNCTION("""COMPUTED_VALUE"""),0.0755)</f>
        <v>7.5499999999999998E-2</v>
      </c>
      <c r="C12" s="4" t="str">
        <f ca="1">IFERROR(__xludf.DUMMYFUNCTION("""COMPUTED_VALUE"""),"股價淨值比")</f>
        <v>股價淨值比</v>
      </c>
      <c r="D12" s="16">
        <f ca="1">ROUND(財報健檢!B37,2)</f>
        <v>9.59</v>
      </c>
      <c r="E12" s="4" t="str">
        <f ca="1">IFERROR(__xludf.DUMMYFUNCTION("""COMPUTED_VALUE"""),"股東權益報酬率")</f>
        <v>股東權益報酬率</v>
      </c>
      <c r="F12" s="5">
        <f ca="1">IFERROR(__xludf.DUMMYFUNCTION("""COMPUTED_VALUE"""),0.1139)</f>
        <v>0.1139</v>
      </c>
      <c r="G12" s="4"/>
      <c r="H12" s="4"/>
    </row>
    <row r="13" spans="1:12" ht="15.75" customHeight="1">
      <c r="A13" s="4" t="str">
        <f ca="1">IFERROR(__xludf.DUMMYFUNCTION("""COMPUTED_VALUE"""),"基本資料")</f>
        <v>基本資料</v>
      </c>
      <c r="B13" s="4"/>
      <c r="C13" s="4" t="str">
        <f ca="1">IFERROR(__xludf.DUMMYFUNCTION("""COMPUTED_VALUE"""),"配股配息(115[累計至 第二季])")</f>
        <v>配股配息(115[累計至 第二季])</v>
      </c>
      <c r="D13" s="4"/>
      <c r="E13" s="4"/>
      <c r="F13" s="4"/>
      <c r="G13" s="4"/>
      <c r="H13" s="4"/>
    </row>
    <row r="14" spans="1:12" ht="15.75" customHeight="1">
      <c r="A14" s="4" t="str">
        <f ca="1">IFERROR(__xludf.DUMMYFUNCTION("""COMPUTED_VALUE"""),"股本(億, 台幣)")</f>
        <v>股本(億, 台幣)</v>
      </c>
      <c r="B14" s="11">
        <f ca="1">IFERROR(__xludf.DUMMYFUNCTION("""COMPUTED_VALUE"""),2593.24)</f>
        <v>2593.2399999999998</v>
      </c>
      <c r="C14" s="4" t="str">
        <f ca="1">IFERROR(__xludf.DUMMYFUNCTION("""COMPUTED_VALUE"""),"現金股利(元)")</f>
        <v>現金股利(元)</v>
      </c>
      <c r="D14" s="4">
        <f ca="1">IFERROR(__xludf.DUMMYFUNCTION("""COMPUTED_VALUE"""),14)</f>
        <v>14</v>
      </c>
      <c r="E14" s="4"/>
      <c r="F14" s="4"/>
      <c r="G14" s="4"/>
      <c r="H14" s="4"/>
      <c r="K14" s="8"/>
      <c r="L14" s="8"/>
    </row>
    <row r="15" spans="1:12" ht="15.75" customHeight="1">
      <c r="A15" s="4" t="str">
        <f ca="1">IFERROR(__xludf.DUMMYFUNCTION("""COMPUTED_VALUE"""),"成立時間")</f>
        <v>成立時間</v>
      </c>
      <c r="B15" s="46">
        <f ca="1">IFERROR(__xludf.DUMMYFUNCTION("""COMPUTED_VALUE"""),27811)</f>
        <v>27811</v>
      </c>
      <c r="C15" s="4" t="str">
        <f ca="1">IFERROR(__xludf.DUMMYFUNCTION("""COMPUTED_VALUE"""),"股票股利")</f>
        <v>股票股利</v>
      </c>
      <c r="D15" s="4">
        <f ca="1">IFERROR(__xludf.DUMMYFUNCTION("""COMPUTED_VALUE"""),0)</f>
        <v>0</v>
      </c>
      <c r="E15" s="4"/>
      <c r="F15" s="4"/>
      <c r="G15" s="4"/>
      <c r="H15" s="4"/>
    </row>
    <row r="16" spans="1:12" ht="15.75" customHeight="1">
      <c r="A16" s="4" t="str">
        <f ca="1">IFERROR(__xludf.DUMMYFUNCTION("""COMPUTED_VALUE"""),"初次上市(櫃)日期")</f>
        <v>初次上市(櫃)日期</v>
      </c>
      <c r="B16" s="46">
        <f ca="1">IFERROR(__xludf.DUMMYFUNCTION("""COMPUTED_VALUE"""),30564)</f>
        <v>30564</v>
      </c>
      <c r="C16" s="4" t="str">
        <f ca="1">IFERROR(__xludf.DUMMYFUNCTION("""COMPUTED_VALUE"""),"盈餘配股")</f>
        <v>盈餘配股</v>
      </c>
      <c r="D16" s="4">
        <f ca="1">IFERROR(__xludf.DUMMYFUNCTION("""COMPUTED_VALUE"""),0)</f>
        <v>0</v>
      </c>
      <c r="E16" s="4"/>
      <c r="F16" s="4"/>
      <c r="G16" s="4"/>
      <c r="H16" s="4"/>
    </row>
    <row r="17" spans="1:8" ht="15.75" customHeight="1">
      <c r="A17" s="4" t="str">
        <f ca="1">IFERROR(__xludf.DUMMYFUNCTION("""COMPUTED_VALUE"""),"股務代理")</f>
        <v>股務代理</v>
      </c>
      <c r="B17" s="4" t="str">
        <f ca="1">IFERROR(__xludf.DUMMYFUNCTION("""COMPUTED_VALUE"""),"中信託
02-66365566")</f>
        <v>中信託
02-66365566</v>
      </c>
      <c r="C17" s="4" t="str">
        <f ca="1">IFERROR(__xludf.DUMMYFUNCTION("""COMPUTED_VALUE"""),"公積配股")</f>
        <v>公積配股</v>
      </c>
      <c r="D17" s="4">
        <f ca="1">IFERROR(__xludf.DUMMYFUNCTION("""COMPUTED_VALUE"""),0)</f>
        <v>0</v>
      </c>
      <c r="E17" s="4"/>
      <c r="F17" s="4"/>
      <c r="G17" s="4"/>
      <c r="H17" s="4"/>
    </row>
    <row r="18" spans="1:8" ht="15.75" customHeight="1">
      <c r="A18" s="4" t="str">
        <f ca="1">IFERROR(__xludf.DUMMYFUNCTION("""COMPUTED_VALUE"""),"董事長")</f>
        <v>董事長</v>
      </c>
      <c r="B18" s="4" t="str">
        <f ca="1">IFERROR(__xludf.DUMMYFUNCTION("""COMPUTED_VALUE"""),"魏哲家")</f>
        <v>魏哲家</v>
      </c>
      <c r="C18" s="4"/>
      <c r="D18" s="4"/>
      <c r="E18" s="4"/>
      <c r="F18" s="4"/>
      <c r="G18" s="4"/>
      <c r="H18" s="4"/>
    </row>
    <row r="19" spans="1:8" ht="15.75" customHeight="1">
      <c r="A19" s="4" t="str">
        <f ca="1">IFERROR(__xludf.DUMMYFUNCTION("""COMPUTED_VALUE"""),"總經理")</f>
        <v>總經理</v>
      </c>
      <c r="B19" s="4" t="str">
        <f ca="1">IFERROR(__xludf.DUMMYFUNCTION("""COMPUTED_VALUE"""),"魏哲家")</f>
        <v>魏哲家</v>
      </c>
      <c r="C19" s="4"/>
      <c r="D19" s="4"/>
      <c r="E19" s="4"/>
      <c r="F19" s="4"/>
      <c r="G19" s="4"/>
      <c r="H19" s="4"/>
    </row>
    <row r="20" spans="1:8" ht="15.75" customHeight="1">
      <c r="A20" s="4" t="str">
        <f ca="1">IFERROR(__xludf.DUMMYFUNCTION("""COMPUTED_VALUE"""),"發言人")</f>
        <v>發言人</v>
      </c>
      <c r="B20" s="4" t="str">
        <f ca="1">IFERROR(__xludf.DUMMYFUNCTION("""COMPUTED_VALUE"""),"黃仁昭")</f>
        <v>黃仁昭</v>
      </c>
      <c r="C20" s="4"/>
      <c r="D20" s="4"/>
      <c r="E20" s="4"/>
      <c r="F20" s="4"/>
      <c r="G20" s="4"/>
      <c r="H20" s="4"/>
    </row>
    <row r="21" spans="1:8" ht="15.75" customHeight="1">
      <c r="A21" s="4" t="str">
        <f ca="1">IFERROR(__xludf.DUMMYFUNCTION("""COMPUTED_VALUE"""),"營收比重")</f>
        <v>營收比重</v>
      </c>
      <c r="B21" s="4" t="str">
        <f ca="1">IFERROR(__xludf.DUMMYFUNCTION("""COMPUTED_VALUE"""),"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
(2025年)")</f>
        <v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
(2025年)</v>
      </c>
      <c r="C21" s="4"/>
      <c r="D21" s="4"/>
      <c r="E21" s="4"/>
      <c r="F21" s="4"/>
      <c r="G21" s="4"/>
      <c r="H21" s="4"/>
    </row>
    <row r="22" spans="1:8" ht="15.75" customHeight="1">
      <c r="A22" s="4" t="str">
        <f ca="1">IFERROR(__xludf.DUMMYFUNCTION("""COMPUTED_VALUE"""),"公司電話")</f>
        <v>公司電話</v>
      </c>
      <c r="B22" s="4" t="str">
        <f ca="1">IFERROR(__xludf.DUMMYFUNCTION("""COMPUTED_VALUE"""),"03-5636688")</f>
        <v>03-5636688</v>
      </c>
      <c r="C22" s="4"/>
      <c r="D22" s="4"/>
      <c r="E22" s="4"/>
      <c r="F22" s="4"/>
      <c r="G22" s="4"/>
      <c r="H22" s="4"/>
    </row>
    <row r="23" spans="1:8" ht="15.75" customHeight="1">
      <c r="A23" s="4" t="str">
        <f ca="1">IFERROR(__xludf.DUMMYFUNCTION("""COMPUTED_VALUE"""),"網址")</f>
        <v>網址</v>
      </c>
      <c r="B23" s="47" t="str">
        <f ca="1">IFERROR(__xludf.DUMMYFUNCTION("""COMPUTED_VALUE"""),"https://www.tsmc.com")</f>
        <v>https://www.tsmc.com</v>
      </c>
      <c r="C23" s="4"/>
      <c r="D23" s="4"/>
      <c r="E23" s="4"/>
      <c r="F23" s="4"/>
      <c r="G23" s="4"/>
      <c r="H23" s="4"/>
    </row>
    <row r="24" spans="1:8" ht="15.75" customHeight="1">
      <c r="A24" s="4" t="str">
        <f ca="1">IFERROR(__xludf.DUMMYFUNCTION("""COMPUTED_VALUE"""),"公司地址")</f>
        <v>公司地址</v>
      </c>
      <c r="B24" s="4" t="str">
        <f ca="1">IFERROR(__xludf.DUMMYFUNCTION("""COMPUTED_VALUE"""),"新竹科學園區力行六路8號")</f>
        <v>新竹科學園區力行六路8號</v>
      </c>
      <c r="C24" s="4"/>
      <c r="D24" s="4"/>
      <c r="E24" s="4"/>
      <c r="F24" s="4"/>
      <c r="G24" s="4"/>
      <c r="H24" s="4"/>
    </row>
    <row r="25" spans="1:8" ht="15.75" customHeight="1">
      <c r="A25" s="4" t="str">
        <f ca="1">IFERROR(__xludf.DUMMYFUNCTION("""COMPUTED_VALUE"""),"[TABLE]")</f>
        <v>[TABLE]</v>
      </c>
      <c r="B25" s="4"/>
      <c r="C25" s="4"/>
      <c r="D25" s="4"/>
      <c r="E25" s="4"/>
      <c r="F25" s="4"/>
      <c r="G25" s="4"/>
      <c r="H25" s="4"/>
    </row>
    <row r="26" spans="1:8" ht="15.75" customHeight="1">
      <c r="A26" s="4" t="str">
        <f ca="1">IFERROR(__xludf.DUMMYFUNCTION("""COMPUTED_VALUE"""),"說明")</f>
        <v>說明</v>
      </c>
      <c r="B26" s="4" t="str">
        <f ca="1">IFERROR(__xludf.DUMMYFUNCTION("""COMPUTED_VALUE"""),"上方""年度""表格中的最高與最低數據是年度內統計(01/01-12/31)資料。
本益比數據由交易所提供。
[TABLE]")</f>
        <v>上方"年度"表格中的最高與最低數據是年度內統計(01/01-12/31)資料。
本益比數據由交易所提供。
[TABLE]</v>
      </c>
      <c r="C26" s="4"/>
      <c r="D26" s="4"/>
      <c r="E26" s="4"/>
      <c r="F26" s="4"/>
      <c r="G26" s="4"/>
      <c r="H26" s="4"/>
    </row>
    <row r="28" spans="1:8" ht="15.75" customHeight="1">
      <c r="A28" s="4" t="str">
        <f ca="1">IFERROR(__xludf.DUMMYFUNCTION("IMPORTHTML(SUBSTITUTE(""https://www.cmoney.tw/forum/stock/股票代碼?s=fund-holdings"", ""股票代碼"",'股價預估'!E1),""table"",0)"),"基金名稱")</f>
        <v>基金名稱</v>
      </c>
      <c r="B28" s="4" t="str">
        <f ca="1">IFERROR(__xludf.DUMMYFUNCTION("""COMPUTED_VALUE"""),"持股張數")</f>
        <v>持股張數</v>
      </c>
      <c r="C28" s="4" t="str">
        <f ca="1">IFERROR(__xludf.DUMMYFUNCTION("""COMPUTED_VALUE"""),"持股金額(仟萬)")</f>
        <v>持股金額(仟萬)</v>
      </c>
      <c r="D28" s="4" t="str">
        <f ca="1">IFERROR(__xludf.DUMMYFUNCTION("""COMPUTED_VALUE"""),"持股比例")</f>
        <v>持股比例</v>
      </c>
      <c r="E28" s="4" t="str">
        <f ca="1">IFERROR(__xludf.DUMMYFUNCTION("""COMPUTED_VALUE"""),"月持股比例增減")</f>
        <v>月持股比例增減</v>
      </c>
      <c r="G28" s="48"/>
    </row>
    <row r="29" spans="1:8" ht="15.75" customHeight="1">
      <c r="A29" s="49" t="str">
        <f ca="1">IFERROR(__xludf.DUMMYFUNCTION("""COMPUTED_VALUE"""),"ETF0052
富邦台灣科技指數基金")</f>
        <v>ETF0052
富邦台灣科技指數基金</v>
      </c>
      <c r="B29" s="9">
        <f ca="1">IFERROR(__xludf.DUMMYFUNCTION("""COMPUTED_VALUE"""),42376)</f>
        <v>42376</v>
      </c>
      <c r="C29" s="4">
        <f ca="1">IFERROR(__xludf.DUMMYFUNCTION("""COMPUTED_VALUE"""),10212.62)</f>
        <v>10212.620000000001</v>
      </c>
      <c r="D29" s="5">
        <f ca="1">IFERROR(__xludf.DUMMYFUNCTION("""COMPUTED_VALUE"""),0.6341)</f>
        <v>0.6341</v>
      </c>
      <c r="E29" s="5">
        <f ca="1">IFERROR(__xludf.DUMMYFUNCTION("""COMPUTED_VALUE"""),-0.0065)</f>
        <v>-6.4999999999999997E-3</v>
      </c>
      <c r="H29" s="48" t="str">
        <f ca="1">COUNTA(A29:A75)&amp;"檔ETF持股"</f>
        <v>10檔ETF持股</v>
      </c>
    </row>
    <row r="30" spans="1:8" ht="15.75" customHeight="1">
      <c r="A30" s="49" t="str">
        <f ca="1">IFERROR(__xludf.DUMMYFUNCTION("""COMPUTED_VALUE"""),"ETF006208
富邦台灣釆吉50基金")</f>
        <v>ETF006208
富邦台灣釆吉50基金</v>
      </c>
      <c r="B30" s="9">
        <f ca="1">IFERROR(__xludf.DUMMYFUNCTION("""COMPUTED_VALUE"""),108008)</f>
        <v>108008</v>
      </c>
      <c r="C30" s="4">
        <f ca="1">IFERROR(__xludf.DUMMYFUNCTION("""COMPUTED_VALUE"""),26029.94)</f>
        <v>26029.94</v>
      </c>
      <c r="D30" s="5">
        <f ca="1">IFERROR(__xludf.DUMMYFUNCTION("""COMPUTED_VALUE"""),0.5739)</f>
        <v>0.57389999999999997</v>
      </c>
      <c r="E30" s="5">
        <f ca="1">IFERROR(__xludf.DUMMYFUNCTION("""COMPUTED_VALUE"""),-0.0091)</f>
        <v>-9.1000000000000004E-3</v>
      </c>
    </row>
    <row r="31" spans="1:8" ht="15.75" customHeight="1">
      <c r="A31" s="4" t="str">
        <f ca="1">IFERROR(__xludf.DUMMYFUNCTION("""COMPUTED_VALUE"""),"ETF0050
元大台灣卓越50基金")</f>
        <v>ETF0050
元大台灣卓越50基金</v>
      </c>
      <c r="B31" s="9">
        <f ca="1">IFERROR(__xludf.DUMMYFUNCTION("""COMPUTED_VALUE"""),525991)</f>
        <v>525991</v>
      </c>
      <c r="C31" s="4">
        <f ca="1">IFERROR(__xludf.DUMMYFUNCTION("""COMPUTED_VALUE"""),126763.92)</f>
        <v>126763.92</v>
      </c>
      <c r="D31" s="5">
        <f ca="1">IFERROR(__xludf.DUMMYFUNCTION("""COMPUTED_VALUE"""),0.5737)</f>
        <v>0.57369999999999999</v>
      </c>
      <c r="E31" s="5">
        <f ca="1">IFERROR(__xludf.DUMMYFUNCTION("""COMPUTED_VALUE"""),-0.0091)</f>
        <v>-9.1000000000000004E-3</v>
      </c>
      <c r="H31" s="3"/>
    </row>
    <row r="32" spans="1:8" ht="15.75" customHeight="1">
      <c r="A32" s="4" t="str">
        <f ca="1">IFERROR(__xludf.DUMMYFUNCTION("""COMPUTED_VALUE"""),"ETF00692
富邦臺灣公司治理100基金")</f>
        <v>ETF00692
富邦臺灣公司治理100基金</v>
      </c>
      <c r="B32" s="9">
        <f ca="1">IFERROR(__xludf.DUMMYFUNCTION("""COMPUTED_VALUE"""),13200)</f>
        <v>13200</v>
      </c>
      <c r="C32" s="4">
        <f ca="1">IFERROR(__xludf.DUMMYFUNCTION("""COMPUTED_VALUE"""),3181.22)</f>
        <v>3181.22</v>
      </c>
      <c r="D32" s="5">
        <f ca="1">IFERROR(__xludf.DUMMYFUNCTION("""COMPUTED_VALUE"""),0.5624)</f>
        <v>0.56240000000000001</v>
      </c>
      <c r="E32" s="4" t="str">
        <f ca="1">IFERROR(__xludf.DUMMYFUNCTION("""COMPUTED_VALUE"""),"+0.08%")</f>
        <v>+0.08%</v>
      </c>
    </row>
    <row r="33" spans="1:5" ht="15.75" customHeight="1">
      <c r="A33" s="4" t="str">
        <f ca="1">IFERROR(__xludf.DUMMYFUNCTION("""COMPUTED_VALUE"""),"ETF006203
元大摩臺基金")</f>
        <v>ETF006203
元大摩臺基金</v>
      </c>
      <c r="B33" s="4">
        <f ca="1">IFERROR(__xludf.DUMMYFUNCTION("""COMPUTED_VALUE"""),452)</f>
        <v>452</v>
      </c>
      <c r="C33" s="4">
        <f ca="1">IFERROR(__xludf.DUMMYFUNCTION("""COMPUTED_VALUE"""),109.05)</f>
        <v>109.05</v>
      </c>
      <c r="D33" s="5">
        <f ca="1">IFERROR(__xludf.DUMMYFUNCTION("""COMPUTED_VALUE"""),0.5489)</f>
        <v>0.54890000000000005</v>
      </c>
      <c r="E33" s="5">
        <f ca="1">IFERROR(__xludf.DUMMYFUNCTION("""COMPUTED_VALUE"""),-0.001)</f>
        <v>-1E-3</v>
      </c>
    </row>
    <row r="34" spans="1:5" ht="15.75" customHeight="1">
      <c r="A34" s="4" t="str">
        <f ca="1">IFERROR(__xludf.DUMMYFUNCTION("""COMPUTED_VALUE"""),"ETF0057
富邦台灣ETF傘型基金之富邦台灣摩根指數股票型基金")</f>
        <v>ETF0057
富邦台灣ETF傘型基金之富邦台灣摩根指數股票型基金</v>
      </c>
      <c r="B34" s="4">
        <f ca="1">IFERROR(__xludf.DUMMYFUNCTION("""COMPUTED_VALUE"""),110)</f>
        <v>110</v>
      </c>
      <c r="C34" s="4">
        <f ca="1">IFERROR(__xludf.DUMMYFUNCTION("""COMPUTED_VALUE"""),26.54)</f>
        <v>26.54</v>
      </c>
      <c r="D34" s="5">
        <f ca="1">IFERROR(__xludf.DUMMYFUNCTION("""COMPUTED_VALUE"""),0.5485)</f>
        <v>0.54849999999999999</v>
      </c>
      <c r="E34" s="5">
        <f ca="1">IFERROR(__xludf.DUMMYFUNCTION("""COMPUTED_VALUE"""),-0.0022)</f>
        <v>-2.2000000000000001E-3</v>
      </c>
    </row>
    <row r="35" spans="1:5" ht="15.75" customHeight="1">
      <c r="A35" s="4" t="str">
        <f ca="1">IFERROR(__xludf.DUMMYFUNCTION("""COMPUTED_VALUE"""),"ETF0053
元大台灣電子科技基金")</f>
        <v>ETF0053
元大台灣電子科技基金</v>
      </c>
      <c r="B35" s="4">
        <f ca="1">IFERROR(__xludf.DUMMYFUNCTION("""COMPUTED_VALUE"""),276)</f>
        <v>276</v>
      </c>
      <c r="C35" s="4">
        <f ca="1">IFERROR(__xludf.DUMMYFUNCTION("""COMPUTED_VALUE"""),66.6)</f>
        <v>66.599999999999994</v>
      </c>
      <c r="D35" s="5">
        <f ca="1">IFERROR(__xludf.DUMMYFUNCTION("""COMPUTED_VALUE"""),0.4974)</f>
        <v>0.49740000000000001</v>
      </c>
      <c r="E35" s="4" t="str">
        <f ca="1">IFERROR(__xludf.DUMMYFUNCTION("""COMPUTED_VALUE"""),"+0.27%")</f>
        <v>+0.27%</v>
      </c>
    </row>
    <row r="36" spans="1:5" ht="15.75" customHeight="1">
      <c r="A36" s="4" t="str">
        <f ca="1">IFERROR(__xludf.DUMMYFUNCTION("""COMPUTED_VALUE"""),"ETF009809
富邦台灣淨零轉型ESG50ETF基金")</f>
        <v>ETF009809
富邦台灣淨零轉型ESG50ETF基金</v>
      </c>
      <c r="B36" s="4">
        <f ca="1">IFERROR(__xludf.DUMMYFUNCTION("""COMPUTED_VALUE"""),97)</f>
        <v>97</v>
      </c>
      <c r="C36" s="4">
        <f ca="1">IFERROR(__xludf.DUMMYFUNCTION("""COMPUTED_VALUE"""),23.52)</f>
        <v>23.52</v>
      </c>
      <c r="D36" s="5">
        <f ca="1">IFERROR(__xludf.DUMMYFUNCTION("""COMPUTED_VALUE"""),0.4276)</f>
        <v>0.42759999999999998</v>
      </c>
      <c r="E36" s="4" t="str">
        <f ca="1">IFERROR(__xludf.DUMMYFUNCTION("""COMPUTED_VALUE"""),"+14.21%")</f>
        <v>+14.21%</v>
      </c>
    </row>
    <row r="37" spans="1:5" ht="15.75" customHeight="1">
      <c r="A37" s="4" t="str">
        <f ca="1">IFERROR(__xludf.DUMMYFUNCTION("""COMPUTED_VALUE"""),"ETF00904
台新臺灣全市場半導體精選30ETF基金")</f>
        <v>ETF00904
台新臺灣全市場半導體精選30ETF基金</v>
      </c>
      <c r="B37" s="9">
        <f ca="1">IFERROR(__xludf.DUMMYFUNCTION("""COMPUTED_VALUE"""),1266)</f>
        <v>1266</v>
      </c>
      <c r="C37" s="4">
        <f ca="1">IFERROR(__xludf.DUMMYFUNCTION("""COMPUTED_VALUE"""),305.11)</f>
        <v>305.11</v>
      </c>
      <c r="D37" s="5">
        <f ca="1">IFERROR(__xludf.DUMMYFUNCTION("""COMPUTED_VALUE"""),0.4156)</f>
        <v>0.41560000000000002</v>
      </c>
      <c r="E37" s="4" t="str">
        <f ca="1">IFERROR(__xludf.DUMMYFUNCTION("""COMPUTED_VALUE"""),"+5.40%")</f>
        <v>+5.40%</v>
      </c>
    </row>
    <row r="38" spans="1:5" ht="15.75" customHeight="1">
      <c r="A38" s="4" t="str">
        <f ca="1">IFERROR(__xludf.DUMMYFUNCTION("""COMPUTED_VALUE"""),"ETF009803
玉山臺灣市值動能50ETF基金")</f>
        <v>ETF009803
玉山臺灣市值動能50ETF基金</v>
      </c>
      <c r="B38" s="4">
        <f ca="1">IFERROR(__xludf.DUMMYFUNCTION("""COMPUTED_VALUE"""),618)</f>
        <v>618</v>
      </c>
      <c r="C38" s="4">
        <f ca="1">IFERROR(__xludf.DUMMYFUNCTION("""COMPUTED_VALUE"""),148.94)</f>
        <v>148.94</v>
      </c>
      <c r="D38" s="5">
        <f ca="1">IFERROR(__xludf.DUMMYFUNCTION("""COMPUTED_VALUE"""),0.4114)</f>
        <v>0.41139999999999999</v>
      </c>
      <c r="E38" s="4" t="str">
        <f ca="1">IFERROR(__xludf.DUMMYFUNCTION("""COMPUTED_VALUE"""),"+3.45%")</f>
        <v>+3.45%</v>
      </c>
    </row>
    <row r="39" spans="1:5" ht="15.75" customHeight="1">
      <c r="A39" s="4"/>
    </row>
    <row r="40" spans="1:5" ht="15.75" customHeight="1">
      <c r="A40" s="4"/>
    </row>
    <row r="41" spans="1:5" ht="15.75" customHeight="1">
      <c r="A41" s="4"/>
    </row>
    <row r="42" spans="1:5" ht="15.75" customHeight="1">
      <c r="A42" s="4"/>
    </row>
    <row r="43" spans="1:5" ht="15.75" customHeight="1">
      <c r="A43" s="4"/>
    </row>
    <row r="44" spans="1:5" ht="15.75" customHeight="1">
      <c r="A44" s="4"/>
    </row>
    <row r="45" spans="1:5" ht="15.75" customHeight="1">
      <c r="A45" s="4"/>
    </row>
    <row r="46" spans="1:5" ht="15.75" customHeight="1">
      <c r="A46" s="4"/>
    </row>
    <row r="47" spans="1:5" ht="15.75" customHeight="1">
      <c r="A47" s="4"/>
    </row>
    <row r="48" spans="1:5" ht="15.75" customHeight="1">
      <c r="A48" s="4"/>
    </row>
    <row r="49" spans="1:1" ht="15.75" customHeight="1">
      <c r="A49" s="4"/>
    </row>
    <row r="50" spans="1:1" ht="15.75" customHeight="1">
      <c r="A50" s="4"/>
    </row>
    <row r="51" spans="1:1" ht="15.75" customHeight="1">
      <c r="A51" s="4"/>
    </row>
    <row r="52" spans="1:1" ht="15.75" customHeight="1">
      <c r="A52" s="4"/>
    </row>
    <row r="53" spans="1:1" ht="15.75" customHeight="1">
      <c r="A53" s="4"/>
    </row>
    <row r="54" spans="1:1" ht="15.75" customHeight="1">
      <c r="A54" s="4"/>
    </row>
    <row r="55" spans="1:1" ht="15.75" customHeight="1">
      <c r="A55" s="4"/>
    </row>
    <row r="56" spans="1:1" ht="12.5">
      <c r="A56" s="4"/>
    </row>
    <row r="57" spans="1:1" ht="12.5">
      <c r="A57" s="4"/>
    </row>
    <row r="58" spans="1:1" ht="12.5">
      <c r="A58" s="4"/>
    </row>
    <row r="59" spans="1:1" ht="12.5">
      <c r="A59" s="4"/>
    </row>
    <row r="60" spans="1:1" ht="12.5">
      <c r="A60" s="4"/>
    </row>
    <row r="61" spans="1:1" ht="12.5">
      <c r="A61" s="4"/>
    </row>
    <row r="62" spans="1:1" ht="12.5">
      <c r="A62" s="4"/>
    </row>
    <row r="63" spans="1:1" ht="12.5">
      <c r="A63" s="4"/>
    </row>
    <row r="64" spans="1:1" ht="12.5">
      <c r="A64" s="4"/>
    </row>
    <row r="65" spans="1:1" ht="12.5">
      <c r="A65" s="4"/>
    </row>
    <row r="66" spans="1:1" ht="12.5">
      <c r="A66" s="4"/>
    </row>
    <row r="67" spans="1:1" ht="12.5">
      <c r="A67" s="4"/>
    </row>
    <row r="68" spans="1:1" ht="12.5">
      <c r="A68" s="4"/>
    </row>
  </sheetData>
  <phoneticPr fontId="43" type="noConversion"/>
  <hyperlinks>
    <hyperlink ref="B23" r:id="rId1" display="https://www.tsmc.com/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outlinePr summaryBelow="0" summaryRight="0"/>
  </sheetPr>
  <dimension ref="A1:AC138"/>
  <sheetViews>
    <sheetView workbookViewId="0">
      <pane ySplit="2" topLeftCell="A3" activePane="bottomLeft" state="frozen"/>
      <selection pane="bottomLeft" activeCell="A32" sqref="A32"/>
    </sheetView>
  </sheetViews>
  <sheetFormatPr defaultColWidth="12.6328125" defaultRowHeight="15.75" customHeight="1"/>
  <cols>
    <col min="1" max="1" width="10.90625" customWidth="1"/>
    <col min="2" max="22" width="16.7265625" customWidth="1"/>
    <col min="23" max="29" width="1.81640625" customWidth="1"/>
  </cols>
  <sheetData>
    <row r="1" spans="1:29" ht="13.5" thickTop="1">
      <c r="A1" s="767" t="str">
        <f ca="1">IFERROR(__xludf.DUMMYFUNCTION("IMPORTHTML(SUBSTITUTE(""https://histock.tw/stock/股票代碼/%E8%B2%A1%E5%8B%99%E5%A0%B1%E8%A1%A8"", ""股票代碼"",'股價預估'!E1),""table"",0)"),"年度/月份")</f>
        <v>年度/月份</v>
      </c>
      <c r="B1" s="769" t="str">
        <f ca="1">IFERROR(__xludf.DUMMYFUNCTION("""COMPUTED_VALUE"""),"營業收入（單位：千元）")</f>
        <v>營業收入（單位：千元）</v>
      </c>
      <c r="C1" s="770"/>
      <c r="D1" s="770"/>
      <c r="E1" s="770"/>
      <c r="F1" s="771" t="str">
        <f ca="1">IFERROR(__xludf.DUMMYFUNCTION("""COMPUTED_VALUE"""),"累計營業收入（單位：千元）")</f>
        <v>累計營業收入（單位：千元）</v>
      </c>
      <c r="G1" s="770"/>
      <c r="H1" s="770"/>
      <c r="I1" s="319" t="str">
        <f ca="1">"★ 單月YOY "&amp;TEXT(E3,"+0.0%;-0.0%")&amp;"　累積YOY "&amp;TEXT(H3,"+0.0%;-0.0%")&amp;"　"&amp;Q3&amp;"　"&amp;V3</f>
        <v>★ 單月YOY +44.7%　累積YOY +37.0%　長短期YOY擴大　長短期營收擴大</v>
      </c>
      <c r="J1" s="302"/>
      <c r="K1" s="302"/>
      <c r="L1" s="302"/>
      <c r="M1" s="302"/>
      <c r="N1" s="302"/>
      <c r="O1" s="302"/>
      <c r="P1" s="302"/>
      <c r="Q1" s="320"/>
      <c r="R1" s="296"/>
      <c r="S1" s="319"/>
      <c r="T1" s="302"/>
      <c r="U1" s="302"/>
      <c r="V1" s="320"/>
    </row>
    <row r="2" spans="1:29" ht="13">
      <c r="A2" s="768"/>
      <c r="B2" s="304" t="str">
        <f ca="1">IFERROR(__xludf.DUMMYFUNCTION("""COMPUTED_VALUE"""),"單月營收")</f>
        <v>單月營收</v>
      </c>
      <c r="C2" s="304" t="str">
        <f ca="1">IFERROR(__xludf.DUMMYFUNCTION("""COMPUTED_VALUE"""),"去年同月營收")</f>
        <v>去年同月營收</v>
      </c>
      <c r="D2" s="304" t="str">
        <f ca="1">IFERROR(__xludf.DUMMYFUNCTION("""COMPUTED_VALUE"""),"單月月增率")</f>
        <v>單月月增率</v>
      </c>
      <c r="E2" s="304" t="str">
        <f ca="1">IFERROR(__xludf.DUMMYFUNCTION("""COMPUTED_VALUE"""),"單月年增率")</f>
        <v>單月年增率</v>
      </c>
      <c r="F2" s="303" t="str">
        <f ca="1">IFERROR(__xludf.DUMMYFUNCTION("""COMPUTED_VALUE"""),"累計營收")</f>
        <v>累計營收</v>
      </c>
      <c r="G2" s="304" t="str">
        <f ca="1">IFERROR(__xludf.DUMMYFUNCTION("""COMPUTED_VALUE"""),"去年累計營收")</f>
        <v>去年累計營收</v>
      </c>
      <c r="H2" s="304" t="str">
        <f ca="1">IFERROR(__xludf.DUMMYFUNCTION("""COMPUTED_VALUE"""),"累積年增率")</f>
        <v>累積年增率</v>
      </c>
      <c r="I2" s="303"/>
      <c r="J2" s="321" t="s">
        <v>48</v>
      </c>
      <c r="K2" s="321" t="s">
        <v>49</v>
      </c>
      <c r="L2" s="321" t="s">
        <v>50</v>
      </c>
      <c r="M2" s="321" t="s">
        <v>51</v>
      </c>
      <c r="N2" s="304" t="s">
        <v>52</v>
      </c>
      <c r="O2" s="304" t="s">
        <v>53</v>
      </c>
      <c r="P2" s="304" t="s">
        <v>54</v>
      </c>
      <c r="Q2" s="305"/>
      <c r="R2" s="297"/>
      <c r="S2" s="303" t="s">
        <v>55</v>
      </c>
      <c r="T2" s="304" t="s">
        <v>56</v>
      </c>
      <c r="U2" s="304" t="s">
        <v>57</v>
      </c>
      <c r="V2" s="305"/>
    </row>
    <row r="3" spans="1:29" ht="12.5">
      <c r="A3" s="306">
        <f ca="1">IFERROR(__xludf.DUMMYFUNCTION("""COMPUTED_VALUE"""),46204)</f>
        <v>46204</v>
      </c>
      <c r="B3" s="307">
        <f ca="1">IFERROR(__xludf.DUMMYFUNCTION("""COMPUTED_VALUE"""),467580544)</f>
        <v>467580544</v>
      </c>
      <c r="C3" s="308">
        <f ca="1">IFERROR(__xludf.DUMMYFUNCTION("""COMPUTED_VALUE"""),323165696)</f>
        <v>323165696</v>
      </c>
      <c r="D3" s="327">
        <f ca="1">IFERROR(__xludf.DUMMYFUNCTION("""COMPUTED_VALUE"""),0.056)</f>
        <v>5.6000000000000001E-2</v>
      </c>
      <c r="E3" s="330">
        <f ca="1">IFERROR(__xludf.DUMMYFUNCTION("""COMPUTED_VALUE"""),0.447)</f>
        <v>0.44700000000000001</v>
      </c>
      <c r="F3" s="316">
        <f ca="1">IFERROR(__xludf.DUMMYFUNCTION("""COMPUTED_VALUE"""),2872064256)</f>
        <v>2872064256</v>
      </c>
      <c r="G3" s="317">
        <f ca="1">IFERROR(__xludf.DUMMYFUNCTION("""COMPUTED_VALUE"""),2096211200)</f>
        <v>2096211200</v>
      </c>
      <c r="H3" s="330">
        <f ca="1">IFERROR(__xludf.DUMMYFUNCTION("""COMPUTED_VALUE"""),0.37)</f>
        <v>0.37</v>
      </c>
      <c r="I3" s="306">
        <f t="shared" ref="I3:I15" ca="1" si="0">A3</f>
        <v>46204</v>
      </c>
      <c r="J3" s="308">
        <f t="shared" ref="J3:J15" ca="1" si="1">IF(ISBLANK(B3),SUM(B91:B93),SUM(B3:B5))</f>
        <v>1327235680</v>
      </c>
      <c r="K3" s="308">
        <f t="shared" ref="K3:K15" ca="1" si="2">IF(ISBLANK(B3),SUM(B103:B105),SUM(B15:B17))</f>
        <v>907390592</v>
      </c>
      <c r="L3" s="328">
        <f t="shared" ref="L3:L15" ca="1" si="3">(J3-K3)/K3</f>
        <v>0.46269499783396478</v>
      </c>
      <c r="M3" s="308">
        <f t="shared" ref="M3:M15" ca="1" si="4">IF(ISBLANK(B3),SUM(B91:B102),SUM(B3:B14))</f>
        <v>4584907264</v>
      </c>
      <c r="N3" s="308">
        <f t="shared" ref="N3:N15" ca="1" si="5">IF(ISBLANK(B3),SUM(B103:B114),SUM(B15:B26))</f>
        <v>3467411424</v>
      </c>
      <c r="O3" s="328">
        <f t="shared" ref="O3:O15" ca="1" si="6">(M3-N3)/N3</f>
        <v>0.32228533143345839</v>
      </c>
      <c r="P3" s="328">
        <f t="shared" ref="P3:P15" ca="1" si="7">L3-O3</f>
        <v>0.14040966640050639</v>
      </c>
      <c r="Q3" s="312" t="str">
        <f t="shared" ref="Q3:Q15" ca="1" si="8">IF(P3&gt;P4,"長短期YOY擴大","長短期YOY收斂")</f>
        <v>長短期YOY擴大</v>
      </c>
      <c r="S3" s="318">
        <f t="shared" ref="S3:S15" ca="1" si="9">IF(ISBLANK(B3),AVERAGE(B91:B93),AVERAGE(B3:B5))</f>
        <v>442411893.33333331</v>
      </c>
      <c r="T3" s="308">
        <f t="shared" ref="T3:T15" ca="1" si="10">IF(ISBLANK(B3),AVERAGE(B91:B102),AVERAGE(B3:B14))</f>
        <v>382075605.33333331</v>
      </c>
      <c r="U3" s="308">
        <f t="shared" ref="U3:U15" ca="1" si="11">S3-T3</f>
        <v>60336288</v>
      </c>
      <c r="V3" s="312" t="str">
        <f t="shared" ref="V3:V14" ca="1" si="12">IF(U3&gt;U4,"長短期營收擴大","長短期營收收斂")</f>
        <v>長短期營收擴大</v>
      </c>
      <c r="AA3" s="9">
        <f t="shared" ref="AA3:AA14" ca="1" si="13">B3</f>
        <v>467580544</v>
      </c>
      <c r="AB3" s="9">
        <f t="shared" ref="AB3:AB14" ca="1" si="14">B15</f>
        <v>323165696</v>
      </c>
      <c r="AC3" s="9">
        <f t="shared" ref="AC3:AC14" ca="1" si="15">B27</f>
        <v>256953104</v>
      </c>
    </row>
    <row r="4" spans="1:29" ht="12.5">
      <c r="A4" s="306">
        <f ca="1">IFERROR(__xludf.DUMMYFUNCTION("""COMPUTED_VALUE"""),46174)</f>
        <v>46174</v>
      </c>
      <c r="B4" s="307">
        <f ca="1">IFERROR(__xludf.DUMMYFUNCTION("""COMPUTED_VALUE"""),442679968)</f>
        <v>442679968</v>
      </c>
      <c r="C4" s="308">
        <f ca="1">IFERROR(__xludf.DUMMYFUNCTION("""COMPUTED_VALUE"""),263708976)</f>
        <v>263708976</v>
      </c>
      <c r="D4" s="327">
        <f ca="1">IFERROR(__xludf.DUMMYFUNCTION("""COMPUTED_VALUE"""),0.062)</f>
        <v>6.2E-2</v>
      </c>
      <c r="E4" s="328">
        <f ca="1">IFERROR(__xludf.DUMMYFUNCTION("""COMPUTED_VALUE"""),0.679)</f>
        <v>0.67900000000000005</v>
      </c>
      <c r="F4" s="318">
        <f ca="1">IFERROR(__xludf.DUMMYFUNCTION("""COMPUTED_VALUE"""),2404483584)</f>
        <v>2404483584</v>
      </c>
      <c r="G4" s="308">
        <f ca="1">IFERROR(__xludf.DUMMYFUNCTION("""COMPUTED_VALUE"""),1773045504)</f>
        <v>1773045504</v>
      </c>
      <c r="H4" s="328">
        <f ca="1">IFERROR(__xludf.DUMMYFUNCTION("""COMPUTED_VALUE"""),0.356)</f>
        <v>0.35599999999999998</v>
      </c>
      <c r="I4" s="306">
        <f t="shared" ca="1" si="0"/>
        <v>46174</v>
      </c>
      <c r="J4" s="308">
        <f t="shared" ca="1" si="1"/>
        <v>1270380224</v>
      </c>
      <c r="K4" s="308">
        <f t="shared" ca="1" si="2"/>
        <v>933791808</v>
      </c>
      <c r="L4" s="328">
        <f t="shared" ca="1" si="3"/>
        <v>0.36045338277373279</v>
      </c>
      <c r="M4" s="308">
        <f t="shared" ca="1" si="4"/>
        <v>4440492416</v>
      </c>
      <c r="N4" s="308">
        <f t="shared" ca="1" si="5"/>
        <v>3401198832</v>
      </c>
      <c r="O4" s="328">
        <f t="shared" ca="1" si="6"/>
        <v>0.30556684138012191</v>
      </c>
      <c r="P4" s="328">
        <f t="shared" ca="1" si="7"/>
        <v>5.4886541393610877E-2</v>
      </c>
      <c r="Q4" s="312" t="str">
        <f t="shared" ca="1" si="8"/>
        <v>長短期YOY擴大</v>
      </c>
      <c r="S4" s="318">
        <f t="shared" ca="1" si="9"/>
        <v>423460074.66666669</v>
      </c>
      <c r="T4" s="308">
        <f t="shared" ca="1" si="10"/>
        <v>370041034.66666669</v>
      </c>
      <c r="U4" s="308">
        <f t="shared" ca="1" si="11"/>
        <v>53419040</v>
      </c>
      <c r="V4" s="312" t="str">
        <f t="shared" ca="1" si="12"/>
        <v>長短期營收收斂</v>
      </c>
      <c r="AA4" s="9">
        <f t="shared" ca="1" si="13"/>
        <v>442679968</v>
      </c>
      <c r="AB4" s="9">
        <f t="shared" ca="1" si="14"/>
        <v>263708992</v>
      </c>
      <c r="AC4" s="9">
        <f t="shared" ca="1" si="15"/>
        <v>207868704</v>
      </c>
    </row>
    <row r="5" spans="1:29" ht="15.75" customHeight="1">
      <c r="A5" s="306">
        <f ca="1">IFERROR(__xludf.DUMMYFUNCTION("""COMPUTED_VALUE"""),46143)</f>
        <v>46143</v>
      </c>
      <c r="B5" s="307">
        <f ca="1">IFERROR(__xludf.DUMMYFUNCTION("""COMPUTED_VALUE"""),416975168)</f>
        <v>416975168</v>
      </c>
      <c r="C5" s="308">
        <f ca="1">IFERROR(__xludf.DUMMYFUNCTION("""COMPUTED_VALUE"""),320515936)</f>
        <v>320515936</v>
      </c>
      <c r="D5" s="327">
        <f ca="1">IFERROR(__xludf.DUMMYFUNCTION("""COMPUTED_VALUE"""),0.015)</f>
        <v>1.4999999999999999E-2</v>
      </c>
      <c r="E5" s="328">
        <f ca="1">IFERROR(__xludf.DUMMYFUNCTION("""COMPUTED_VALUE"""),0.301)</f>
        <v>0.30099999999999999</v>
      </c>
      <c r="F5" s="318">
        <f ca="1">IFERROR(__xludf.DUMMYFUNCTION("""COMPUTED_VALUE"""),1961803776)</f>
        <v>1961803776</v>
      </c>
      <c r="G5" s="308">
        <f ca="1">IFERROR(__xludf.DUMMYFUNCTION("""COMPUTED_VALUE"""),1509336576)</f>
        <v>1509336576</v>
      </c>
      <c r="H5" s="328">
        <f ca="1">IFERROR(__xludf.DUMMYFUNCTION("""COMPUTED_VALUE"""),0.3)</f>
        <v>0.3</v>
      </c>
      <c r="I5" s="306">
        <f t="shared" ca="1" si="0"/>
        <v>46143</v>
      </c>
      <c r="J5" s="308">
        <f t="shared" ca="1" si="1"/>
        <v>1242891968</v>
      </c>
      <c r="K5" s="308">
        <f t="shared" ca="1" si="2"/>
        <v>956039616</v>
      </c>
      <c r="L5" s="328">
        <f t="shared" ca="1" si="3"/>
        <v>0.30004232795307095</v>
      </c>
      <c r="M5" s="308">
        <f t="shared" ca="1" si="4"/>
        <v>4261521440</v>
      </c>
      <c r="N5" s="308">
        <f t="shared" ca="1" si="5"/>
        <v>3345358544</v>
      </c>
      <c r="O5" s="328">
        <f t="shared" ca="1" si="6"/>
        <v>0.27386089830136906</v>
      </c>
      <c r="P5" s="328">
        <f t="shared" ca="1" si="7"/>
        <v>2.6181429651701893E-2</v>
      </c>
      <c r="Q5" s="312" t="str">
        <f t="shared" ca="1" si="8"/>
        <v>長短期YOY擴大</v>
      </c>
      <c r="S5" s="318">
        <f t="shared" ca="1" si="9"/>
        <v>414297322.66666669</v>
      </c>
      <c r="T5" s="308">
        <f t="shared" ca="1" si="10"/>
        <v>355126786.66666669</v>
      </c>
      <c r="U5" s="308">
        <f t="shared" ca="1" si="11"/>
        <v>59170536</v>
      </c>
      <c r="V5" s="312" t="str">
        <f t="shared" ca="1" si="12"/>
        <v>長短期營收擴大</v>
      </c>
      <c r="AA5" s="9">
        <f t="shared" ca="1" si="13"/>
        <v>416975168</v>
      </c>
      <c r="AB5" s="9">
        <f t="shared" ca="1" si="14"/>
        <v>320515904</v>
      </c>
      <c r="AC5" s="9">
        <f t="shared" ca="1" si="15"/>
        <v>229620400</v>
      </c>
    </row>
    <row r="6" spans="1:29" ht="12.5">
      <c r="A6" s="306">
        <f ca="1">IFERROR(__xludf.DUMMYFUNCTION("""COMPUTED_VALUE"""),46113)</f>
        <v>46113</v>
      </c>
      <c r="B6" s="307">
        <f ca="1">IFERROR(__xludf.DUMMYFUNCTION("""COMPUTED_VALUE"""),410725088)</f>
        <v>410725088</v>
      </c>
      <c r="C6" s="308">
        <f ca="1">IFERROR(__xludf.DUMMYFUNCTION("""COMPUTED_VALUE"""),349566912)</f>
        <v>349566912</v>
      </c>
      <c r="D6" s="328">
        <f ca="1">IFERROR(__xludf.DUMMYFUNCTION("""COMPUTED_VALUE"""),-0.011)</f>
        <v>-1.0999999999999999E-2</v>
      </c>
      <c r="E6" s="328">
        <f ca="1">IFERROR(__xludf.DUMMYFUNCTION("""COMPUTED_VALUE"""),0.175)</f>
        <v>0.17499999999999999</v>
      </c>
      <c r="F6" s="318">
        <f ca="1">IFERROR(__xludf.DUMMYFUNCTION("""COMPUTED_VALUE"""),1544829056)</f>
        <v>1544829056</v>
      </c>
      <c r="G6" s="308">
        <f ca="1">IFERROR(__xludf.DUMMYFUNCTION("""COMPUTED_VALUE"""),1188820992)</f>
        <v>1188820992</v>
      </c>
      <c r="H6" s="328">
        <f ca="1">IFERROR(__xludf.DUMMYFUNCTION("""COMPUTED_VALUE"""),0.299)</f>
        <v>0.29899999999999999</v>
      </c>
      <c r="I6" s="306">
        <f t="shared" ca="1" si="0"/>
        <v>46113</v>
      </c>
      <c r="J6" s="308">
        <f t="shared" ca="1" si="1"/>
        <v>1143573408</v>
      </c>
      <c r="K6" s="308">
        <f t="shared" ca="1" si="2"/>
        <v>895532512</v>
      </c>
      <c r="L6" s="328">
        <f t="shared" ca="1" si="3"/>
        <v>0.27697586930266582</v>
      </c>
      <c r="M6" s="308">
        <f t="shared" ca="1" si="4"/>
        <v>4165062176</v>
      </c>
      <c r="N6" s="308">
        <f t="shared" ca="1" si="5"/>
        <v>3254463040</v>
      </c>
      <c r="O6" s="328">
        <f t="shared" ca="1" si="6"/>
        <v>0.27980011596628857</v>
      </c>
      <c r="P6" s="328">
        <f t="shared" ca="1" si="7"/>
        <v>-2.8242466636227426E-3</v>
      </c>
      <c r="Q6" s="312" t="str">
        <f t="shared" ca="1" si="8"/>
        <v>長短期YOY收斂</v>
      </c>
      <c r="S6" s="318">
        <f t="shared" ca="1" si="9"/>
        <v>381191136</v>
      </c>
      <c r="T6" s="308">
        <f t="shared" ca="1" si="10"/>
        <v>347088514.66666669</v>
      </c>
      <c r="U6" s="308">
        <f t="shared" ca="1" si="11"/>
        <v>34102621.333333313</v>
      </c>
      <c r="V6" s="312" t="str">
        <f t="shared" ca="1" si="12"/>
        <v>長短期營收收斂</v>
      </c>
      <c r="AA6" s="9">
        <f t="shared" ca="1" si="13"/>
        <v>410725088</v>
      </c>
      <c r="AB6" s="9">
        <f t="shared" ca="1" si="14"/>
        <v>349566912</v>
      </c>
      <c r="AC6" s="9">
        <f t="shared" ca="1" si="15"/>
        <v>236021104</v>
      </c>
    </row>
    <row r="7" spans="1:29" ht="12.5">
      <c r="A7" s="306">
        <f ca="1">IFERROR(__xludf.DUMMYFUNCTION("""COMPUTED_VALUE"""),46082)</f>
        <v>46082</v>
      </c>
      <c r="B7" s="307">
        <f ca="1">IFERROR(__xludf.DUMMYFUNCTION("""COMPUTED_VALUE"""),415191712)</f>
        <v>415191712</v>
      </c>
      <c r="C7" s="308">
        <f ca="1">IFERROR(__xludf.DUMMYFUNCTION("""COMPUTED_VALUE"""),285956800)</f>
        <v>285956800</v>
      </c>
      <c r="D7" s="328">
        <f ca="1">IFERROR(__xludf.DUMMYFUNCTION("""COMPUTED_VALUE"""),0.307)</f>
        <v>0.307</v>
      </c>
      <c r="E7" s="328">
        <f ca="1">IFERROR(__xludf.DUMMYFUNCTION("""COMPUTED_VALUE"""),0.452)</f>
        <v>0.45200000000000001</v>
      </c>
      <c r="F7" s="318">
        <f ca="1">IFERROR(__xludf.DUMMYFUNCTION("""COMPUTED_VALUE"""),1134103040)</f>
        <v>1134103040</v>
      </c>
      <c r="G7" s="308">
        <f ca="1">IFERROR(__xludf.DUMMYFUNCTION("""COMPUTED_VALUE"""),839253632)</f>
        <v>839253632</v>
      </c>
      <c r="H7" s="328">
        <f ca="1">IFERROR(__xludf.DUMMYFUNCTION("""COMPUTED_VALUE"""),0.351)</f>
        <v>0.35099999999999998</v>
      </c>
      <c r="I7" s="306">
        <f t="shared" ca="1" si="0"/>
        <v>46082</v>
      </c>
      <c r="J7" s="308">
        <f t="shared" ca="1" si="1"/>
        <v>1134103424</v>
      </c>
      <c r="K7" s="308">
        <f t="shared" ca="1" si="2"/>
        <v>839253600</v>
      </c>
      <c r="L7" s="328">
        <f t="shared" ca="1" si="3"/>
        <v>0.3513238715925675</v>
      </c>
      <c r="M7" s="308">
        <f t="shared" ca="1" si="4"/>
        <v>4103904000</v>
      </c>
      <c r="N7" s="308">
        <f t="shared" ca="1" si="5"/>
        <v>3140917232</v>
      </c>
      <c r="O7" s="328">
        <f t="shared" ca="1" si="6"/>
        <v>0.30659412422237303</v>
      </c>
      <c r="P7" s="328">
        <f t="shared" ca="1" si="7"/>
        <v>4.4729747370194473E-2</v>
      </c>
      <c r="Q7" s="312" t="str">
        <f t="shared" ca="1" si="8"/>
        <v>長短期YOY擴大</v>
      </c>
      <c r="S7" s="318">
        <f t="shared" ca="1" si="9"/>
        <v>378034474.66666669</v>
      </c>
      <c r="T7" s="308">
        <f t="shared" ca="1" si="10"/>
        <v>341992000</v>
      </c>
      <c r="U7" s="308">
        <f t="shared" ca="1" si="11"/>
        <v>36042474.666666687</v>
      </c>
      <c r="V7" s="312" t="str">
        <f t="shared" ca="1" si="12"/>
        <v>長短期營收擴大</v>
      </c>
      <c r="AA7" s="9">
        <f t="shared" ca="1" si="13"/>
        <v>415191712</v>
      </c>
      <c r="AB7" s="9">
        <f t="shared" ca="1" si="14"/>
        <v>285956800</v>
      </c>
      <c r="AC7" s="9">
        <f t="shared" ca="1" si="15"/>
        <v>195210800</v>
      </c>
    </row>
    <row r="8" spans="1:29" ht="12.5">
      <c r="A8" s="306">
        <f ca="1">IFERROR(__xludf.DUMMYFUNCTION("""COMPUTED_VALUE"""),46054)</f>
        <v>46054</v>
      </c>
      <c r="B8" s="307">
        <f ca="1">IFERROR(__xludf.DUMMYFUNCTION("""COMPUTED_VALUE"""),317656608)</f>
        <v>317656608</v>
      </c>
      <c r="C8" s="308">
        <f ca="1">IFERROR(__xludf.DUMMYFUNCTION("""COMPUTED_VALUE"""),260008800)</f>
        <v>260008800</v>
      </c>
      <c r="D8" s="328">
        <f ca="1">IFERROR(__xludf.DUMMYFUNCTION("""COMPUTED_VALUE"""),-0.208)</f>
        <v>-0.20799999999999999</v>
      </c>
      <c r="E8" s="328">
        <f ca="1">IFERROR(__xludf.DUMMYFUNCTION("""COMPUTED_VALUE"""),0.222)</f>
        <v>0.222</v>
      </c>
      <c r="F8" s="318">
        <f ca="1">IFERROR(__xludf.DUMMYFUNCTION("""COMPUTED_VALUE"""),718911680)</f>
        <v>718911680</v>
      </c>
      <c r="G8" s="308">
        <f ca="1">IFERROR(__xludf.DUMMYFUNCTION("""COMPUTED_VALUE"""),553296768)</f>
        <v>553296768</v>
      </c>
      <c r="H8" s="328">
        <f ca="1">IFERROR(__xludf.DUMMYFUNCTION("""COMPUTED_VALUE"""),0.299)</f>
        <v>0.29899999999999999</v>
      </c>
      <c r="I8" s="306">
        <f t="shared" ca="1" si="0"/>
        <v>46054</v>
      </c>
      <c r="J8" s="308">
        <f t="shared" ca="1" si="1"/>
        <v>1053915296</v>
      </c>
      <c r="K8" s="308">
        <f t="shared" ca="1" si="2"/>
        <v>831459904</v>
      </c>
      <c r="L8" s="328">
        <f t="shared" ca="1" si="3"/>
        <v>0.26754794901090023</v>
      </c>
      <c r="M8" s="308">
        <f t="shared" ca="1" si="4"/>
        <v>3974669088</v>
      </c>
      <c r="N8" s="308">
        <f t="shared" ca="1" si="5"/>
        <v>3050171232</v>
      </c>
      <c r="O8" s="328">
        <f t="shared" ca="1" si="6"/>
        <v>0.30309703478312788</v>
      </c>
      <c r="P8" s="328">
        <f t="shared" ca="1" si="7"/>
        <v>-3.5549085772227651E-2</v>
      </c>
      <c r="Q8" s="312" t="str">
        <f t="shared" ca="1" si="8"/>
        <v>長短期YOY擴大</v>
      </c>
      <c r="S8" s="318">
        <f t="shared" ca="1" si="9"/>
        <v>351305098.66666669</v>
      </c>
      <c r="T8" s="308">
        <f t="shared" ca="1" si="10"/>
        <v>331222424</v>
      </c>
      <c r="U8" s="308">
        <f t="shared" ca="1" si="11"/>
        <v>20082674.666666687</v>
      </c>
      <c r="V8" s="312" t="str">
        <f t="shared" ca="1" si="12"/>
        <v>長短期營收收斂</v>
      </c>
      <c r="AA8" s="9">
        <f t="shared" ca="1" si="13"/>
        <v>317656608</v>
      </c>
      <c r="AB8" s="9">
        <f t="shared" ca="1" si="14"/>
        <v>260008800</v>
      </c>
      <c r="AC8" s="9">
        <f t="shared" ca="1" si="15"/>
        <v>181648304</v>
      </c>
    </row>
    <row r="9" spans="1:29" ht="12.5">
      <c r="A9" s="306">
        <f ca="1">IFERROR(__xludf.DUMMYFUNCTION("""COMPUTED_VALUE"""),46023)</f>
        <v>46023</v>
      </c>
      <c r="B9" s="307">
        <f ca="1">IFERROR(__xludf.DUMMYFUNCTION("""COMPUTED_VALUE"""),401255104)</f>
        <v>401255104</v>
      </c>
      <c r="C9" s="308">
        <f ca="1">IFERROR(__xludf.DUMMYFUNCTION("""COMPUTED_VALUE"""),293288000)</f>
        <v>293288000</v>
      </c>
      <c r="D9" s="328">
        <f ca="1">IFERROR(__xludf.DUMMYFUNCTION("""COMPUTED_VALUE"""),0.198)</f>
        <v>0.19800000000000001</v>
      </c>
      <c r="E9" s="328">
        <f ca="1">IFERROR(__xludf.DUMMYFUNCTION("""COMPUTED_VALUE"""),0.368)</f>
        <v>0.36799999999999999</v>
      </c>
      <c r="F9" s="318">
        <f ca="1">IFERROR(__xludf.DUMMYFUNCTION("""COMPUTED_VALUE"""),401255104)</f>
        <v>401255104</v>
      </c>
      <c r="G9" s="308">
        <f ca="1">IFERROR(__xludf.DUMMYFUNCTION("""COMPUTED_VALUE"""),293288000)</f>
        <v>293288000</v>
      </c>
      <c r="H9" s="328">
        <f ca="1">IFERROR(__xludf.DUMMYFUNCTION("""COMPUTED_VALUE"""),0.368)</f>
        <v>0.36799999999999999</v>
      </c>
      <c r="I9" s="306">
        <f t="shared" ca="1" si="0"/>
        <v>46023</v>
      </c>
      <c r="J9" s="308">
        <f t="shared" ca="1" si="1"/>
        <v>1079872480</v>
      </c>
      <c r="K9" s="308">
        <f t="shared" ca="1" si="2"/>
        <v>847509504</v>
      </c>
      <c r="L9" s="328">
        <f t="shared" ca="1" si="3"/>
        <v>0.27417152834666031</v>
      </c>
      <c r="M9" s="308">
        <f t="shared" ca="1" si="4"/>
        <v>3917021280</v>
      </c>
      <c r="N9" s="308">
        <f t="shared" ca="1" si="5"/>
        <v>2971810736</v>
      </c>
      <c r="O9" s="328">
        <f t="shared" ca="1" si="6"/>
        <v>0.31805879578732366</v>
      </c>
      <c r="P9" s="328">
        <f t="shared" ca="1" si="7"/>
        <v>-4.3887267440663347E-2</v>
      </c>
      <c r="Q9" s="312" t="str">
        <f t="shared" ca="1" si="8"/>
        <v>長短期YOY擴大</v>
      </c>
      <c r="S9" s="318">
        <f t="shared" ca="1" si="9"/>
        <v>359957493.33333331</v>
      </c>
      <c r="T9" s="308">
        <f t="shared" ca="1" si="10"/>
        <v>326418440</v>
      </c>
      <c r="U9" s="308">
        <f t="shared" ca="1" si="11"/>
        <v>33539053.333333313</v>
      </c>
      <c r="V9" s="312" t="str">
        <f t="shared" ca="1" si="12"/>
        <v>長短期營收擴大</v>
      </c>
      <c r="AA9" s="9">
        <f t="shared" ca="1" si="13"/>
        <v>401255104</v>
      </c>
      <c r="AB9" s="9">
        <f t="shared" ca="1" si="14"/>
        <v>293288000</v>
      </c>
      <c r="AC9" s="9">
        <f t="shared" ca="1" si="15"/>
        <v>215785104</v>
      </c>
    </row>
    <row r="10" spans="1:29" ht="12.5">
      <c r="A10" s="306">
        <f ca="1">IFERROR(__xludf.DUMMYFUNCTION("""COMPUTED_VALUE"""),45992)</f>
        <v>45992</v>
      </c>
      <c r="B10" s="307">
        <f ca="1">IFERROR(__xludf.DUMMYFUNCTION("""COMPUTED_VALUE"""),335003584)</f>
        <v>335003584</v>
      </c>
      <c r="C10" s="308">
        <f ca="1">IFERROR(__xludf.DUMMYFUNCTION("""COMPUTED_VALUE"""),278163104)</f>
        <v>278163104</v>
      </c>
      <c r="D10" s="328">
        <f ca="1">IFERROR(__xludf.DUMMYFUNCTION("""COMPUTED_VALUE"""),-0.025)</f>
        <v>-2.5000000000000001E-2</v>
      </c>
      <c r="E10" s="328">
        <f ca="1">IFERROR(__xludf.DUMMYFUNCTION("""COMPUTED_VALUE"""),0.204)</f>
        <v>0.20399999999999999</v>
      </c>
      <c r="F10" s="318">
        <f ca="1">IFERROR(__xludf.DUMMYFUNCTION("""COMPUTED_VALUE"""),3809053952)</f>
        <v>3809053952</v>
      </c>
      <c r="G10" s="308">
        <f ca="1">IFERROR(__xludf.DUMMYFUNCTION("""COMPUTED_VALUE"""),2894308096)</f>
        <v>2894308096</v>
      </c>
      <c r="H10" s="328">
        <f ca="1">IFERROR(__xludf.DUMMYFUNCTION("""COMPUTED_VALUE"""),0.316)</f>
        <v>0.316</v>
      </c>
      <c r="I10" s="306">
        <f t="shared" ca="1" si="0"/>
        <v>45992</v>
      </c>
      <c r="J10" s="308">
        <f t="shared" ca="1" si="1"/>
        <v>1046090464</v>
      </c>
      <c r="K10" s="308">
        <f t="shared" ca="1" si="2"/>
        <v>868461216</v>
      </c>
      <c r="L10" s="328">
        <f t="shared" ca="1" si="3"/>
        <v>0.20453331101892291</v>
      </c>
      <c r="M10" s="308">
        <f t="shared" ca="1" si="4"/>
        <v>3809054176</v>
      </c>
      <c r="N10" s="308">
        <f t="shared" ca="1" si="5"/>
        <v>2894307840</v>
      </c>
      <c r="O10" s="328">
        <f t="shared" ca="1" si="6"/>
        <v>0.3160501185665171</v>
      </c>
      <c r="P10" s="328">
        <f t="shared" ca="1" si="7"/>
        <v>-0.11151680754759419</v>
      </c>
      <c r="Q10" s="312" t="str">
        <f t="shared" ca="1" si="8"/>
        <v>長短期YOY收斂</v>
      </c>
      <c r="S10" s="318">
        <f t="shared" ca="1" si="9"/>
        <v>348696821.33333331</v>
      </c>
      <c r="T10" s="308">
        <f t="shared" ca="1" si="10"/>
        <v>317421181.33333331</v>
      </c>
      <c r="U10" s="308">
        <f t="shared" ca="1" si="11"/>
        <v>31275640</v>
      </c>
      <c r="V10" s="312" t="str">
        <f t="shared" ca="1" si="12"/>
        <v>長短期營收收斂</v>
      </c>
      <c r="AA10" s="9">
        <f t="shared" ca="1" si="13"/>
        <v>335003584</v>
      </c>
      <c r="AB10" s="9">
        <f t="shared" ca="1" si="14"/>
        <v>278163104</v>
      </c>
      <c r="AC10" s="9">
        <f t="shared" ca="1" si="15"/>
        <v>176299904</v>
      </c>
    </row>
    <row r="11" spans="1:29" ht="12.5">
      <c r="A11" s="306">
        <f ca="1">IFERROR(__xludf.DUMMYFUNCTION("""COMPUTED_VALUE"""),45962)</f>
        <v>45962</v>
      </c>
      <c r="B11" s="307">
        <f ca="1">IFERROR(__xludf.DUMMYFUNCTION("""COMPUTED_VALUE"""),343613792)</f>
        <v>343613792</v>
      </c>
      <c r="C11" s="308">
        <f ca="1">IFERROR(__xludf.DUMMYFUNCTION("""COMPUTED_VALUE"""),276058400)</f>
        <v>276058400</v>
      </c>
      <c r="D11" s="328">
        <f ca="1">IFERROR(__xludf.DUMMYFUNCTION("""COMPUTED_VALUE"""),-0.065)</f>
        <v>-6.5000000000000002E-2</v>
      </c>
      <c r="E11" s="328">
        <f ca="1">IFERROR(__xludf.DUMMYFUNCTION("""COMPUTED_VALUE"""),0.245)</f>
        <v>0.245</v>
      </c>
      <c r="F11" s="318">
        <f ca="1">IFERROR(__xludf.DUMMYFUNCTION("""COMPUTED_VALUE"""),3474051072)</f>
        <v>3474051072</v>
      </c>
      <c r="G11" s="308">
        <f ca="1">IFERROR(__xludf.DUMMYFUNCTION("""COMPUTED_VALUE"""),2616144896)</f>
        <v>2616144896</v>
      </c>
      <c r="H11" s="328">
        <f ca="1">IFERROR(__xludf.DUMMYFUNCTION("""COMPUTED_VALUE"""),0.328)</f>
        <v>0.32800000000000001</v>
      </c>
      <c r="I11" s="306">
        <f t="shared" ca="1" si="0"/>
        <v>45962</v>
      </c>
      <c r="J11" s="308">
        <f t="shared" ca="1" si="1"/>
        <v>1042067776</v>
      </c>
      <c r="K11" s="308">
        <f t="shared" ca="1" si="2"/>
        <v>842170816</v>
      </c>
      <c r="L11" s="328">
        <f t="shared" ca="1" si="3"/>
        <v>0.23735916301331439</v>
      </c>
      <c r="M11" s="308">
        <f t="shared" ca="1" si="4"/>
        <v>3752213696</v>
      </c>
      <c r="N11" s="308">
        <f t="shared" ca="1" si="5"/>
        <v>2792444640</v>
      </c>
      <c r="O11" s="328">
        <f t="shared" ca="1" si="6"/>
        <v>0.34370208893380244</v>
      </c>
      <c r="P11" s="328">
        <f t="shared" ca="1" si="7"/>
        <v>-0.10634292592048805</v>
      </c>
      <c r="Q11" s="312" t="str">
        <f t="shared" ca="1" si="8"/>
        <v>長短期YOY收斂</v>
      </c>
      <c r="S11" s="318">
        <f t="shared" ca="1" si="9"/>
        <v>347355925.33333331</v>
      </c>
      <c r="T11" s="308">
        <f t="shared" ca="1" si="10"/>
        <v>312684474.66666669</v>
      </c>
      <c r="U11" s="308">
        <f t="shared" ca="1" si="11"/>
        <v>34671450.666666627</v>
      </c>
      <c r="V11" s="312" t="str">
        <f t="shared" ca="1" si="12"/>
        <v>長短期營收收斂</v>
      </c>
      <c r="AA11" s="9">
        <f t="shared" ca="1" si="13"/>
        <v>343613792</v>
      </c>
      <c r="AB11" s="9">
        <f t="shared" ca="1" si="14"/>
        <v>276058400</v>
      </c>
      <c r="AC11" s="9">
        <f t="shared" ca="1" si="15"/>
        <v>206026208</v>
      </c>
    </row>
    <row r="12" spans="1:29" ht="12.5">
      <c r="A12" s="306">
        <f ca="1">IFERROR(__xludf.DUMMYFUNCTION("""COMPUTED_VALUE"""),45931)</f>
        <v>45931</v>
      </c>
      <c r="B12" s="307">
        <f ca="1">IFERROR(__xludf.DUMMYFUNCTION("""COMPUTED_VALUE"""),367473088)</f>
        <v>367473088</v>
      </c>
      <c r="C12" s="308">
        <f ca="1">IFERROR(__xludf.DUMMYFUNCTION("""COMPUTED_VALUE"""),314239712)</f>
        <v>314239712</v>
      </c>
      <c r="D12" s="328">
        <f ca="1">IFERROR(__xludf.DUMMYFUNCTION("""COMPUTED_VALUE"""),0.11)</f>
        <v>0.11</v>
      </c>
      <c r="E12" s="328">
        <f ca="1">IFERROR(__xludf.DUMMYFUNCTION("""COMPUTED_VALUE"""),0.169)</f>
        <v>0.16900000000000001</v>
      </c>
      <c r="F12" s="318">
        <f ca="1">IFERROR(__xludf.DUMMYFUNCTION("""COMPUTED_VALUE"""),3130437120)</f>
        <v>3130437120</v>
      </c>
      <c r="G12" s="308">
        <f ca="1">IFERROR(__xludf.DUMMYFUNCTION("""COMPUTED_VALUE"""),2340086016)</f>
        <v>2340086016</v>
      </c>
      <c r="H12" s="328">
        <f ca="1">IFERROR(__xludf.DUMMYFUNCTION("""COMPUTED_VALUE"""),0.338)</f>
        <v>0.33800000000000002</v>
      </c>
      <c r="I12" s="306">
        <f t="shared" ca="1" si="0"/>
        <v>45931</v>
      </c>
      <c r="J12" s="308">
        <f t="shared" ca="1" si="1"/>
        <v>1034225696</v>
      </c>
      <c r="K12" s="308">
        <f t="shared" ca="1" si="2"/>
        <v>816978816</v>
      </c>
      <c r="L12" s="328">
        <f t="shared" ca="1" si="3"/>
        <v>0.26591494876655408</v>
      </c>
      <c r="M12" s="308">
        <f t="shared" ca="1" si="4"/>
        <v>3684658304</v>
      </c>
      <c r="N12" s="308">
        <f t="shared" ca="1" si="5"/>
        <v>2722412448</v>
      </c>
      <c r="O12" s="328">
        <f t="shared" ca="1" si="6"/>
        <v>0.35345337063342724</v>
      </c>
      <c r="P12" s="328">
        <f t="shared" ca="1" si="7"/>
        <v>-8.7538421866873162E-2</v>
      </c>
      <c r="Q12" s="312" t="str">
        <f t="shared" ca="1" si="8"/>
        <v>長短期YOY收斂</v>
      </c>
      <c r="S12" s="318">
        <f t="shared" ca="1" si="9"/>
        <v>344741898.66666669</v>
      </c>
      <c r="T12" s="308">
        <f t="shared" ca="1" si="10"/>
        <v>307054858.66666669</v>
      </c>
      <c r="U12" s="308">
        <f t="shared" ca="1" si="11"/>
        <v>37687040</v>
      </c>
      <c r="V12" s="312" t="str">
        <f t="shared" ca="1" si="12"/>
        <v>長短期營收擴大</v>
      </c>
      <c r="AA12" s="9">
        <f t="shared" ca="1" si="13"/>
        <v>367473088</v>
      </c>
      <c r="AB12" s="9">
        <f t="shared" ca="1" si="14"/>
        <v>314239712</v>
      </c>
      <c r="AC12" s="9">
        <f t="shared" ca="1" si="15"/>
        <v>243202800</v>
      </c>
    </row>
    <row r="13" spans="1:29" ht="12.5">
      <c r="A13" s="306">
        <f ca="1">IFERROR(__xludf.DUMMYFUNCTION("""COMPUTED_VALUE"""),45901)</f>
        <v>45901</v>
      </c>
      <c r="B13" s="307">
        <f ca="1">IFERROR(__xludf.DUMMYFUNCTION("""COMPUTED_VALUE"""),330980896)</f>
        <v>330980896</v>
      </c>
      <c r="C13" s="308">
        <f ca="1">IFERROR(__xludf.DUMMYFUNCTION("""COMPUTED_VALUE"""),251872704)</f>
        <v>251872704</v>
      </c>
      <c r="D13" s="328">
        <f ca="1">IFERROR(__xludf.DUMMYFUNCTION("""COMPUTED_VALUE"""),-0.014)</f>
        <v>-1.4E-2</v>
      </c>
      <c r="E13" s="328">
        <f ca="1">IFERROR(__xludf.DUMMYFUNCTION("""COMPUTED_VALUE"""),0.314)</f>
        <v>0.314</v>
      </c>
      <c r="F13" s="318">
        <f ca="1">IFERROR(__xludf.DUMMYFUNCTION("""COMPUTED_VALUE"""),2762963968)</f>
        <v>2762963968</v>
      </c>
      <c r="G13" s="308">
        <f ca="1">IFERROR(__xludf.DUMMYFUNCTION("""COMPUTED_VALUE"""),2025847040)</f>
        <v>2025847040</v>
      </c>
      <c r="H13" s="328">
        <f ca="1">IFERROR(__xludf.DUMMYFUNCTION("""COMPUTED_VALUE"""),0.364)</f>
        <v>0.36399999999999999</v>
      </c>
      <c r="I13" s="306">
        <f t="shared" ca="1" si="0"/>
        <v>45901</v>
      </c>
      <c r="J13" s="308">
        <f t="shared" ca="1" si="1"/>
        <v>989918304</v>
      </c>
      <c r="K13" s="308">
        <f t="shared" ca="1" si="2"/>
        <v>759692208</v>
      </c>
      <c r="L13" s="328">
        <f t="shared" ca="1" si="3"/>
        <v>0.3030518064758142</v>
      </c>
      <c r="M13" s="308">
        <f t="shared" ca="1" si="4"/>
        <v>3631424928</v>
      </c>
      <c r="N13" s="308">
        <f t="shared" ca="1" si="5"/>
        <v>2651375536</v>
      </c>
      <c r="O13" s="328">
        <f t="shared" ca="1" si="6"/>
        <v>0.36963809113157631</v>
      </c>
      <c r="P13" s="328">
        <f t="shared" ca="1" si="7"/>
        <v>-6.6586284655762107E-2</v>
      </c>
      <c r="Q13" s="312" t="str">
        <f t="shared" ca="1" si="8"/>
        <v>長短期YOY擴大</v>
      </c>
      <c r="S13" s="318">
        <f t="shared" ca="1" si="9"/>
        <v>329972768</v>
      </c>
      <c r="T13" s="308">
        <f t="shared" ca="1" si="10"/>
        <v>302618744</v>
      </c>
      <c r="U13" s="308">
        <f t="shared" ca="1" si="11"/>
        <v>27354024</v>
      </c>
      <c r="V13" s="312" t="str">
        <f t="shared" ca="1" si="12"/>
        <v>長短期營收擴大</v>
      </c>
      <c r="AA13" s="9">
        <f t="shared" ca="1" si="13"/>
        <v>330980896</v>
      </c>
      <c r="AB13" s="9">
        <f t="shared" ca="1" si="14"/>
        <v>251872704</v>
      </c>
      <c r="AC13" s="9">
        <f t="shared" ca="1" si="15"/>
        <v>180430304</v>
      </c>
    </row>
    <row r="14" spans="1:29" ht="12.5">
      <c r="A14" s="306">
        <f ca="1">IFERROR(__xludf.DUMMYFUNCTION("""COMPUTED_VALUE"""),45870)</f>
        <v>45870</v>
      </c>
      <c r="B14" s="307">
        <f ca="1">IFERROR(__xludf.DUMMYFUNCTION("""COMPUTED_VALUE"""),335771712)</f>
        <v>335771712</v>
      </c>
      <c r="C14" s="308">
        <f ca="1">IFERROR(__xludf.DUMMYFUNCTION("""COMPUTED_VALUE"""),250866400)</f>
        <v>250866400</v>
      </c>
      <c r="D14" s="328">
        <f ca="1">IFERROR(__xludf.DUMMYFUNCTION("""COMPUTED_VALUE"""),0.039)</f>
        <v>3.9E-2</v>
      </c>
      <c r="E14" s="328">
        <f ca="1">IFERROR(__xludf.DUMMYFUNCTION("""COMPUTED_VALUE"""),0.338)</f>
        <v>0.33800000000000002</v>
      </c>
      <c r="F14" s="318">
        <f ca="1">IFERROR(__xludf.DUMMYFUNCTION("""COMPUTED_VALUE"""),2431983104)</f>
        <v>2431983104</v>
      </c>
      <c r="G14" s="308">
        <f ca="1">IFERROR(__xludf.DUMMYFUNCTION("""COMPUTED_VALUE"""),1773974016)</f>
        <v>1773974016</v>
      </c>
      <c r="H14" s="328">
        <f ca="1">IFERROR(__xludf.DUMMYFUNCTION("""COMPUTED_VALUE"""),0.371)</f>
        <v>0.371</v>
      </c>
      <c r="I14" s="306">
        <f t="shared" ca="1" si="0"/>
        <v>45870</v>
      </c>
      <c r="J14" s="308">
        <f t="shared" ca="1" si="1"/>
        <v>922646400</v>
      </c>
      <c r="K14" s="308">
        <f t="shared" ca="1" si="2"/>
        <v>715688208</v>
      </c>
      <c r="L14" s="328">
        <f t="shared" ca="1" si="3"/>
        <v>0.28917367882635281</v>
      </c>
      <c r="M14" s="308">
        <f t="shared" ca="1" si="4"/>
        <v>3552316736</v>
      </c>
      <c r="N14" s="308">
        <f t="shared" ca="1" si="5"/>
        <v>2579933136</v>
      </c>
      <c r="O14" s="328">
        <f t="shared" ca="1" si="6"/>
        <v>0.37690263613095437</v>
      </c>
      <c r="P14" s="328">
        <f t="shared" ca="1" si="7"/>
        <v>-8.7728957304601562E-2</v>
      </c>
      <c r="Q14" s="312" t="str">
        <f t="shared" ca="1" si="8"/>
        <v>長短期YOY收斂</v>
      </c>
      <c r="S14" s="318">
        <f t="shared" ca="1" si="9"/>
        <v>307548800</v>
      </c>
      <c r="T14" s="308">
        <f t="shared" ca="1" si="10"/>
        <v>296026394.66666669</v>
      </c>
      <c r="U14" s="308">
        <f t="shared" ca="1" si="11"/>
        <v>11522405.333333313</v>
      </c>
      <c r="V14" s="312" t="str">
        <f t="shared" ca="1" si="12"/>
        <v>長短期營收收斂</v>
      </c>
      <c r="AA14" s="9">
        <f t="shared" ca="1" si="13"/>
        <v>335771712</v>
      </c>
      <c r="AB14" s="9">
        <f t="shared" ca="1" si="14"/>
        <v>250866400</v>
      </c>
      <c r="AC14" s="9">
        <f t="shared" ca="1" si="15"/>
        <v>188686304</v>
      </c>
    </row>
    <row r="15" spans="1:29" ht="12.5">
      <c r="A15" s="306">
        <f ca="1">IFERROR(__xludf.DUMMYFUNCTION("""COMPUTED_VALUE"""),45839)</f>
        <v>45839</v>
      </c>
      <c r="B15" s="307">
        <f ca="1">IFERROR(__xludf.DUMMYFUNCTION("""COMPUTED_VALUE"""),323165696)</f>
        <v>323165696</v>
      </c>
      <c r="C15" s="308">
        <f ca="1">IFERROR(__xludf.DUMMYFUNCTION("""COMPUTED_VALUE"""),256953104)</f>
        <v>256953104</v>
      </c>
      <c r="D15" s="328">
        <f ca="1">IFERROR(__xludf.DUMMYFUNCTION("""COMPUTED_VALUE"""),0.225)</f>
        <v>0.22500000000000001</v>
      </c>
      <c r="E15" s="328">
        <f ca="1">IFERROR(__xludf.DUMMYFUNCTION("""COMPUTED_VALUE"""),0.258)</f>
        <v>0.25800000000000001</v>
      </c>
      <c r="F15" s="318">
        <f ca="1">IFERROR(__xludf.DUMMYFUNCTION("""COMPUTED_VALUE"""),2096210944)</f>
        <v>2096210944</v>
      </c>
      <c r="G15" s="308">
        <f ca="1">IFERROR(__xludf.DUMMYFUNCTION("""COMPUTED_VALUE"""),1523106944)</f>
        <v>1523106944</v>
      </c>
      <c r="H15" s="328">
        <f ca="1">IFERROR(__xludf.DUMMYFUNCTION("""COMPUTED_VALUE"""),0.376)</f>
        <v>0.376</v>
      </c>
      <c r="I15" s="306">
        <f t="shared" ca="1" si="0"/>
        <v>45839</v>
      </c>
      <c r="J15" s="308">
        <f t="shared" ca="1" si="1"/>
        <v>907390592</v>
      </c>
      <c r="K15" s="308">
        <f t="shared" ca="1" si="2"/>
        <v>694442208</v>
      </c>
      <c r="L15" s="328">
        <f t="shared" ca="1" si="3"/>
        <v>0.30664666050943723</v>
      </c>
      <c r="M15" s="308">
        <f t="shared" ca="1" si="4"/>
        <v>3467411424</v>
      </c>
      <c r="N15" s="308">
        <f t="shared" ca="1" si="5"/>
        <v>2517753040</v>
      </c>
      <c r="O15" s="328">
        <f t="shared" ca="1" si="6"/>
        <v>0.37718488227900221</v>
      </c>
      <c r="P15" s="328">
        <f t="shared" ca="1" si="7"/>
        <v>-7.0538221769564979E-2</v>
      </c>
      <c r="Q15" s="312" t="str">
        <f t="shared" ca="1" si="8"/>
        <v>長短期YOY收斂</v>
      </c>
      <c r="S15" s="318">
        <f t="shared" ca="1" si="9"/>
        <v>302463530.66666669</v>
      </c>
      <c r="T15" s="308">
        <f t="shared" ca="1" si="10"/>
        <v>288950952</v>
      </c>
      <c r="U15" s="308">
        <f t="shared" ca="1" si="11"/>
        <v>13512578.666666687</v>
      </c>
      <c r="V15" s="312" t="str">
        <f ca="1">IF(U15&gt;S16,"長短期營收擴大","長短期營收收斂")</f>
        <v>長短期營收擴大</v>
      </c>
    </row>
    <row r="16" spans="1:29" ht="12.5">
      <c r="A16" s="306">
        <f ca="1">IFERROR(__xludf.DUMMYFUNCTION("""COMPUTED_VALUE"""),45809)</f>
        <v>45809</v>
      </c>
      <c r="B16" s="308">
        <f ca="1">IFERROR(__xludf.DUMMYFUNCTION("""COMPUTED_VALUE"""),263708992)</f>
        <v>263708992</v>
      </c>
      <c r="C16" s="308">
        <f ca="1">IFERROR(__xludf.DUMMYFUNCTION("""COMPUTED_VALUE"""),207868704)</f>
        <v>207868704</v>
      </c>
      <c r="D16" s="328">
        <f ca="1">IFERROR(__xludf.DUMMYFUNCTION("""COMPUTED_VALUE"""),-0.177)</f>
        <v>-0.17699999999999999</v>
      </c>
      <c r="E16" s="328">
        <f ca="1">IFERROR(__xludf.DUMMYFUNCTION("""COMPUTED_VALUE"""),0.269)</f>
        <v>0.26900000000000002</v>
      </c>
      <c r="F16" s="318">
        <f ca="1">IFERROR(__xludf.DUMMYFUNCTION("""COMPUTED_VALUE"""),1773046016)</f>
        <v>1773046016</v>
      </c>
      <c r="G16" s="308">
        <f ca="1">IFERROR(__xludf.DUMMYFUNCTION("""COMPUTED_VALUE"""),1266153984)</f>
        <v>1266153984</v>
      </c>
      <c r="H16" s="328">
        <f ca="1">IFERROR(__xludf.DUMMYFUNCTION("""COMPUTED_VALUE"""),0.4)</f>
        <v>0.4</v>
      </c>
      <c r="I16" s="323"/>
      <c r="J16" s="324"/>
      <c r="K16" s="324"/>
      <c r="L16" s="329"/>
      <c r="M16" s="324"/>
      <c r="N16" s="324"/>
      <c r="O16" s="329"/>
      <c r="P16" s="329"/>
      <c r="Q16" s="310"/>
      <c r="S16" s="325"/>
      <c r="T16" s="324"/>
      <c r="U16" s="324"/>
      <c r="V16" s="310"/>
    </row>
    <row r="17" spans="1:22" ht="12.5">
      <c r="A17" s="306">
        <f ca="1">IFERROR(__xludf.DUMMYFUNCTION("""COMPUTED_VALUE"""),45778)</f>
        <v>45778</v>
      </c>
      <c r="B17" s="308">
        <f ca="1">IFERROR(__xludf.DUMMYFUNCTION("""COMPUTED_VALUE"""),320515904)</f>
        <v>320515904</v>
      </c>
      <c r="C17" s="308">
        <f ca="1">IFERROR(__xludf.DUMMYFUNCTION("""COMPUTED_VALUE"""),229620400)</f>
        <v>229620400</v>
      </c>
      <c r="D17" s="328">
        <f ca="1">IFERROR(__xludf.DUMMYFUNCTION("""COMPUTED_VALUE"""),-0.083)</f>
        <v>-8.3000000000000004E-2</v>
      </c>
      <c r="E17" s="328">
        <f ca="1">IFERROR(__xludf.DUMMYFUNCTION("""COMPUTED_VALUE"""),0.396)</f>
        <v>0.39600000000000002</v>
      </c>
      <c r="F17" s="318">
        <f ca="1">IFERROR(__xludf.DUMMYFUNCTION("""COMPUTED_VALUE"""),1509336960)</f>
        <v>1509336960</v>
      </c>
      <c r="G17" s="308">
        <f ca="1">IFERROR(__xludf.DUMMYFUNCTION("""COMPUTED_VALUE"""),1058286016)</f>
        <v>1058286016</v>
      </c>
      <c r="H17" s="328">
        <f ca="1">IFERROR(__xludf.DUMMYFUNCTION("""COMPUTED_VALUE"""),0.426)</f>
        <v>0.42599999999999999</v>
      </c>
      <c r="I17" s="323"/>
      <c r="J17" s="324"/>
      <c r="K17" s="324"/>
      <c r="L17" s="329"/>
      <c r="M17" s="324"/>
      <c r="N17" s="324"/>
      <c r="O17" s="329"/>
      <c r="P17" s="329"/>
      <c r="Q17" s="310"/>
      <c r="S17" s="325"/>
      <c r="T17" s="324"/>
      <c r="U17" s="324"/>
      <c r="V17" s="310"/>
    </row>
    <row r="18" spans="1:22" ht="12.5">
      <c r="A18" s="306">
        <f ca="1">IFERROR(__xludf.DUMMYFUNCTION("""COMPUTED_VALUE"""),45748)</f>
        <v>45748</v>
      </c>
      <c r="B18" s="308">
        <f ca="1">IFERROR(__xludf.DUMMYFUNCTION("""COMPUTED_VALUE"""),349566912)</f>
        <v>349566912</v>
      </c>
      <c r="C18" s="308">
        <f ca="1">IFERROR(__xludf.DUMMYFUNCTION("""COMPUTED_VALUE"""),236021104)</f>
        <v>236021104</v>
      </c>
      <c r="D18" s="328">
        <f ca="1">IFERROR(__xludf.DUMMYFUNCTION("""COMPUTED_VALUE"""),0.222)</f>
        <v>0.222</v>
      </c>
      <c r="E18" s="328">
        <f ca="1">IFERROR(__xludf.DUMMYFUNCTION("""COMPUTED_VALUE"""),0.481)</f>
        <v>0.48099999999999998</v>
      </c>
      <c r="F18" s="318">
        <f ca="1">IFERROR(__xludf.DUMMYFUNCTION("""COMPUTED_VALUE"""),1188820992)</f>
        <v>1188820992</v>
      </c>
      <c r="G18" s="308">
        <f ca="1">IFERROR(__xludf.DUMMYFUNCTION("""COMPUTED_VALUE"""),828665280)</f>
        <v>828665280</v>
      </c>
      <c r="H18" s="328">
        <f ca="1">IFERROR(__xludf.DUMMYFUNCTION("""COMPUTED_VALUE"""),0.435)</f>
        <v>0.435</v>
      </c>
      <c r="I18" s="323"/>
      <c r="J18" s="324"/>
      <c r="K18" s="324"/>
      <c r="L18" s="329"/>
      <c r="M18" s="324"/>
      <c r="N18" s="324"/>
      <c r="O18" s="329"/>
      <c r="P18" s="329"/>
      <c r="Q18" s="310"/>
      <c r="S18" s="325"/>
      <c r="T18" s="324"/>
      <c r="U18" s="324"/>
      <c r="V18" s="310"/>
    </row>
    <row r="19" spans="1:22" ht="12.5">
      <c r="A19" s="306">
        <f ca="1">IFERROR(__xludf.DUMMYFUNCTION("""COMPUTED_VALUE"""),45717)</f>
        <v>45717</v>
      </c>
      <c r="B19" s="308">
        <f ca="1">IFERROR(__xludf.DUMMYFUNCTION("""COMPUTED_VALUE"""),285956800)</f>
        <v>285956800</v>
      </c>
      <c r="C19" s="308">
        <f ca="1">IFERROR(__xludf.DUMMYFUNCTION("""COMPUTED_VALUE"""),195210800)</f>
        <v>195210800</v>
      </c>
      <c r="D19" s="328">
        <f ca="1">IFERROR(__xludf.DUMMYFUNCTION("""COMPUTED_VALUE"""),0.1)</f>
        <v>0.1</v>
      </c>
      <c r="E19" s="328">
        <f ca="1">IFERROR(__xludf.DUMMYFUNCTION("""COMPUTED_VALUE"""),0.465)</f>
        <v>0.46500000000000002</v>
      </c>
      <c r="F19" s="318">
        <f ca="1">IFERROR(__xludf.DUMMYFUNCTION("""COMPUTED_VALUE"""),839253632)</f>
        <v>839253632</v>
      </c>
      <c r="G19" s="308">
        <f ca="1">IFERROR(__xludf.DUMMYFUNCTION("""COMPUTED_VALUE"""),592644224)</f>
        <v>592644224</v>
      </c>
      <c r="H19" s="328">
        <f ca="1">IFERROR(__xludf.DUMMYFUNCTION("""COMPUTED_VALUE"""),0.416)</f>
        <v>0.41599999999999998</v>
      </c>
      <c r="I19" s="323"/>
      <c r="J19" s="324"/>
      <c r="K19" s="324"/>
      <c r="L19" s="329"/>
      <c r="M19" s="324"/>
      <c r="N19" s="324"/>
      <c r="O19" s="329"/>
      <c r="P19" s="329"/>
      <c r="Q19" s="310"/>
      <c r="S19" s="325"/>
      <c r="T19" s="324"/>
      <c r="U19" s="324"/>
      <c r="V19" s="310"/>
    </row>
    <row r="20" spans="1:22" ht="12.5">
      <c r="A20" s="306">
        <f ca="1">IFERROR(__xludf.DUMMYFUNCTION("""COMPUTED_VALUE"""),45689)</f>
        <v>45689</v>
      </c>
      <c r="B20" s="308">
        <f ca="1">IFERROR(__xludf.DUMMYFUNCTION("""COMPUTED_VALUE"""),260008800)</f>
        <v>260008800</v>
      </c>
      <c r="C20" s="308">
        <f ca="1">IFERROR(__xludf.DUMMYFUNCTION("""COMPUTED_VALUE"""),181648304)</f>
        <v>181648304</v>
      </c>
      <c r="D20" s="328">
        <f ca="1">IFERROR(__xludf.DUMMYFUNCTION("""COMPUTED_VALUE"""),-0.113)</f>
        <v>-0.113</v>
      </c>
      <c r="E20" s="328">
        <f ca="1">IFERROR(__xludf.DUMMYFUNCTION("""COMPUTED_VALUE"""),0.431)</f>
        <v>0.43099999999999999</v>
      </c>
      <c r="F20" s="318">
        <f ca="1">IFERROR(__xludf.DUMMYFUNCTION("""COMPUTED_VALUE"""),553296768)</f>
        <v>553296768</v>
      </c>
      <c r="G20" s="308">
        <f ca="1">IFERROR(__xludf.DUMMYFUNCTION("""COMPUTED_VALUE"""),397433408)</f>
        <v>397433408</v>
      </c>
      <c r="H20" s="328">
        <f ca="1">IFERROR(__xludf.DUMMYFUNCTION("""COMPUTED_VALUE"""),0.392)</f>
        <v>0.39200000000000002</v>
      </c>
      <c r="I20" s="323"/>
      <c r="J20" s="324"/>
      <c r="K20" s="324"/>
      <c r="L20" s="329"/>
      <c r="M20" s="324"/>
      <c r="N20" s="324"/>
      <c r="O20" s="329"/>
      <c r="P20" s="329"/>
      <c r="Q20" s="310"/>
      <c r="S20" s="325"/>
      <c r="T20" s="324"/>
      <c r="U20" s="324"/>
      <c r="V20" s="310"/>
    </row>
    <row r="21" spans="1:22" ht="12.5">
      <c r="A21" s="306">
        <f ca="1">IFERROR(__xludf.DUMMYFUNCTION("""COMPUTED_VALUE"""),45658)</f>
        <v>45658</v>
      </c>
      <c r="B21" s="308">
        <f ca="1">IFERROR(__xludf.DUMMYFUNCTION("""COMPUTED_VALUE"""),293288000)</f>
        <v>293288000</v>
      </c>
      <c r="C21" s="308">
        <f ca="1">IFERROR(__xludf.DUMMYFUNCTION("""COMPUTED_VALUE"""),215785104)</f>
        <v>215785104</v>
      </c>
      <c r="D21" s="328">
        <f ca="1">IFERROR(__xludf.DUMMYFUNCTION("""COMPUTED_VALUE"""),0.054)</f>
        <v>5.3999999999999999E-2</v>
      </c>
      <c r="E21" s="328">
        <f ca="1">IFERROR(__xludf.DUMMYFUNCTION("""COMPUTED_VALUE"""),0.359)</f>
        <v>0.35899999999999999</v>
      </c>
      <c r="F21" s="318">
        <f ca="1">IFERROR(__xludf.DUMMYFUNCTION("""COMPUTED_VALUE"""),293288000)</f>
        <v>293288000</v>
      </c>
      <c r="G21" s="308">
        <f ca="1">IFERROR(__xludf.DUMMYFUNCTION("""COMPUTED_VALUE"""),215785104)</f>
        <v>215785104</v>
      </c>
      <c r="H21" s="328">
        <f ca="1">IFERROR(__xludf.DUMMYFUNCTION("""COMPUTED_VALUE"""),0.359)</f>
        <v>0.35899999999999999</v>
      </c>
      <c r="I21" s="323"/>
      <c r="J21" s="324"/>
      <c r="K21" s="324"/>
      <c r="L21" s="329"/>
      <c r="M21" s="324"/>
      <c r="N21" s="324"/>
      <c r="O21" s="329"/>
      <c r="P21" s="329"/>
      <c r="Q21" s="310"/>
      <c r="S21" s="325"/>
      <c r="T21" s="324"/>
      <c r="U21" s="324"/>
      <c r="V21" s="310"/>
    </row>
    <row r="22" spans="1:22" ht="12.5">
      <c r="A22" s="306">
        <f ca="1">IFERROR(__xludf.DUMMYFUNCTION("""COMPUTED_VALUE"""),45627)</f>
        <v>45627</v>
      </c>
      <c r="B22" s="308">
        <f ca="1">IFERROR(__xludf.DUMMYFUNCTION("""COMPUTED_VALUE"""),278163104)</f>
        <v>278163104</v>
      </c>
      <c r="C22" s="308">
        <f ca="1">IFERROR(__xludf.DUMMYFUNCTION("""COMPUTED_VALUE"""),176299904)</f>
        <v>176299904</v>
      </c>
      <c r="D22" s="328">
        <f ca="1">IFERROR(__xludf.DUMMYFUNCTION("""COMPUTED_VALUE"""),0.008)</f>
        <v>8.0000000000000002E-3</v>
      </c>
      <c r="E22" s="328">
        <f ca="1">IFERROR(__xludf.DUMMYFUNCTION("""COMPUTED_VALUE"""),0.578)</f>
        <v>0.57799999999999996</v>
      </c>
      <c r="F22" s="318">
        <f ca="1">IFERROR(__xludf.DUMMYFUNCTION("""COMPUTED_VALUE"""),2894308096)</f>
        <v>2894308096</v>
      </c>
      <c r="G22" s="308">
        <f ca="1">IFERROR(__xludf.DUMMYFUNCTION("""COMPUTED_VALUE"""),2161735936)</f>
        <v>2161735936</v>
      </c>
      <c r="H22" s="328">
        <f ca="1">IFERROR(__xludf.DUMMYFUNCTION("""COMPUTED_VALUE"""),0.339)</f>
        <v>0.33900000000000002</v>
      </c>
      <c r="I22" s="323"/>
      <c r="J22" s="324"/>
      <c r="K22" s="324"/>
      <c r="L22" s="329"/>
      <c r="M22" s="324"/>
      <c r="N22" s="324"/>
      <c r="O22" s="329"/>
      <c r="P22" s="329"/>
      <c r="Q22" s="310"/>
      <c r="S22" s="325"/>
      <c r="T22" s="324"/>
      <c r="U22" s="324"/>
      <c r="V22" s="310"/>
    </row>
    <row r="23" spans="1:22" ht="12.5">
      <c r="A23" s="306">
        <f ca="1">IFERROR(__xludf.DUMMYFUNCTION("""COMPUTED_VALUE"""),45597)</f>
        <v>45597</v>
      </c>
      <c r="B23" s="308">
        <f ca="1">IFERROR(__xludf.DUMMYFUNCTION("""COMPUTED_VALUE"""),276058400)</f>
        <v>276058400</v>
      </c>
      <c r="C23" s="308">
        <f ca="1">IFERROR(__xludf.DUMMYFUNCTION("""COMPUTED_VALUE"""),206026208)</f>
        <v>206026208</v>
      </c>
      <c r="D23" s="328">
        <f ca="1">IFERROR(__xludf.DUMMYFUNCTION("""COMPUTED_VALUE"""),-0.121)</f>
        <v>-0.121</v>
      </c>
      <c r="E23" s="328">
        <f ca="1">IFERROR(__xludf.DUMMYFUNCTION("""COMPUTED_VALUE"""),0.34)</f>
        <v>0.34</v>
      </c>
      <c r="F23" s="318">
        <f ca="1">IFERROR(__xludf.DUMMYFUNCTION("""COMPUTED_VALUE"""),2616144896)</f>
        <v>2616144896</v>
      </c>
      <c r="G23" s="308">
        <f ca="1">IFERROR(__xludf.DUMMYFUNCTION("""COMPUTED_VALUE"""),1985436032)</f>
        <v>1985436032</v>
      </c>
      <c r="H23" s="328">
        <f ca="1">IFERROR(__xludf.DUMMYFUNCTION("""COMPUTED_VALUE"""),0.318)</f>
        <v>0.318</v>
      </c>
      <c r="I23" s="323"/>
      <c r="J23" s="324"/>
      <c r="K23" s="324"/>
      <c r="L23" s="329"/>
      <c r="M23" s="324"/>
      <c r="N23" s="324"/>
      <c r="O23" s="329"/>
      <c r="P23" s="329"/>
      <c r="Q23" s="310"/>
      <c r="S23" s="325"/>
      <c r="T23" s="324"/>
      <c r="U23" s="324"/>
      <c r="V23" s="310"/>
    </row>
    <row r="24" spans="1:22" ht="12.5">
      <c r="A24" s="306">
        <f ca="1">IFERROR(__xludf.DUMMYFUNCTION("""COMPUTED_VALUE"""),45566)</f>
        <v>45566</v>
      </c>
      <c r="B24" s="308">
        <f ca="1">IFERROR(__xludf.DUMMYFUNCTION("""COMPUTED_VALUE"""),314239712)</f>
        <v>314239712</v>
      </c>
      <c r="C24" s="308">
        <f ca="1">IFERROR(__xludf.DUMMYFUNCTION("""COMPUTED_VALUE"""),243202800)</f>
        <v>243202800</v>
      </c>
      <c r="D24" s="328">
        <f ca="1">IFERROR(__xludf.DUMMYFUNCTION("""COMPUTED_VALUE"""),0.248)</f>
        <v>0.248</v>
      </c>
      <c r="E24" s="328">
        <f ca="1">IFERROR(__xludf.DUMMYFUNCTION("""COMPUTED_VALUE"""),0.292)</f>
        <v>0.29199999999999998</v>
      </c>
      <c r="F24" s="318">
        <f ca="1">IFERROR(__xludf.DUMMYFUNCTION("""COMPUTED_VALUE"""),2340086016)</f>
        <v>2340086016</v>
      </c>
      <c r="G24" s="308">
        <f ca="1">IFERROR(__xludf.DUMMYFUNCTION("""COMPUTED_VALUE"""),1779410048)</f>
        <v>1779410048</v>
      </c>
      <c r="H24" s="328">
        <f ca="1">IFERROR(__xludf.DUMMYFUNCTION("""COMPUTED_VALUE"""),0.315)</f>
        <v>0.315</v>
      </c>
      <c r="I24" s="323"/>
      <c r="J24" s="324"/>
      <c r="K24" s="324"/>
      <c r="L24" s="329"/>
      <c r="M24" s="324"/>
      <c r="N24" s="324"/>
      <c r="O24" s="329"/>
      <c r="P24" s="329"/>
      <c r="Q24" s="310"/>
      <c r="S24" s="325"/>
      <c r="T24" s="324"/>
      <c r="U24" s="324"/>
      <c r="V24" s="310"/>
    </row>
    <row r="25" spans="1:22" ht="12.5">
      <c r="A25" s="306">
        <f ca="1">IFERROR(__xludf.DUMMYFUNCTION("""COMPUTED_VALUE"""),45536)</f>
        <v>45536</v>
      </c>
      <c r="B25" s="308">
        <f ca="1">IFERROR(__xludf.DUMMYFUNCTION("""COMPUTED_VALUE"""),251872704)</f>
        <v>251872704</v>
      </c>
      <c r="C25" s="308">
        <f ca="1">IFERROR(__xludf.DUMMYFUNCTION("""COMPUTED_VALUE"""),180430304)</f>
        <v>180430304</v>
      </c>
      <c r="D25" s="328">
        <f ca="1">IFERROR(__xludf.DUMMYFUNCTION("""COMPUTED_VALUE"""),0.004)</f>
        <v>4.0000000000000001E-3</v>
      </c>
      <c r="E25" s="328">
        <f ca="1">IFERROR(__xludf.DUMMYFUNCTION("""COMPUTED_VALUE"""),0.396)</f>
        <v>0.39600000000000002</v>
      </c>
      <c r="F25" s="318">
        <f ca="1">IFERROR(__xludf.DUMMYFUNCTION("""COMPUTED_VALUE"""),2025847040)</f>
        <v>2025847040</v>
      </c>
      <c r="G25" s="308">
        <f ca="1">IFERROR(__xludf.DUMMYFUNCTION("""COMPUTED_VALUE"""),1536206976)</f>
        <v>1536206976</v>
      </c>
      <c r="H25" s="328">
        <f ca="1">IFERROR(__xludf.DUMMYFUNCTION("""COMPUTED_VALUE"""),0.319)</f>
        <v>0.31900000000000001</v>
      </c>
      <c r="I25" s="323"/>
      <c r="J25" s="324"/>
      <c r="K25" s="324"/>
      <c r="L25" s="329"/>
      <c r="M25" s="324"/>
      <c r="N25" s="324"/>
      <c r="O25" s="329"/>
      <c r="P25" s="329"/>
      <c r="Q25" s="310"/>
      <c r="S25" s="325"/>
      <c r="T25" s="324"/>
      <c r="U25" s="324"/>
      <c r="V25" s="310"/>
    </row>
    <row r="26" spans="1:22" ht="12.5">
      <c r="A26" s="306">
        <f ca="1">IFERROR(__xludf.DUMMYFUNCTION("""COMPUTED_VALUE"""),45505)</f>
        <v>45505</v>
      </c>
      <c r="B26" s="308">
        <f ca="1">IFERROR(__xludf.DUMMYFUNCTION("""COMPUTED_VALUE"""),250866400)</f>
        <v>250866400</v>
      </c>
      <c r="C26" s="308">
        <f ca="1">IFERROR(__xludf.DUMMYFUNCTION("""COMPUTED_VALUE"""),188686304)</f>
        <v>188686304</v>
      </c>
      <c r="D26" s="328">
        <f ca="1">IFERROR(__xludf.DUMMYFUNCTION("""COMPUTED_VALUE"""),-0.024)</f>
        <v>-2.4E-2</v>
      </c>
      <c r="E26" s="328">
        <f ca="1">IFERROR(__xludf.DUMMYFUNCTION("""COMPUTED_VALUE"""),0.33)</f>
        <v>0.33</v>
      </c>
      <c r="F26" s="318">
        <f ca="1">IFERROR(__xludf.DUMMYFUNCTION("""COMPUTED_VALUE"""),1773974016)</f>
        <v>1773974016</v>
      </c>
      <c r="G26" s="308">
        <f ca="1">IFERROR(__xludf.DUMMYFUNCTION("""COMPUTED_VALUE"""),1355777024)</f>
        <v>1355777024</v>
      </c>
      <c r="H26" s="328">
        <f ca="1">IFERROR(__xludf.DUMMYFUNCTION("""COMPUTED_VALUE"""),0.308)</f>
        <v>0.308</v>
      </c>
      <c r="I26" s="323"/>
      <c r="J26" s="324"/>
      <c r="K26" s="324"/>
      <c r="L26" s="329"/>
      <c r="M26" s="324"/>
      <c r="N26" s="324"/>
      <c r="O26" s="329"/>
      <c r="P26" s="329"/>
      <c r="Q26" s="310"/>
      <c r="S26" s="325"/>
      <c r="T26" s="324"/>
      <c r="U26" s="324"/>
      <c r="V26" s="310"/>
    </row>
    <row r="27" spans="1:22" ht="12.5">
      <c r="A27" s="306">
        <f ca="1">IFERROR(__xludf.DUMMYFUNCTION("""COMPUTED_VALUE"""),45474)</f>
        <v>45474</v>
      </c>
      <c r="B27" s="308">
        <f ca="1">IFERROR(__xludf.DUMMYFUNCTION("""COMPUTED_VALUE"""),256953104)</f>
        <v>256953104</v>
      </c>
      <c r="C27" s="308">
        <f ca="1">IFERROR(__xludf.DUMMYFUNCTION("""COMPUTED_VALUE"""),177616192)</f>
        <v>177616192</v>
      </c>
      <c r="D27" s="328">
        <f ca="1">IFERROR(__xludf.DUMMYFUNCTION("""COMPUTED_VALUE"""),0.236)</f>
        <v>0.23599999999999999</v>
      </c>
      <c r="E27" s="328">
        <f ca="1">IFERROR(__xludf.DUMMYFUNCTION("""COMPUTED_VALUE"""),0.447)</f>
        <v>0.44700000000000001</v>
      </c>
      <c r="F27" s="318">
        <f ca="1">IFERROR(__xludf.DUMMYFUNCTION("""COMPUTED_VALUE"""),1523106944)</f>
        <v>1523106944</v>
      </c>
      <c r="G27" s="308">
        <f ca="1">IFERROR(__xludf.DUMMYFUNCTION("""COMPUTED_VALUE"""),1167090048)</f>
        <v>1167090048</v>
      </c>
      <c r="H27" s="328">
        <f ca="1">IFERROR(__xludf.DUMMYFUNCTION("""COMPUTED_VALUE"""),0.305)</f>
        <v>0.30499999999999999</v>
      </c>
      <c r="I27" s="323"/>
      <c r="J27" s="324"/>
      <c r="K27" s="324"/>
      <c r="L27" s="329"/>
      <c r="M27" s="324"/>
      <c r="N27" s="324"/>
      <c r="O27" s="329"/>
      <c r="P27" s="329"/>
      <c r="Q27" s="310"/>
      <c r="S27" s="325"/>
      <c r="T27" s="324"/>
      <c r="U27" s="324"/>
      <c r="V27" s="310"/>
    </row>
    <row r="28" spans="1:22" ht="12.5">
      <c r="A28" s="306">
        <f ca="1">IFERROR(__xludf.DUMMYFUNCTION("""COMPUTED_VALUE"""),45444)</f>
        <v>45444</v>
      </c>
      <c r="B28" s="308">
        <f ca="1">IFERROR(__xludf.DUMMYFUNCTION("""COMPUTED_VALUE"""),207868704)</f>
        <v>207868704</v>
      </c>
      <c r="C28" s="308">
        <f ca="1">IFERROR(__xludf.DUMMYFUNCTION("""COMPUTED_VALUE"""),156404192)</f>
        <v>156404192</v>
      </c>
      <c r="D28" s="328">
        <f ca="1">IFERROR(__xludf.DUMMYFUNCTION("""COMPUTED_VALUE"""),-0.095)</f>
        <v>-9.5000000000000001E-2</v>
      </c>
      <c r="E28" s="328">
        <f ca="1">IFERROR(__xludf.DUMMYFUNCTION("""COMPUTED_VALUE"""),0.329)</f>
        <v>0.32900000000000001</v>
      </c>
      <c r="F28" s="318">
        <f ca="1">IFERROR(__xludf.DUMMYFUNCTION("""COMPUTED_VALUE"""),1266153984)</f>
        <v>1266153984</v>
      </c>
      <c r="G28" s="308">
        <f ca="1">IFERROR(__xludf.DUMMYFUNCTION("""COMPUTED_VALUE"""),989474176)</f>
        <v>989474176</v>
      </c>
      <c r="H28" s="328">
        <f ca="1">IFERROR(__xludf.DUMMYFUNCTION("""COMPUTED_VALUE"""),0.28)</f>
        <v>0.28000000000000003</v>
      </c>
      <c r="I28" s="323"/>
      <c r="J28" s="324"/>
      <c r="K28" s="324"/>
      <c r="L28" s="329"/>
      <c r="M28" s="324"/>
      <c r="N28" s="324"/>
      <c r="O28" s="329"/>
      <c r="P28" s="329"/>
      <c r="Q28" s="310"/>
      <c r="S28" s="325"/>
      <c r="T28" s="324"/>
      <c r="U28" s="324"/>
      <c r="V28" s="310"/>
    </row>
    <row r="29" spans="1:22" ht="12.5">
      <c r="A29" s="306">
        <f ca="1">IFERROR(__xludf.DUMMYFUNCTION("""COMPUTED_VALUE"""),45413)</f>
        <v>45413</v>
      </c>
      <c r="B29" s="308">
        <f ca="1">IFERROR(__xludf.DUMMYFUNCTION("""COMPUTED_VALUE"""),229620400)</f>
        <v>229620400</v>
      </c>
      <c r="C29" s="308">
        <f ca="1">IFERROR(__xludf.DUMMYFUNCTION("""COMPUTED_VALUE"""),176537296)</f>
        <v>176537296</v>
      </c>
      <c r="D29" s="328">
        <f ca="1">IFERROR(__xludf.DUMMYFUNCTION("""COMPUTED_VALUE"""),-0.027)</f>
        <v>-2.7E-2</v>
      </c>
      <c r="E29" s="328">
        <f ca="1">IFERROR(__xludf.DUMMYFUNCTION("""COMPUTED_VALUE"""),0.301)</f>
        <v>0.30099999999999999</v>
      </c>
      <c r="F29" s="318">
        <f ca="1">IFERROR(__xludf.DUMMYFUNCTION("""COMPUTED_VALUE"""),1058286016)</f>
        <v>1058286016</v>
      </c>
      <c r="G29" s="308">
        <f ca="1">IFERROR(__xludf.DUMMYFUNCTION("""COMPUTED_VALUE"""),833070080)</f>
        <v>833070080</v>
      </c>
      <c r="H29" s="328">
        <f ca="1">IFERROR(__xludf.DUMMYFUNCTION("""COMPUTED_VALUE"""),0.27)</f>
        <v>0.27</v>
      </c>
      <c r="I29" s="323"/>
      <c r="J29" s="324"/>
      <c r="K29" s="324"/>
      <c r="L29" s="329"/>
      <c r="M29" s="324"/>
      <c r="N29" s="324"/>
      <c r="O29" s="329"/>
      <c r="P29" s="329"/>
      <c r="Q29" s="310"/>
      <c r="S29" s="325"/>
      <c r="T29" s="324"/>
      <c r="U29" s="324"/>
      <c r="V29" s="310"/>
    </row>
    <row r="30" spans="1:22" ht="12.5">
      <c r="A30" s="306">
        <f ca="1">IFERROR(__xludf.DUMMYFUNCTION("""COMPUTED_VALUE"""),45383)</f>
        <v>45383</v>
      </c>
      <c r="B30" s="308">
        <f ca="1">IFERROR(__xludf.DUMMYFUNCTION("""COMPUTED_VALUE"""),236021104)</f>
        <v>236021104</v>
      </c>
      <c r="C30" s="308">
        <f ca="1">IFERROR(__xludf.DUMMYFUNCTION("""COMPUTED_VALUE"""),147899696)</f>
        <v>147899696</v>
      </c>
      <c r="D30" s="328">
        <f ca="1">IFERROR(__xludf.DUMMYFUNCTION("""COMPUTED_VALUE"""),0.209)</f>
        <v>0.20899999999999999</v>
      </c>
      <c r="E30" s="328">
        <f ca="1">IFERROR(__xludf.DUMMYFUNCTION("""COMPUTED_VALUE"""),0.596)</f>
        <v>0.59599999999999997</v>
      </c>
      <c r="F30" s="318">
        <f ca="1">IFERROR(__xludf.DUMMYFUNCTION("""COMPUTED_VALUE"""),828665280)</f>
        <v>828665280</v>
      </c>
      <c r="G30" s="308">
        <f ca="1">IFERROR(__xludf.DUMMYFUNCTION("""COMPUTED_VALUE"""),656532672)</f>
        <v>656532672</v>
      </c>
      <c r="H30" s="328">
        <f ca="1">IFERROR(__xludf.DUMMYFUNCTION("""COMPUTED_VALUE"""),0.262)</f>
        <v>0.26200000000000001</v>
      </c>
      <c r="I30" s="323"/>
      <c r="J30" s="324"/>
      <c r="K30" s="324"/>
      <c r="L30" s="329"/>
      <c r="M30" s="324"/>
      <c r="N30" s="324"/>
      <c r="O30" s="329"/>
      <c r="P30" s="329"/>
      <c r="Q30" s="310"/>
      <c r="S30" s="325"/>
      <c r="T30" s="324"/>
      <c r="U30" s="324"/>
      <c r="V30" s="310"/>
    </row>
    <row r="31" spans="1:22" ht="12.5">
      <c r="A31" s="306">
        <f ca="1">IFERROR(__xludf.DUMMYFUNCTION("""COMPUTED_VALUE"""),45352)</f>
        <v>45352</v>
      </c>
      <c r="B31" s="308">
        <f ca="1">IFERROR(__xludf.DUMMYFUNCTION("""COMPUTED_VALUE"""),195210800)</f>
        <v>195210800</v>
      </c>
      <c r="C31" s="308">
        <f ca="1">IFERROR(__xludf.DUMMYFUNCTION("""COMPUTED_VALUE"""),145408304)</f>
        <v>145408304</v>
      </c>
      <c r="D31" s="328">
        <f ca="1">IFERROR(__xludf.DUMMYFUNCTION("""COMPUTED_VALUE"""),0.075)</f>
        <v>7.4999999999999997E-2</v>
      </c>
      <c r="E31" s="328">
        <f ca="1">IFERROR(__xludf.DUMMYFUNCTION("""COMPUTED_VALUE"""),0.343)</f>
        <v>0.34300000000000003</v>
      </c>
      <c r="F31" s="318">
        <f ca="1">IFERROR(__xludf.DUMMYFUNCTION("""COMPUTED_VALUE"""),592644224)</f>
        <v>592644224</v>
      </c>
      <c r="G31" s="308">
        <f ca="1">IFERROR(__xludf.DUMMYFUNCTION("""COMPUTED_VALUE"""),508632992)</f>
        <v>508632992</v>
      </c>
      <c r="H31" s="328">
        <f ca="1">IFERROR(__xludf.DUMMYFUNCTION("""COMPUTED_VALUE"""),0.165)</f>
        <v>0.16500000000000001</v>
      </c>
      <c r="I31" s="323"/>
      <c r="J31" s="324"/>
      <c r="K31" s="324"/>
      <c r="L31" s="329"/>
      <c r="M31" s="324"/>
      <c r="N31" s="324"/>
      <c r="O31" s="329"/>
      <c r="P31" s="329"/>
      <c r="Q31" s="310"/>
      <c r="S31" s="325"/>
      <c r="T31" s="324"/>
      <c r="U31" s="324"/>
      <c r="V31" s="310"/>
    </row>
    <row r="32" spans="1:22" ht="12.5">
      <c r="A32" s="306">
        <f ca="1">IFERROR(__xludf.DUMMYFUNCTION("""COMPUTED_VALUE"""),45323)</f>
        <v>45323</v>
      </c>
      <c r="B32" s="308">
        <f ca="1">IFERROR(__xludf.DUMMYFUNCTION("""COMPUTED_VALUE"""),181648304)</f>
        <v>181648304</v>
      </c>
      <c r="C32" s="308">
        <f ca="1">IFERROR(__xludf.DUMMYFUNCTION("""COMPUTED_VALUE"""),163174096)</f>
        <v>163174096</v>
      </c>
      <c r="D32" s="328">
        <f ca="1">IFERROR(__xludf.DUMMYFUNCTION("""COMPUTED_VALUE"""),-0.158)</f>
        <v>-0.158</v>
      </c>
      <c r="E32" s="328">
        <f ca="1">IFERROR(__xludf.DUMMYFUNCTION("""COMPUTED_VALUE"""),0.113)</f>
        <v>0.113</v>
      </c>
      <c r="F32" s="318">
        <f ca="1">IFERROR(__xludf.DUMMYFUNCTION("""COMPUTED_VALUE"""),397433408)</f>
        <v>397433408</v>
      </c>
      <c r="G32" s="308">
        <f ca="1">IFERROR(__xludf.DUMMYFUNCTION("""COMPUTED_VALUE"""),363224608)</f>
        <v>363224608</v>
      </c>
      <c r="H32" s="328">
        <f ca="1">IFERROR(__xludf.DUMMYFUNCTION("""COMPUTED_VALUE"""),0.094)</f>
        <v>9.4E-2</v>
      </c>
      <c r="I32" s="323"/>
      <c r="J32" s="324"/>
      <c r="K32" s="324"/>
      <c r="L32" s="329"/>
      <c r="M32" s="324"/>
      <c r="N32" s="324"/>
      <c r="O32" s="329"/>
      <c r="P32" s="329"/>
      <c r="Q32" s="310"/>
      <c r="S32" s="325"/>
      <c r="T32" s="324"/>
      <c r="U32" s="324"/>
      <c r="V32" s="310"/>
    </row>
    <row r="33" spans="1:22" ht="12.5">
      <c r="A33" s="306">
        <f ca="1">IFERROR(__xludf.DUMMYFUNCTION("""COMPUTED_VALUE"""),45292)</f>
        <v>45292</v>
      </c>
      <c r="B33" s="308">
        <f ca="1">IFERROR(__xludf.DUMMYFUNCTION("""COMPUTED_VALUE"""),215785104)</f>
        <v>215785104</v>
      </c>
      <c r="C33" s="308">
        <f ca="1">IFERROR(__xludf.DUMMYFUNCTION("""COMPUTED_VALUE"""),200050496)</f>
        <v>200050496</v>
      </c>
      <c r="D33" s="328">
        <f ca="1">IFERROR(__xludf.DUMMYFUNCTION("""COMPUTED_VALUE"""),0.224)</f>
        <v>0.224</v>
      </c>
      <c r="E33" s="328">
        <f ca="1">IFERROR(__xludf.DUMMYFUNCTION("""COMPUTED_VALUE"""),0.079)</f>
        <v>7.9000000000000001E-2</v>
      </c>
      <c r="F33" s="318">
        <f ca="1">IFERROR(__xludf.DUMMYFUNCTION("""COMPUTED_VALUE"""),215785104)</f>
        <v>215785104</v>
      </c>
      <c r="G33" s="308">
        <f ca="1">IFERROR(__xludf.DUMMYFUNCTION("""COMPUTED_VALUE"""),200050496)</f>
        <v>200050496</v>
      </c>
      <c r="H33" s="328">
        <f ca="1">IFERROR(__xludf.DUMMYFUNCTION("""COMPUTED_VALUE"""),0.079)</f>
        <v>7.9000000000000001E-2</v>
      </c>
      <c r="I33" s="323"/>
      <c r="J33" s="324"/>
      <c r="K33" s="324"/>
      <c r="L33" s="329"/>
      <c r="M33" s="324"/>
      <c r="N33" s="324"/>
      <c r="O33" s="329"/>
      <c r="P33" s="329"/>
      <c r="Q33" s="310"/>
      <c r="S33" s="325"/>
      <c r="T33" s="324"/>
      <c r="U33" s="324"/>
      <c r="V33" s="310"/>
    </row>
    <row r="34" spans="1:22" ht="12.5">
      <c r="A34" s="306">
        <f ca="1">IFERROR(__xludf.DUMMYFUNCTION("""COMPUTED_VALUE"""),45261)</f>
        <v>45261</v>
      </c>
      <c r="B34" s="308">
        <f ca="1">IFERROR(__xludf.DUMMYFUNCTION("""COMPUTED_VALUE"""),176299904)</f>
        <v>176299904</v>
      </c>
      <c r="C34" s="308">
        <f ca="1">IFERROR(__xludf.DUMMYFUNCTION("""COMPUTED_VALUE"""),192560192)</f>
        <v>192560192</v>
      </c>
      <c r="D34" s="328">
        <f ca="1">IFERROR(__xludf.DUMMYFUNCTION("""COMPUTED_VALUE"""),-0.144)</f>
        <v>-0.14399999999999999</v>
      </c>
      <c r="E34" s="328">
        <f ca="1">IFERROR(__xludf.DUMMYFUNCTION("""COMPUTED_VALUE"""),-0.084)</f>
        <v>-8.4000000000000005E-2</v>
      </c>
      <c r="F34" s="318">
        <f ca="1">IFERROR(__xludf.DUMMYFUNCTION("""COMPUTED_VALUE"""),2161735936)</f>
        <v>2161735936</v>
      </c>
      <c r="G34" s="308">
        <f ca="1">IFERROR(__xludf.DUMMYFUNCTION("""COMPUTED_VALUE"""),2263890944)</f>
        <v>2263890944</v>
      </c>
      <c r="H34" s="328">
        <f ca="1">IFERROR(__xludf.DUMMYFUNCTION("""COMPUTED_VALUE"""),-0.045)</f>
        <v>-4.4999999999999998E-2</v>
      </c>
      <c r="I34" s="323"/>
      <c r="J34" s="324"/>
      <c r="K34" s="324"/>
      <c r="L34" s="329"/>
      <c r="M34" s="324"/>
      <c r="N34" s="324"/>
      <c r="O34" s="329"/>
      <c r="P34" s="329"/>
      <c r="Q34" s="310"/>
      <c r="S34" s="325"/>
      <c r="T34" s="324"/>
      <c r="U34" s="324"/>
      <c r="V34" s="310"/>
    </row>
    <row r="35" spans="1:22" ht="12.5">
      <c r="A35" s="306">
        <f ca="1">IFERROR(__xludf.DUMMYFUNCTION("""COMPUTED_VALUE"""),45231)</f>
        <v>45231</v>
      </c>
      <c r="B35" s="308">
        <f ca="1">IFERROR(__xludf.DUMMYFUNCTION("""COMPUTED_VALUE"""),206026208)</f>
        <v>206026208</v>
      </c>
      <c r="C35" s="308">
        <f ca="1">IFERROR(__xludf.DUMMYFUNCTION("""COMPUTED_VALUE"""),222706000)</f>
        <v>222706000</v>
      </c>
      <c r="D35" s="328">
        <f ca="1">IFERROR(__xludf.DUMMYFUNCTION("""COMPUTED_VALUE"""),-0.153)</f>
        <v>-0.153</v>
      </c>
      <c r="E35" s="328">
        <f ca="1">IFERROR(__xludf.DUMMYFUNCTION("""COMPUTED_VALUE"""),-0.075)</f>
        <v>-7.4999999999999997E-2</v>
      </c>
      <c r="F35" s="318">
        <f ca="1">IFERROR(__xludf.DUMMYFUNCTION("""COMPUTED_VALUE"""),1985436032)</f>
        <v>1985436032</v>
      </c>
      <c r="G35" s="308">
        <f ca="1">IFERROR(__xludf.DUMMYFUNCTION("""COMPUTED_VALUE"""),2071330944)</f>
        <v>2071330944</v>
      </c>
      <c r="H35" s="328">
        <f ca="1">IFERROR(__xludf.DUMMYFUNCTION("""COMPUTED_VALUE"""),-0.041)</f>
        <v>-4.1000000000000002E-2</v>
      </c>
      <c r="I35" s="323"/>
      <c r="J35" s="324"/>
      <c r="K35" s="324"/>
      <c r="L35" s="329"/>
      <c r="M35" s="324"/>
      <c r="N35" s="324"/>
      <c r="O35" s="329"/>
      <c r="P35" s="329"/>
      <c r="Q35" s="310"/>
      <c r="S35" s="325"/>
      <c r="T35" s="324"/>
      <c r="U35" s="324"/>
      <c r="V35" s="310"/>
    </row>
    <row r="36" spans="1:22" ht="12.5">
      <c r="A36" s="306">
        <f ca="1">IFERROR(__xludf.DUMMYFUNCTION("""COMPUTED_VALUE"""),45200)</f>
        <v>45200</v>
      </c>
      <c r="B36" s="308">
        <f ca="1">IFERROR(__xludf.DUMMYFUNCTION("""COMPUTED_VALUE"""),243202800)</f>
        <v>243202800</v>
      </c>
      <c r="C36" s="308">
        <f ca="1">IFERROR(__xludf.DUMMYFUNCTION("""COMPUTED_VALUE"""),210265600)</f>
        <v>210265600</v>
      </c>
      <c r="D36" s="328">
        <f ca="1">IFERROR(__xludf.DUMMYFUNCTION("""COMPUTED_VALUE"""),0.348)</f>
        <v>0.34799999999999998</v>
      </c>
      <c r="E36" s="328">
        <f ca="1">IFERROR(__xludf.DUMMYFUNCTION("""COMPUTED_VALUE"""),0.157)</f>
        <v>0.157</v>
      </c>
      <c r="F36" s="318">
        <f ca="1">IFERROR(__xludf.DUMMYFUNCTION("""COMPUTED_VALUE"""),1779410048)</f>
        <v>1779410048</v>
      </c>
      <c r="G36" s="308">
        <f ca="1">IFERROR(__xludf.DUMMYFUNCTION("""COMPUTED_VALUE"""),1848625024)</f>
        <v>1848625024</v>
      </c>
      <c r="H36" s="328">
        <f ca="1">IFERROR(__xludf.DUMMYFUNCTION("""COMPUTED_VALUE"""),-0.037)</f>
        <v>-3.6999999999999998E-2</v>
      </c>
      <c r="I36" s="323"/>
      <c r="J36" s="324"/>
      <c r="K36" s="324"/>
      <c r="L36" s="329"/>
      <c r="M36" s="324"/>
      <c r="N36" s="324"/>
      <c r="O36" s="329"/>
      <c r="P36" s="329"/>
      <c r="Q36" s="310"/>
      <c r="S36" s="325"/>
      <c r="T36" s="324"/>
      <c r="U36" s="324"/>
      <c r="V36" s="310"/>
    </row>
    <row r="37" spans="1:22" ht="12.5">
      <c r="A37" s="306">
        <f ca="1">IFERROR(__xludf.DUMMYFUNCTION("""COMPUTED_VALUE"""),45170)</f>
        <v>45170</v>
      </c>
      <c r="B37" s="308">
        <f ca="1">IFERROR(__xludf.DUMMYFUNCTION("""COMPUTED_VALUE"""),180430304)</f>
        <v>180430304</v>
      </c>
      <c r="C37" s="308">
        <f ca="1">IFERROR(__xludf.DUMMYFUNCTION("""COMPUTED_VALUE"""),208247696)</f>
        <v>208247696</v>
      </c>
      <c r="D37" s="328">
        <f ca="1">IFERROR(__xludf.DUMMYFUNCTION("""COMPUTED_VALUE"""),-0.044)</f>
        <v>-4.3999999999999997E-2</v>
      </c>
      <c r="E37" s="328">
        <f ca="1">IFERROR(__xludf.DUMMYFUNCTION("""COMPUTED_VALUE"""),-0.134)</f>
        <v>-0.13400000000000001</v>
      </c>
      <c r="F37" s="318">
        <f ca="1">IFERROR(__xludf.DUMMYFUNCTION("""COMPUTED_VALUE"""),1536206976)</f>
        <v>1536206976</v>
      </c>
      <c r="G37" s="308">
        <f ca="1">IFERROR(__xludf.DUMMYFUNCTION("""COMPUTED_VALUE"""),1638359040)</f>
        <v>1638359040</v>
      </c>
      <c r="H37" s="328">
        <f ca="1">IFERROR(__xludf.DUMMYFUNCTION("""COMPUTED_VALUE"""),-0.062)</f>
        <v>-6.2E-2</v>
      </c>
      <c r="I37" s="323"/>
      <c r="J37" s="324"/>
      <c r="K37" s="324"/>
      <c r="L37" s="329"/>
      <c r="M37" s="324"/>
      <c r="N37" s="324"/>
      <c r="O37" s="329"/>
      <c r="P37" s="329"/>
      <c r="Q37" s="310"/>
      <c r="S37" s="325"/>
      <c r="T37" s="324"/>
      <c r="U37" s="324"/>
      <c r="V37" s="310"/>
    </row>
    <row r="38" spans="1:22" ht="12.5">
      <c r="A38" s="306">
        <f ca="1">IFERROR(__xludf.DUMMYFUNCTION("""COMPUTED_VALUE"""),45139)</f>
        <v>45139</v>
      </c>
      <c r="B38" s="308">
        <f ca="1">IFERROR(__xludf.DUMMYFUNCTION("""COMPUTED_VALUE"""),188686304)</f>
        <v>188686304</v>
      </c>
      <c r="C38" s="308">
        <f ca="1">IFERROR(__xludf.DUMMYFUNCTION("""COMPUTED_VALUE"""),218132400)</f>
        <v>218132400</v>
      </c>
      <c r="D38" s="328">
        <f ca="1">IFERROR(__xludf.DUMMYFUNCTION("""COMPUTED_VALUE"""),0.062)</f>
        <v>6.2E-2</v>
      </c>
      <c r="E38" s="328">
        <f ca="1">IFERROR(__xludf.DUMMYFUNCTION("""COMPUTED_VALUE"""),-0.135)</f>
        <v>-0.13500000000000001</v>
      </c>
      <c r="F38" s="318">
        <f ca="1">IFERROR(__xludf.DUMMYFUNCTION("""COMPUTED_VALUE"""),1355777024)</f>
        <v>1355777024</v>
      </c>
      <c r="G38" s="308">
        <f ca="1">IFERROR(__xludf.DUMMYFUNCTION("""COMPUTED_VALUE"""),1430112000)</f>
        <v>1430112000</v>
      </c>
      <c r="H38" s="328">
        <f ca="1">IFERROR(__xludf.DUMMYFUNCTION("""COMPUTED_VALUE"""),-0.052)</f>
        <v>-5.1999999999999998E-2</v>
      </c>
      <c r="I38" s="323"/>
      <c r="J38" s="324"/>
      <c r="K38" s="324"/>
      <c r="L38" s="329"/>
      <c r="M38" s="324"/>
      <c r="N38" s="324"/>
      <c r="O38" s="329"/>
      <c r="P38" s="329"/>
      <c r="Q38" s="310"/>
      <c r="S38" s="325"/>
      <c r="T38" s="324"/>
      <c r="U38" s="324"/>
      <c r="V38" s="310"/>
    </row>
    <row r="39" spans="1:22" ht="15.75" customHeight="1">
      <c r="A39" s="323"/>
      <c r="B39" s="324"/>
      <c r="C39" s="324"/>
      <c r="D39" s="329"/>
      <c r="E39" s="329"/>
      <c r="F39" s="325"/>
      <c r="G39" s="324"/>
      <c r="H39" s="329"/>
      <c r="I39" s="323"/>
      <c r="J39" s="324"/>
      <c r="K39" s="324"/>
      <c r="L39" s="329"/>
      <c r="M39" s="324"/>
      <c r="N39" s="324"/>
      <c r="O39" s="329"/>
      <c r="P39" s="329"/>
      <c r="Q39" s="310"/>
      <c r="S39" s="325"/>
      <c r="T39" s="324"/>
      <c r="U39" s="324"/>
      <c r="V39" s="310"/>
    </row>
    <row r="40" spans="1:22" ht="15.75" customHeight="1">
      <c r="A40" s="323"/>
      <c r="B40" s="324"/>
      <c r="C40" s="324"/>
      <c r="D40" s="329"/>
      <c r="E40" s="329"/>
      <c r="F40" s="325"/>
      <c r="G40" s="324"/>
      <c r="H40" s="329"/>
      <c r="I40" s="323"/>
      <c r="J40" s="324"/>
      <c r="K40" s="324"/>
      <c r="L40" s="329"/>
      <c r="M40" s="324"/>
      <c r="N40" s="324"/>
      <c r="O40" s="329"/>
      <c r="P40" s="329"/>
      <c r="Q40" s="310"/>
      <c r="S40" s="325"/>
      <c r="T40" s="324"/>
      <c r="U40" s="324"/>
      <c r="V40" s="310"/>
    </row>
    <row r="41" spans="1:22" ht="15.75" customHeight="1" thickBot="1">
      <c r="A41" s="665"/>
      <c r="B41" s="666"/>
      <c r="C41" s="666"/>
      <c r="D41" s="667"/>
      <c r="E41" s="667"/>
      <c r="F41" s="668"/>
      <c r="G41" s="666"/>
      <c r="H41" s="667"/>
      <c r="I41" s="665"/>
      <c r="J41" s="666"/>
      <c r="K41" s="666"/>
      <c r="L41" s="667"/>
      <c r="M41" s="666"/>
      <c r="N41" s="666"/>
      <c r="O41" s="663"/>
      <c r="P41" s="663"/>
      <c r="Q41" s="664"/>
      <c r="S41" s="668"/>
      <c r="T41" s="666"/>
      <c r="U41" s="666"/>
      <c r="V41" s="669"/>
    </row>
    <row r="42" spans="1:22" ht="13.5" thickBot="1">
      <c r="O42" s="687" t="s">
        <v>67</v>
      </c>
      <c r="P42" s="688">
        <f ca="1">YEAR(A3)</f>
        <v>2026</v>
      </c>
      <c r="Q42" s="688">
        <f ca="1">YEAR(A3)-1</f>
        <v>2025</v>
      </c>
      <c r="R42" s="689">
        <f ca="1">YEAR(A3)-2</f>
        <v>2024</v>
      </c>
    </row>
    <row r="43" spans="1:22" ht="13">
      <c r="A43" s="416" t="str">
        <f ca="1">IFERROR(__xludf.DUMMYFUNCTION("IMPORTHTML(SUBSTITUTE(""https://histock.tw/stock/financial.aspx?no=股票代碼&amp;t=5&amp;st=4&amp;q=2"", ""股票代碼"",'股價預估'!E1),""table"",0)"),"年度/季別")</f>
        <v>年度/季別</v>
      </c>
      <c r="B43" s="417" t="str">
        <f ca="1">IFERROR(__xludf.DUMMYFUNCTION("""COMPUTED_VALUE"""),"營收年增率")</f>
        <v>營收年增率</v>
      </c>
      <c r="C43" s="424" t="str">
        <f ca="1">IFERROR(__xludf.DUMMYFUNCTION("""COMPUTED_VALUE"""),"近4季營收年增率")</f>
        <v>近4季營收年增率</v>
      </c>
      <c r="D43" s="416" t="str">
        <f ca="1">IFERROR(__xludf.DUMMYFUNCTION("""COMPUTED_VALUE"""),"年度/季別")</f>
        <v>年度/季別</v>
      </c>
      <c r="E43" s="417" t="str">
        <f ca="1">IFERROR(__xludf.DUMMYFUNCTION("""COMPUTED_VALUE"""),"營收年增率")</f>
        <v>營收年增率</v>
      </c>
      <c r="F43" s="672" t="str">
        <f ca="1">IFERROR(__xludf.DUMMYFUNCTION("""COMPUTED_VALUE"""),"近4季營收年增率")</f>
        <v>近4季營收年增率</v>
      </c>
      <c r="O43" s="685">
        <f t="shared" ref="O43:O54" ca="1" si="16">MONTH(A3)</f>
        <v>7</v>
      </c>
      <c r="P43" s="690">
        <f t="shared" ref="P43:P54" ca="1" si="17">B3</f>
        <v>467580544</v>
      </c>
      <c r="Q43" s="690">
        <f t="shared" ref="Q43:Q54" ca="1" si="18">B15</f>
        <v>323165696</v>
      </c>
      <c r="R43" s="691">
        <f t="shared" ref="R43:R54" ca="1" si="19">B27</f>
        <v>256953104</v>
      </c>
    </row>
    <row r="44" spans="1:22" ht="12.5">
      <c r="A44" s="418" t="str">
        <f ca="1">IFERROR(__xludf.DUMMYFUNCTION("""COMPUTED_VALUE"""),"2026Q2")</f>
        <v>2026Q2</v>
      </c>
      <c r="B44" s="673">
        <f ca="1">IFERROR(__xludf.DUMMYFUNCTION("""COMPUTED_VALUE"""),0.3605)</f>
        <v>0.36049999999999999</v>
      </c>
      <c r="C44" s="674">
        <f ca="1">IFERROR(__xludf.DUMMYFUNCTION("""COMPUTED_VALUE"""),0.3056)</f>
        <v>0.30559999999999998</v>
      </c>
      <c r="D44" s="418" t="str">
        <f ca="1">IFERROR(__xludf.DUMMYFUNCTION("""COMPUTED_VALUE"""),"2023Q3")</f>
        <v>2023Q3</v>
      </c>
      <c r="E44" s="673">
        <f ca="1">IFERROR(__xludf.DUMMYFUNCTION("""COMPUTED_VALUE"""),-0.1083)</f>
        <v>-0.10829999999999999</v>
      </c>
      <c r="F44" s="681">
        <f ca="1">IFERROR(__xludf.DUMMYFUNCTION("""COMPUTED_VALUE"""),0.041)</f>
        <v>4.1000000000000002E-2</v>
      </c>
      <c r="O44" s="685">
        <f t="shared" ca="1" si="16"/>
        <v>6</v>
      </c>
      <c r="P44" s="690">
        <f t="shared" ca="1" si="17"/>
        <v>442679968</v>
      </c>
      <c r="Q44" s="690">
        <f t="shared" ca="1" si="18"/>
        <v>263708992</v>
      </c>
      <c r="R44" s="691">
        <f t="shared" ca="1" si="19"/>
        <v>207868704</v>
      </c>
    </row>
    <row r="45" spans="1:22" ht="12.5">
      <c r="A45" s="418" t="str">
        <f ca="1">IFERROR(__xludf.DUMMYFUNCTION("""COMPUTED_VALUE"""),"2026Q1")</f>
        <v>2026Q1</v>
      </c>
      <c r="B45" s="673">
        <f ca="1">IFERROR(__xludf.DUMMYFUNCTION("""COMPUTED_VALUE"""),0.3513)</f>
        <v>0.3513</v>
      </c>
      <c r="C45" s="674">
        <f ca="1">IFERROR(__xludf.DUMMYFUNCTION("""COMPUTED_VALUE"""),0.3066)</f>
        <v>0.30659999999999998</v>
      </c>
      <c r="D45" s="418" t="str">
        <f ca="1">IFERROR(__xludf.DUMMYFUNCTION("""COMPUTED_VALUE"""),"2023Q2")</f>
        <v>2023Q2</v>
      </c>
      <c r="E45" s="673">
        <f ca="1">IFERROR(__xludf.DUMMYFUNCTION("""COMPUTED_VALUE"""),-0.0998)</f>
        <v>-9.98E-2</v>
      </c>
      <c r="F45" s="681">
        <f ca="1">IFERROR(__xludf.DUMMYFUNCTION("""COMPUTED_VALUE"""),0.1864)</f>
        <v>0.18640000000000001</v>
      </c>
      <c r="O45" s="685">
        <f t="shared" ca="1" si="16"/>
        <v>5</v>
      </c>
      <c r="P45" s="690">
        <f t="shared" ca="1" si="17"/>
        <v>416975168</v>
      </c>
      <c r="Q45" s="690">
        <f t="shared" ca="1" si="18"/>
        <v>320515904</v>
      </c>
      <c r="R45" s="691">
        <f t="shared" ca="1" si="19"/>
        <v>229620400</v>
      </c>
    </row>
    <row r="46" spans="1:22" ht="12.5">
      <c r="A46" s="418" t="str">
        <f ca="1">IFERROR(__xludf.DUMMYFUNCTION("""COMPUTED_VALUE"""),"2025Q4")</f>
        <v>2025Q4</v>
      </c>
      <c r="B46" s="673">
        <f ca="1">IFERROR(__xludf.DUMMYFUNCTION("""COMPUTED_VALUE"""),0.2045)</f>
        <v>0.20449999999999999</v>
      </c>
      <c r="C46" s="674">
        <f ca="1">IFERROR(__xludf.DUMMYFUNCTION("""COMPUTED_VALUE"""),0.3161)</f>
        <v>0.31609999999999999</v>
      </c>
      <c r="D46" s="418" t="str">
        <f ca="1">IFERROR(__xludf.DUMMYFUNCTION("""COMPUTED_VALUE"""),"2023Q1")</f>
        <v>2023Q1</v>
      </c>
      <c r="E46" s="673">
        <f ca="1">IFERROR(__xludf.DUMMYFUNCTION("""COMPUTED_VALUE"""),0.0358)</f>
        <v>3.5799999999999998E-2</v>
      </c>
      <c r="F46" s="681">
        <f ca="1">IFERROR(__xludf.DUMMYFUNCTION("""COMPUTED_VALUE"""),0.3295)</f>
        <v>0.32950000000000002</v>
      </c>
      <c r="O46" s="685">
        <f t="shared" ca="1" si="16"/>
        <v>4</v>
      </c>
      <c r="P46" s="690">
        <f t="shared" ca="1" si="17"/>
        <v>410725088</v>
      </c>
      <c r="Q46" s="690">
        <f t="shared" ca="1" si="18"/>
        <v>349566912</v>
      </c>
      <c r="R46" s="691">
        <f t="shared" ca="1" si="19"/>
        <v>236021104</v>
      </c>
    </row>
    <row r="47" spans="1:22" ht="12.5">
      <c r="A47" s="418" t="str">
        <f ca="1">IFERROR(__xludf.DUMMYFUNCTION("""COMPUTED_VALUE"""),"2025Q3")</f>
        <v>2025Q3</v>
      </c>
      <c r="B47" s="673">
        <f ca="1">IFERROR(__xludf.DUMMYFUNCTION("""COMPUTED_VALUE"""),0.3031)</f>
        <v>0.30309999999999998</v>
      </c>
      <c r="C47" s="674">
        <f ca="1">IFERROR(__xludf.DUMMYFUNCTION("""COMPUTED_VALUE"""),0.3696)</f>
        <v>0.36959999999999998</v>
      </c>
      <c r="D47" s="418" t="str">
        <f ca="1">IFERROR(__xludf.DUMMYFUNCTION("""COMPUTED_VALUE"""),"2022Q4")</f>
        <v>2022Q4</v>
      </c>
      <c r="E47" s="673">
        <f ca="1">IFERROR(__xludf.DUMMYFUNCTION("""COMPUTED_VALUE"""),0.4275)</f>
        <v>0.42749999999999999</v>
      </c>
      <c r="F47" s="681">
        <f ca="1">IFERROR(__xludf.DUMMYFUNCTION("""COMPUTED_VALUE"""),0.4261)</f>
        <v>0.42609999999999998</v>
      </c>
      <c r="O47" s="685">
        <f t="shared" ca="1" si="16"/>
        <v>3</v>
      </c>
      <c r="P47" s="690">
        <f t="shared" ca="1" si="17"/>
        <v>415191712</v>
      </c>
      <c r="Q47" s="690">
        <f t="shared" ca="1" si="18"/>
        <v>285956800</v>
      </c>
      <c r="R47" s="691">
        <f t="shared" ca="1" si="19"/>
        <v>195210800</v>
      </c>
    </row>
    <row r="48" spans="1:22" ht="12.5">
      <c r="A48" s="418" t="str">
        <f ca="1">IFERROR(__xludf.DUMMYFUNCTION("""COMPUTED_VALUE"""),"2025Q2")</f>
        <v>2025Q2</v>
      </c>
      <c r="B48" s="673">
        <f ca="1">IFERROR(__xludf.DUMMYFUNCTION("""COMPUTED_VALUE"""),0.3865)</f>
        <v>0.38650000000000001</v>
      </c>
      <c r="C48" s="674">
        <f ca="1">IFERROR(__xludf.DUMMYFUNCTION("""COMPUTED_VALUE"""),0.3948)</f>
        <v>0.39479999999999998</v>
      </c>
      <c r="D48" s="418" t="str">
        <f ca="1">IFERROR(__xludf.DUMMYFUNCTION("""COMPUTED_VALUE"""),"2022Q3")</f>
        <v>2022Q3</v>
      </c>
      <c r="E48" s="673">
        <f ca="1">IFERROR(__xludf.DUMMYFUNCTION("""COMPUTED_VALUE"""),0.4786)</f>
        <v>0.47860000000000003</v>
      </c>
      <c r="F48" s="681">
        <f ca="1">IFERROR(__xludf.DUMMYFUNCTION("""COMPUTED_VALUE"""),0.3745)</f>
        <v>0.3745</v>
      </c>
      <c r="O48" s="685">
        <f t="shared" ca="1" si="16"/>
        <v>2</v>
      </c>
      <c r="P48" s="690">
        <f t="shared" ca="1" si="17"/>
        <v>317656608</v>
      </c>
      <c r="Q48" s="690">
        <f t="shared" ca="1" si="18"/>
        <v>260008800</v>
      </c>
      <c r="R48" s="691">
        <f t="shared" ca="1" si="19"/>
        <v>181648304</v>
      </c>
    </row>
    <row r="49" spans="1:18" ht="12.5">
      <c r="A49" s="418" t="str">
        <f ca="1">IFERROR(__xludf.DUMMYFUNCTION("""COMPUTED_VALUE"""),"2025Q1")</f>
        <v>2025Q1</v>
      </c>
      <c r="B49" s="673">
        <f ca="1">IFERROR(__xludf.DUMMYFUNCTION("""COMPUTED_VALUE"""),0.4161)</f>
        <v>0.41610000000000003</v>
      </c>
      <c r="C49" s="674">
        <f ca="1">IFERROR(__xludf.DUMMYFUNCTION("""COMPUTED_VALUE"""),0.3986)</f>
        <v>0.39860000000000001</v>
      </c>
      <c r="D49" s="418" t="str">
        <f ca="1">IFERROR(__xludf.DUMMYFUNCTION("""COMPUTED_VALUE"""),"2022Q2")</f>
        <v>2022Q2</v>
      </c>
      <c r="E49" s="673">
        <f ca="1">IFERROR(__xludf.DUMMYFUNCTION("""COMPUTED_VALUE"""),0.4353)</f>
        <v>0.43530000000000002</v>
      </c>
      <c r="F49" s="681">
        <f ca="1">IFERROR(__xludf.DUMMYFUNCTION("""COMPUTED_VALUE"""),0.293)</f>
        <v>0.29299999999999998</v>
      </c>
      <c r="O49" s="685">
        <f t="shared" ca="1" si="16"/>
        <v>1</v>
      </c>
      <c r="P49" s="690">
        <f t="shared" ca="1" si="17"/>
        <v>401255104</v>
      </c>
      <c r="Q49" s="690">
        <f t="shared" ca="1" si="18"/>
        <v>293288000</v>
      </c>
      <c r="R49" s="691">
        <f t="shared" ca="1" si="19"/>
        <v>215785104</v>
      </c>
    </row>
    <row r="50" spans="1:18" ht="12.5">
      <c r="A50" s="418" t="str">
        <f ca="1">IFERROR(__xludf.DUMMYFUNCTION("""COMPUTED_VALUE"""),"2024Q4")</f>
        <v>2024Q4</v>
      </c>
      <c r="B50" s="673">
        <f ca="1">IFERROR(__xludf.DUMMYFUNCTION("""COMPUTED_VALUE"""),0.3884)</f>
        <v>0.38840000000000002</v>
      </c>
      <c r="C50" s="674">
        <f ca="1">IFERROR(__xludf.DUMMYFUNCTION("""COMPUTED_VALUE"""),0.3389)</f>
        <v>0.33889999999999998</v>
      </c>
      <c r="D50" s="418" t="str">
        <f ca="1">IFERROR(__xludf.DUMMYFUNCTION("""COMPUTED_VALUE"""),"2022Q1")</f>
        <v>2022Q1</v>
      </c>
      <c r="E50" s="673">
        <f ca="1">IFERROR(__xludf.DUMMYFUNCTION("""COMPUTED_VALUE"""),0.355)</f>
        <v>0.35499999999999998</v>
      </c>
      <c r="F50" s="681">
        <f ca="1">IFERROR(__xludf.DUMMYFUNCTION("""COMPUTED_VALUE"""),0.2336)</f>
        <v>0.2336</v>
      </c>
      <c r="O50" s="685">
        <f t="shared" ca="1" si="16"/>
        <v>12</v>
      </c>
      <c r="P50" s="690">
        <f t="shared" ca="1" si="17"/>
        <v>335003584</v>
      </c>
      <c r="Q50" s="690">
        <f t="shared" ca="1" si="18"/>
        <v>278163104</v>
      </c>
      <c r="R50" s="691">
        <f t="shared" ca="1" si="19"/>
        <v>176299904</v>
      </c>
    </row>
    <row r="51" spans="1:18" ht="12.5">
      <c r="A51" s="418" t="str">
        <f ca="1">IFERROR(__xludf.DUMMYFUNCTION("""COMPUTED_VALUE"""),"2024Q3")</f>
        <v>2024Q3</v>
      </c>
      <c r="B51" s="673">
        <f ca="1">IFERROR(__xludf.DUMMYFUNCTION("""COMPUTED_VALUE"""),0.3895)</f>
        <v>0.38950000000000001</v>
      </c>
      <c r="C51" s="674">
        <f ca="1">IFERROR(__xludf.DUMMYFUNCTION("""COMPUTED_VALUE"""),0.2265)</f>
        <v>0.22650000000000001</v>
      </c>
      <c r="D51" s="418" t="str">
        <f ca="1">IFERROR(__xludf.DUMMYFUNCTION("""COMPUTED_VALUE"""),"2021Q4")</f>
        <v>2021Q4</v>
      </c>
      <c r="E51" s="673">
        <f ca="1">IFERROR(__xludf.DUMMYFUNCTION("""COMPUTED_VALUE"""),0.212)</f>
        <v>0.21199999999999999</v>
      </c>
      <c r="F51" s="681">
        <f ca="1">IFERROR(__xludf.DUMMYFUNCTION("""COMPUTED_VALUE"""),0.1853)</f>
        <v>0.18529999999999999</v>
      </c>
      <c r="O51" s="685">
        <f t="shared" ca="1" si="16"/>
        <v>11</v>
      </c>
      <c r="P51" s="690">
        <f t="shared" ca="1" si="17"/>
        <v>343613792</v>
      </c>
      <c r="Q51" s="690">
        <f t="shared" ca="1" si="18"/>
        <v>276058400</v>
      </c>
      <c r="R51" s="691">
        <f t="shared" ca="1" si="19"/>
        <v>206026208</v>
      </c>
    </row>
    <row r="52" spans="1:18" ht="12.5">
      <c r="A52" s="418" t="str">
        <f ca="1">IFERROR(__xludf.DUMMYFUNCTION("""COMPUTED_VALUE"""),"2024Q2")</f>
        <v>2024Q2</v>
      </c>
      <c r="B52" s="673">
        <f ca="1">IFERROR(__xludf.DUMMYFUNCTION("""COMPUTED_VALUE"""),0.4007)</f>
        <v>0.4007</v>
      </c>
      <c r="C52" s="674">
        <f ca="1">IFERROR(__xludf.DUMMYFUNCTION("""COMPUTED_VALUE"""),0.0944)</f>
        <v>9.4399999999999998E-2</v>
      </c>
      <c r="D52" s="418" t="str">
        <f ca="1">IFERROR(__xludf.DUMMYFUNCTION("""COMPUTED_VALUE"""),"2021Q3")</f>
        <v>2021Q3</v>
      </c>
      <c r="E52" s="673">
        <f ca="1">IFERROR(__xludf.DUMMYFUNCTION("""COMPUTED_VALUE"""),0.1634)</f>
        <v>0.16339999999999999</v>
      </c>
      <c r="F52" s="681">
        <f ca="1">IFERROR(__xludf.DUMMYFUNCTION("""COMPUTED_VALUE"""),0.1666)</f>
        <v>0.1666</v>
      </c>
      <c r="O52" s="685">
        <f t="shared" ca="1" si="16"/>
        <v>10</v>
      </c>
      <c r="P52" s="690">
        <f t="shared" ca="1" si="17"/>
        <v>367473088</v>
      </c>
      <c r="Q52" s="690">
        <f t="shared" ca="1" si="18"/>
        <v>314239712</v>
      </c>
      <c r="R52" s="691">
        <f t="shared" ca="1" si="19"/>
        <v>243202800</v>
      </c>
    </row>
    <row r="53" spans="1:18" ht="12.5">
      <c r="A53" s="418" t="str">
        <f ca="1">IFERROR(__xludf.DUMMYFUNCTION("""COMPUTED_VALUE"""),"2024Q1")</f>
        <v>2024Q1</v>
      </c>
      <c r="B53" s="673">
        <f ca="1">IFERROR(__xludf.DUMMYFUNCTION("""COMPUTED_VALUE"""),0.1652)</f>
        <v>0.16520000000000001</v>
      </c>
      <c r="C53" s="674">
        <f ca="1">IFERROR(__xludf.DUMMYFUNCTION("""COMPUTED_VALUE"""),-0.0156)</f>
        <v>-1.5599999999999999E-2</v>
      </c>
      <c r="D53" s="418" t="str">
        <f ca="1">IFERROR(__xludf.DUMMYFUNCTION("""COMPUTED_VALUE"""),"2021Q2")</f>
        <v>2021Q2</v>
      </c>
      <c r="E53" s="673">
        <f ca="1">IFERROR(__xludf.DUMMYFUNCTION("""COMPUTED_VALUE"""),0.1978)</f>
        <v>0.1978</v>
      </c>
      <c r="F53" s="681">
        <f ca="1">IFERROR(__xludf.DUMMYFUNCTION("""COMPUTED_VALUE"""),0.1794)</f>
        <v>0.1794</v>
      </c>
      <c r="O53" s="685">
        <f t="shared" ca="1" si="16"/>
        <v>9</v>
      </c>
      <c r="P53" s="690">
        <f t="shared" ca="1" si="17"/>
        <v>330980896</v>
      </c>
      <c r="Q53" s="690">
        <f t="shared" ca="1" si="18"/>
        <v>251872704</v>
      </c>
      <c r="R53" s="691">
        <f t="shared" ca="1" si="19"/>
        <v>180430304</v>
      </c>
    </row>
    <row r="54" spans="1:18" ht="13" thickBot="1">
      <c r="A54" s="418" t="str">
        <f ca="1">IFERROR(__xludf.DUMMYFUNCTION("""COMPUTED_VALUE"""),"2023Q4")</f>
        <v>2023Q4</v>
      </c>
      <c r="B54" s="673">
        <f ca="1">IFERROR(__xludf.DUMMYFUNCTION("""COMPUTED_VALUE"""),0)</f>
        <v>0</v>
      </c>
      <c r="C54" s="674">
        <f ca="1">IFERROR(__xludf.DUMMYFUNCTION("""COMPUTED_VALUE"""),-0.0451)</f>
        <v>-4.5100000000000001E-2</v>
      </c>
      <c r="D54" s="418" t="str">
        <f ca="1">IFERROR(__xludf.DUMMYFUNCTION("""COMPUTED_VALUE"""),"2021Q1")</f>
        <v>2021Q1</v>
      </c>
      <c r="E54" s="673">
        <f ca="1">IFERROR(__xludf.DUMMYFUNCTION("""COMPUTED_VALUE"""),0.1668)</f>
        <v>0.1668</v>
      </c>
      <c r="F54" s="681">
        <f ca="1">IFERROR(__xludf.DUMMYFUNCTION("""COMPUTED_VALUE"""),0.1973)</f>
        <v>0.1973</v>
      </c>
      <c r="O54" s="686">
        <f t="shared" ca="1" si="16"/>
        <v>8</v>
      </c>
      <c r="P54" s="692">
        <f t="shared" ca="1" si="17"/>
        <v>335771712</v>
      </c>
      <c r="Q54" s="692">
        <f t="shared" ca="1" si="18"/>
        <v>250866400</v>
      </c>
      <c r="R54" s="693">
        <f t="shared" ca="1" si="19"/>
        <v>188686304</v>
      </c>
    </row>
    <row r="55" spans="1:18" ht="15.75" customHeight="1">
      <c r="A55" s="421"/>
      <c r="B55" s="675"/>
      <c r="C55" s="676"/>
      <c r="D55" s="421"/>
      <c r="E55" s="675"/>
      <c r="F55" s="682"/>
    </row>
    <row r="56" spans="1:18" ht="12.5">
      <c r="A56" s="670" t="str">
        <f t="shared" ref="A56:C56" ca="1" si="20">D44</f>
        <v>2023Q3</v>
      </c>
      <c r="B56" s="677">
        <f t="shared" ca="1" si="20"/>
        <v>-0.10829999999999999</v>
      </c>
      <c r="C56" s="678">
        <f t="shared" ca="1" si="20"/>
        <v>4.1000000000000002E-2</v>
      </c>
      <c r="D56" s="421"/>
      <c r="E56" s="675"/>
      <c r="F56" s="682"/>
    </row>
    <row r="57" spans="1:18" ht="12.5">
      <c r="A57" s="670" t="str">
        <f t="shared" ref="A57:C57" ca="1" si="21">D45</f>
        <v>2023Q2</v>
      </c>
      <c r="B57" s="677">
        <f t="shared" ca="1" si="21"/>
        <v>-9.98E-2</v>
      </c>
      <c r="C57" s="678">
        <f t="shared" ca="1" si="21"/>
        <v>0.18640000000000001</v>
      </c>
      <c r="D57" s="421"/>
      <c r="E57" s="675"/>
      <c r="F57" s="682"/>
    </row>
    <row r="58" spans="1:18" ht="13" thickBot="1">
      <c r="A58" s="671" t="str">
        <f t="shared" ref="A58:C58" ca="1" si="22">D46</f>
        <v>2023Q1</v>
      </c>
      <c r="B58" s="679">
        <f t="shared" ca="1" si="22"/>
        <v>3.5799999999999998E-2</v>
      </c>
      <c r="C58" s="680">
        <f t="shared" ca="1" si="22"/>
        <v>0.32950000000000002</v>
      </c>
      <c r="D58" s="425"/>
      <c r="E58" s="683"/>
      <c r="F58" s="684"/>
    </row>
    <row r="59" spans="1:18" ht="12.5">
      <c r="A59" s="10"/>
      <c r="B59" s="10"/>
      <c r="C59" s="10"/>
    </row>
    <row r="60" spans="1:18" ht="12.5">
      <c r="A60" s="10"/>
      <c r="B60" s="10"/>
      <c r="C60" s="10"/>
    </row>
    <row r="61" spans="1:18" ht="12.5">
      <c r="B61" s="4"/>
      <c r="C61" s="4"/>
    </row>
    <row r="62" spans="1:18" ht="12.5">
      <c r="B62" s="4"/>
      <c r="C62" s="4"/>
    </row>
    <row r="63" spans="1:18" ht="12.5">
      <c r="B63" s="4"/>
      <c r="C63" s="4"/>
    </row>
    <row r="68" spans="2:3" ht="12.5">
      <c r="B68" s="4"/>
      <c r="C68" s="4"/>
    </row>
    <row r="69" spans="2:3" ht="12.5">
      <c r="B69" s="4"/>
      <c r="C69" s="4"/>
    </row>
    <row r="70" spans="2:3" ht="12.5">
      <c r="B70" s="4"/>
      <c r="C70" s="4"/>
    </row>
    <row r="71" spans="2:3" ht="12.5">
      <c r="B71" s="4"/>
      <c r="C71" s="4"/>
    </row>
    <row r="72" spans="2:3" ht="12.5">
      <c r="B72" s="4"/>
      <c r="C72" s="4"/>
    </row>
    <row r="73" spans="2:3" ht="12.5">
      <c r="B73" s="4"/>
      <c r="C73" s="4"/>
    </row>
    <row r="74" spans="2:3" ht="12.5">
      <c r="B74" s="4"/>
      <c r="C74" s="4"/>
    </row>
    <row r="75" spans="2:3" ht="12.5">
      <c r="B75" s="4"/>
      <c r="C75" s="4"/>
    </row>
    <row r="76" spans="2:3" ht="12.5">
      <c r="B76" s="4"/>
      <c r="C76" s="4"/>
    </row>
    <row r="77" spans="2:3" ht="12.5">
      <c r="B77" s="4"/>
      <c r="C77" s="4"/>
    </row>
    <row r="85" spans="1:7" ht="12.5">
      <c r="A85" s="4" t="str">
        <f ca="1">IFERROR(__xludf.DUMMYFUNCTION("IMPORTHTML(SUBSTITUTE(""https://fubon-ebrokerdj.fbs.com.tw/z/zc/zch/zch_股票代碼.djhtm"", ""股票代碼"",'股價預估'!E1),""table"",0)"),"台積電(2330) 月營收季盈餘")</f>
        <v>台積電(2330) 月營收季盈餘</v>
      </c>
      <c r="B85" s="4"/>
      <c r="C85" s="4"/>
      <c r="D85" s="4"/>
      <c r="E85" s="4"/>
      <c r="F85" s="4"/>
      <c r="G85" s="4"/>
    </row>
    <row r="86" spans="1:7" ht="12.5">
      <c r="A86" s="4"/>
      <c r="B86" s="4"/>
      <c r="C86" s="4"/>
      <c r="D86" s="4"/>
      <c r="E86" s="4"/>
      <c r="F86" s="4"/>
      <c r="G86" s="4"/>
    </row>
    <row r="87" spans="1:7" ht="12.5">
      <c r="A87" s="4" t="str">
        <f ca="1">IFERROR(__xludf.DUMMYFUNCTION("""COMPUTED_VALUE"""),"台積電(2330) 年度營收走勢圖")</f>
        <v>台積電(2330) 年度營收走勢圖</v>
      </c>
      <c r="B87" s="4"/>
      <c r="C87" s="4"/>
      <c r="D87" s="4"/>
      <c r="E87" s="4"/>
      <c r="F87" s="4"/>
      <c r="G87" s="4"/>
    </row>
    <row r="88" spans="1:7" ht="12.5">
      <c r="A88" s="4"/>
      <c r="B88" s="4"/>
      <c r="C88" s="4"/>
      <c r="D88" s="4"/>
      <c r="E88" s="4"/>
      <c r="F88" s="4"/>
      <c r="G88" s="4"/>
    </row>
    <row r="89" spans="1:7" ht="13.5" thickBot="1">
      <c r="A89" s="296" t="str">
        <f ca="1">IFERROR(__xludf.DUMMYFUNCTION("""COMPUTED_VALUE"""),"台積電(2330)月營收明細
單位：仟元")</f>
        <v>台積電(2330)月營收明細
單位：仟元</v>
      </c>
      <c r="B89" s="296"/>
      <c r="C89" s="296"/>
      <c r="D89" s="296"/>
      <c r="E89" s="296"/>
      <c r="F89" s="296"/>
      <c r="G89" s="296"/>
    </row>
    <row r="90" spans="1:7" ht="13">
      <c r="A90" s="416" t="str">
        <f ca="1">IFERROR(__xludf.DUMMYFUNCTION("""COMPUTED_VALUE"""),"年/月")</f>
        <v>年/月</v>
      </c>
      <c r="B90" s="417" t="str">
        <f ca="1">IFERROR(__xludf.DUMMYFUNCTION("""COMPUTED_VALUE"""),"營收")</f>
        <v>營收</v>
      </c>
      <c r="C90" s="417" t="str">
        <f ca="1">IFERROR(__xludf.DUMMYFUNCTION("""COMPUTED_VALUE"""),"月增率")</f>
        <v>月增率</v>
      </c>
      <c r="D90" s="417" t="str">
        <f ca="1">IFERROR(__xludf.DUMMYFUNCTION("""COMPUTED_VALUE"""),"去年同期")</f>
        <v>去年同期</v>
      </c>
      <c r="E90" s="417" t="str">
        <f ca="1">IFERROR(__xludf.DUMMYFUNCTION("""COMPUTED_VALUE"""),"年增率")</f>
        <v>年增率</v>
      </c>
      <c r="F90" s="417" t="str">
        <f ca="1">IFERROR(__xludf.DUMMYFUNCTION("""COMPUTED_VALUE"""),"累計營收")</f>
        <v>累計營收</v>
      </c>
      <c r="G90" s="672" t="str">
        <f ca="1">IFERROR(__xludf.DUMMYFUNCTION("""COMPUTED_VALUE"""),"年增率")</f>
        <v>年增率</v>
      </c>
    </row>
    <row r="91" spans="1:7" ht="12.5">
      <c r="A91" s="418" t="str">
        <f ca="1">IFERROR(__xludf.DUMMYFUNCTION("""COMPUTED_VALUE"""),"115/07")</f>
        <v>115/07</v>
      </c>
      <c r="B91" s="419">
        <f ca="1">IFERROR(__xludf.DUMMYFUNCTION("""COMPUTED_VALUE"""),467580548)</f>
        <v>467580548</v>
      </c>
      <c r="C91" s="673">
        <f ca="1">IFERROR(__xludf.DUMMYFUNCTION("""COMPUTED_VALUE"""),0.0562)</f>
        <v>5.62E-2</v>
      </c>
      <c r="D91" s="419">
        <f ca="1">IFERROR(__xludf.DUMMYFUNCTION("""COMPUTED_VALUE"""),323165707)</f>
        <v>323165707</v>
      </c>
      <c r="E91" s="673">
        <f ca="1">IFERROR(__xludf.DUMMYFUNCTION("""COMPUTED_VALUE"""),0.4469)</f>
        <v>0.44690000000000002</v>
      </c>
      <c r="F91" s="419">
        <f ca="1">IFERROR(__xludf.DUMMYFUNCTION("""COMPUTED_VALUE"""),2872064238)</f>
        <v>2872064238</v>
      </c>
      <c r="G91" s="681">
        <f ca="1">IFERROR(__xludf.DUMMYFUNCTION("""COMPUTED_VALUE"""),0.3701)</f>
        <v>0.37009999999999998</v>
      </c>
    </row>
    <row r="92" spans="1:7" ht="12.5">
      <c r="A92" s="418" t="str">
        <f ca="1">IFERROR(__xludf.DUMMYFUNCTION("""COMPUTED_VALUE"""),"115/06")</f>
        <v>115/06</v>
      </c>
      <c r="B92" s="419">
        <f ca="1">IFERROR(__xludf.DUMMYFUNCTION("""COMPUTED_VALUE"""),442679969)</f>
        <v>442679969</v>
      </c>
      <c r="C92" s="673">
        <f ca="1">IFERROR(__xludf.DUMMYFUNCTION("""COMPUTED_VALUE"""),0.0616)</f>
        <v>6.1600000000000002E-2</v>
      </c>
      <c r="D92" s="419">
        <f ca="1">IFERROR(__xludf.DUMMYFUNCTION("""COMPUTED_VALUE"""),263708978)</f>
        <v>263708978</v>
      </c>
      <c r="E92" s="673">
        <f ca="1">IFERROR(__xludf.DUMMYFUNCTION("""COMPUTED_VALUE"""),0.6787)</f>
        <v>0.67869999999999997</v>
      </c>
      <c r="F92" s="419">
        <f ca="1">IFERROR(__xludf.DUMMYFUNCTION("""COMPUTED_VALUE"""),2404483690)</f>
        <v>2404483690</v>
      </c>
      <c r="G92" s="681">
        <f ca="1">IFERROR(__xludf.DUMMYFUNCTION("""COMPUTED_VALUE"""),0.3561)</f>
        <v>0.35610000000000003</v>
      </c>
    </row>
    <row r="93" spans="1:7" ht="12.5">
      <c r="A93" s="418" t="str">
        <f ca="1">IFERROR(__xludf.DUMMYFUNCTION("""COMPUTED_VALUE"""),"115/05")</f>
        <v>115/05</v>
      </c>
      <c r="B93" s="419">
        <f ca="1">IFERROR(__xludf.DUMMYFUNCTION("""COMPUTED_VALUE"""),416975163)</f>
        <v>416975163</v>
      </c>
      <c r="C93" s="673">
        <f ca="1">IFERROR(__xludf.DUMMYFUNCTION("""COMPUTED_VALUE"""),0.0152)</f>
        <v>1.52E-2</v>
      </c>
      <c r="D93" s="419">
        <f ca="1">IFERROR(__xludf.DUMMYFUNCTION("""COMPUTED_VALUE"""),320515951)</f>
        <v>320515951</v>
      </c>
      <c r="E93" s="673">
        <f ca="1">IFERROR(__xludf.DUMMYFUNCTION("""COMPUTED_VALUE"""),0.3009)</f>
        <v>0.3009</v>
      </c>
      <c r="F93" s="419">
        <f ca="1">IFERROR(__xludf.DUMMYFUNCTION("""COMPUTED_VALUE"""),1961803721)</f>
        <v>1961803721</v>
      </c>
      <c r="G93" s="681">
        <f ca="1">IFERROR(__xludf.DUMMYFUNCTION("""COMPUTED_VALUE"""),0.2998)</f>
        <v>0.29980000000000001</v>
      </c>
    </row>
    <row r="94" spans="1:7" ht="12.5">
      <c r="A94" s="418" t="str">
        <f ca="1">IFERROR(__xludf.DUMMYFUNCTION("""COMPUTED_VALUE"""),"115/04")</f>
        <v>115/04</v>
      </c>
      <c r="B94" s="419">
        <f ca="1">IFERROR(__xludf.DUMMYFUNCTION("""COMPUTED_VALUE"""),410725118)</f>
        <v>410725118</v>
      </c>
      <c r="C94" s="673">
        <f ca="1">IFERROR(__xludf.DUMMYFUNCTION("""COMPUTED_VALUE"""),-0.0108)</f>
        <v>-1.0800000000000001E-2</v>
      </c>
      <c r="D94" s="419">
        <f ca="1">IFERROR(__xludf.DUMMYFUNCTION("""COMPUTED_VALUE"""),349566940)</f>
        <v>349566940</v>
      </c>
      <c r="E94" s="673">
        <f ca="1">IFERROR(__xludf.DUMMYFUNCTION("""COMPUTED_VALUE"""),0.175)</f>
        <v>0.17499999999999999</v>
      </c>
      <c r="F94" s="419">
        <f ca="1">IFERROR(__xludf.DUMMYFUNCTION("""COMPUTED_VALUE"""),1544828558)</f>
        <v>1544828558</v>
      </c>
      <c r="G94" s="681">
        <f ca="1">IFERROR(__xludf.DUMMYFUNCTION("""COMPUTED_VALUE"""),0.2995)</f>
        <v>0.29949999999999999</v>
      </c>
    </row>
    <row r="95" spans="1:7" ht="12.5">
      <c r="A95" s="418" t="str">
        <f ca="1">IFERROR(__xludf.DUMMYFUNCTION("""COMPUTED_VALUE"""),"115/03")</f>
        <v>115/03</v>
      </c>
      <c r="B95" s="419">
        <f ca="1">IFERROR(__xludf.DUMMYFUNCTION("""COMPUTED_VALUE"""),415191699)</f>
        <v>415191699</v>
      </c>
      <c r="C95" s="673">
        <f ca="1">IFERROR(__xludf.DUMMYFUNCTION("""COMPUTED_VALUE"""),0.307)</f>
        <v>0.307</v>
      </c>
      <c r="D95" s="419">
        <f ca="1">IFERROR(__xludf.DUMMYFUNCTION("""COMPUTED_VALUE"""),285956830)</f>
        <v>285956830</v>
      </c>
      <c r="E95" s="673">
        <f ca="1">IFERROR(__xludf.DUMMYFUNCTION("""COMPUTED_VALUE"""),0.4519)</f>
        <v>0.45190000000000002</v>
      </c>
      <c r="F95" s="419">
        <f ca="1">IFERROR(__xludf.DUMMYFUNCTION("""COMPUTED_VALUE"""),1134103440)</f>
        <v>1134103440</v>
      </c>
      <c r="G95" s="681">
        <f ca="1">IFERROR(__xludf.DUMMYFUNCTION("""COMPUTED_VALUE"""),0.3513)</f>
        <v>0.3513</v>
      </c>
    </row>
    <row r="96" spans="1:7" ht="12.5">
      <c r="A96" s="418" t="str">
        <f ca="1">IFERROR(__xludf.DUMMYFUNCTION("""COMPUTED_VALUE"""),"115/02")</f>
        <v>115/02</v>
      </c>
      <c r="B96" s="419">
        <f ca="1">IFERROR(__xludf.DUMMYFUNCTION("""COMPUTED_VALUE"""),317656613)</f>
        <v>317656613</v>
      </c>
      <c r="C96" s="673">
        <f ca="1">IFERROR(__xludf.DUMMYFUNCTION("""COMPUTED_VALUE"""),-0.2083)</f>
        <v>-0.20830000000000001</v>
      </c>
      <c r="D96" s="419">
        <f ca="1">IFERROR(__xludf.DUMMYFUNCTION("""COMPUTED_VALUE"""),260008796)</f>
        <v>260008796</v>
      </c>
      <c r="E96" s="673">
        <f ca="1">IFERROR(__xludf.DUMMYFUNCTION("""COMPUTED_VALUE"""),0.2217)</f>
        <v>0.22170000000000001</v>
      </c>
      <c r="F96" s="419">
        <f ca="1">IFERROR(__xludf.DUMMYFUNCTION("""COMPUTED_VALUE"""),718911741)</f>
        <v>718911741</v>
      </c>
      <c r="G96" s="681">
        <f ca="1">IFERROR(__xludf.DUMMYFUNCTION("""COMPUTED_VALUE"""),0.2993)</f>
        <v>0.29930000000000001</v>
      </c>
    </row>
    <row r="97" spans="1:7" ht="12.5">
      <c r="A97" s="418" t="str">
        <f ca="1">IFERROR(__xludf.DUMMYFUNCTION("""COMPUTED_VALUE"""),"115/01")</f>
        <v>115/01</v>
      </c>
      <c r="B97" s="419">
        <f ca="1">IFERROR(__xludf.DUMMYFUNCTION("""COMPUTED_VALUE"""),401255128)</f>
        <v>401255128</v>
      </c>
      <c r="C97" s="673">
        <f ca="1">IFERROR(__xludf.DUMMYFUNCTION("""COMPUTED_VALUE"""),0.1978)</f>
        <v>0.1978</v>
      </c>
      <c r="D97" s="419">
        <f ca="1">IFERROR(__xludf.DUMMYFUNCTION("""COMPUTED_VALUE"""),293288038)</f>
        <v>293288038</v>
      </c>
      <c r="E97" s="673">
        <f ca="1">IFERROR(__xludf.DUMMYFUNCTION("""COMPUTED_VALUE"""),0.3681)</f>
        <v>0.36809999999999998</v>
      </c>
      <c r="F97" s="419">
        <f ca="1">IFERROR(__xludf.DUMMYFUNCTION("""COMPUTED_VALUE"""),401255128)</f>
        <v>401255128</v>
      </c>
      <c r="G97" s="681">
        <f ca="1">IFERROR(__xludf.DUMMYFUNCTION("""COMPUTED_VALUE"""),0.3681)</f>
        <v>0.36809999999999998</v>
      </c>
    </row>
    <row r="98" spans="1:7" ht="12.5">
      <c r="A98" s="418" t="str">
        <f ca="1">IFERROR(__xludf.DUMMYFUNCTION("""COMPUTED_VALUE"""),"114/12")</f>
        <v>114/12</v>
      </c>
      <c r="B98" s="419">
        <f ca="1">IFERROR(__xludf.DUMMYFUNCTION("""COMPUTED_VALUE"""),335003568)</f>
        <v>335003568</v>
      </c>
      <c r="C98" s="673">
        <f ca="1">IFERROR(__xludf.DUMMYFUNCTION("""COMPUTED_VALUE"""),-0.0251)</f>
        <v>-2.5100000000000001E-2</v>
      </c>
      <c r="D98" s="419">
        <f ca="1">IFERROR(__xludf.DUMMYFUNCTION("""COMPUTED_VALUE"""),278163107)</f>
        <v>278163107</v>
      </c>
      <c r="E98" s="673">
        <f ca="1">IFERROR(__xludf.DUMMYFUNCTION("""COMPUTED_VALUE"""),0.2043)</f>
        <v>0.20430000000000001</v>
      </c>
      <c r="F98" s="419">
        <f ca="1">IFERROR(__xludf.DUMMYFUNCTION("""COMPUTED_VALUE"""),3809054272)</f>
        <v>3809054272</v>
      </c>
      <c r="G98" s="681">
        <f ca="1">IFERROR(__xludf.DUMMYFUNCTION("""COMPUTED_VALUE"""),0.3161)</f>
        <v>0.31609999999999999</v>
      </c>
    </row>
    <row r="99" spans="1:7" ht="12.5">
      <c r="A99" s="418" t="str">
        <f ca="1">IFERROR(__xludf.DUMMYFUNCTION("""COMPUTED_VALUE"""),"114/11")</f>
        <v>114/11</v>
      </c>
      <c r="B99" s="419">
        <f ca="1">IFERROR(__xludf.DUMMYFUNCTION("""COMPUTED_VALUE"""),343613802)</f>
        <v>343613802</v>
      </c>
      <c r="C99" s="673">
        <f ca="1">IFERROR(__xludf.DUMMYFUNCTION("""COMPUTED_VALUE"""),-0.0649)</f>
        <v>-6.4899999999999999E-2</v>
      </c>
      <c r="D99" s="419">
        <f ca="1">IFERROR(__xludf.DUMMYFUNCTION("""COMPUTED_VALUE"""),276058358)</f>
        <v>276058358</v>
      </c>
      <c r="E99" s="673">
        <f ca="1">IFERROR(__xludf.DUMMYFUNCTION("""COMPUTED_VALUE"""),0.2447)</f>
        <v>0.2447</v>
      </c>
      <c r="F99" s="419">
        <f ca="1">IFERROR(__xludf.DUMMYFUNCTION("""COMPUTED_VALUE"""),3474050704)</f>
        <v>3474050704</v>
      </c>
      <c r="G99" s="681">
        <f ca="1">IFERROR(__xludf.DUMMYFUNCTION("""COMPUTED_VALUE"""),0.3279)</f>
        <v>0.32790000000000002</v>
      </c>
    </row>
    <row r="100" spans="1:7" ht="12.5">
      <c r="A100" s="418" t="str">
        <f ca="1">IFERROR(__xludf.DUMMYFUNCTION("""COMPUTED_VALUE"""),"114/10")</f>
        <v>114/10</v>
      </c>
      <c r="B100" s="419">
        <f ca="1">IFERROR(__xludf.DUMMYFUNCTION("""COMPUTED_VALUE"""),367473051)</f>
        <v>367473051</v>
      </c>
      <c r="C100" s="673">
        <f ca="1">IFERROR(__xludf.DUMMYFUNCTION("""COMPUTED_VALUE"""),0.1103)</f>
        <v>0.1103</v>
      </c>
      <c r="D100" s="419">
        <f ca="1">IFERROR(__xludf.DUMMYFUNCTION("""COMPUTED_VALUE"""),314239713)</f>
        <v>314239713</v>
      </c>
      <c r="E100" s="673">
        <f ca="1">IFERROR(__xludf.DUMMYFUNCTION("""COMPUTED_VALUE"""),0.1694)</f>
        <v>0.1694</v>
      </c>
      <c r="F100" s="419">
        <f ca="1">IFERROR(__xludf.DUMMYFUNCTION("""COMPUTED_VALUE"""),3130436902)</f>
        <v>3130436902</v>
      </c>
      <c r="G100" s="681">
        <f ca="1">IFERROR(__xludf.DUMMYFUNCTION("""COMPUTED_VALUE"""),0.3377)</f>
        <v>0.3377</v>
      </c>
    </row>
    <row r="101" spans="1:7" ht="12.5">
      <c r="A101" s="418" t="str">
        <f ca="1">IFERROR(__xludf.DUMMYFUNCTION("""COMPUTED_VALUE"""),"114/09")</f>
        <v>114/09</v>
      </c>
      <c r="B101" s="419">
        <f ca="1">IFERROR(__xludf.DUMMYFUNCTION("""COMPUTED_VALUE"""),330980920)</f>
        <v>330980920</v>
      </c>
      <c r="C101" s="673">
        <f ca="1">IFERROR(__xludf.DUMMYFUNCTION("""COMPUTED_VALUE"""),-0.0143)</f>
        <v>-1.43E-2</v>
      </c>
      <c r="D101" s="419">
        <f ca="1">IFERROR(__xludf.DUMMYFUNCTION("""COMPUTED_VALUE"""),251872717)</f>
        <v>251872717</v>
      </c>
      <c r="E101" s="673">
        <f ca="1">IFERROR(__xludf.DUMMYFUNCTION("""COMPUTED_VALUE"""),0.3141)</f>
        <v>0.31409999999999999</v>
      </c>
      <c r="F101" s="419">
        <f ca="1">IFERROR(__xludf.DUMMYFUNCTION("""COMPUTED_VALUE"""),2762963851)</f>
        <v>2762963851</v>
      </c>
      <c r="G101" s="681">
        <f ca="1">IFERROR(__xludf.DUMMYFUNCTION("""COMPUTED_VALUE"""),0.3639)</f>
        <v>0.3639</v>
      </c>
    </row>
    <row r="102" spans="1:7" ht="12.5">
      <c r="A102" s="418" t="str">
        <f ca="1">IFERROR(__xludf.DUMMYFUNCTION("""COMPUTED_VALUE"""),"114/08")</f>
        <v>114/08</v>
      </c>
      <c r="B102" s="419">
        <f ca="1">IFERROR(__xludf.DUMMYFUNCTION("""COMPUTED_VALUE"""),335771691)</f>
        <v>335771691</v>
      </c>
      <c r="C102" s="673">
        <f ca="1">IFERROR(__xludf.DUMMYFUNCTION("""COMPUTED_VALUE"""),0.039)</f>
        <v>3.9E-2</v>
      </c>
      <c r="D102" s="419">
        <f ca="1">IFERROR(__xludf.DUMMYFUNCTION("""COMPUTED_VALUE"""),250866368)</f>
        <v>250866368</v>
      </c>
      <c r="E102" s="673">
        <f ca="1">IFERROR(__xludf.DUMMYFUNCTION("""COMPUTED_VALUE"""),0.3384)</f>
        <v>0.33839999999999998</v>
      </c>
      <c r="F102" s="419">
        <f ca="1">IFERROR(__xludf.DUMMYFUNCTION("""COMPUTED_VALUE"""),2431982931)</f>
        <v>2431982931</v>
      </c>
      <c r="G102" s="681">
        <f ca="1">IFERROR(__xludf.DUMMYFUNCTION("""COMPUTED_VALUE"""),0.3709)</f>
        <v>0.37090000000000001</v>
      </c>
    </row>
    <row r="103" spans="1:7" ht="12.5">
      <c r="A103" s="418" t="str">
        <f ca="1">IFERROR(__xludf.DUMMYFUNCTION("""COMPUTED_VALUE"""),"114/07")</f>
        <v>114/07</v>
      </c>
      <c r="B103" s="419">
        <f ca="1">IFERROR(__xludf.DUMMYFUNCTION("""COMPUTED_VALUE"""),323165707)</f>
        <v>323165707</v>
      </c>
      <c r="C103" s="673">
        <f ca="1">IFERROR(__xludf.DUMMYFUNCTION("""COMPUTED_VALUE"""),0.2255)</f>
        <v>0.22550000000000001</v>
      </c>
      <c r="D103" s="419">
        <f ca="1">IFERROR(__xludf.DUMMYFUNCTION("""COMPUTED_VALUE"""),256953058)</f>
        <v>256953058</v>
      </c>
      <c r="E103" s="673">
        <f ca="1">IFERROR(__xludf.DUMMYFUNCTION("""COMPUTED_VALUE"""),0.2577)</f>
        <v>0.25769999999999998</v>
      </c>
      <c r="F103" s="419">
        <f ca="1">IFERROR(__xludf.DUMMYFUNCTION("""COMPUTED_VALUE"""),2096211240)</f>
        <v>2096211240</v>
      </c>
      <c r="G103" s="681">
        <f ca="1">IFERROR(__xludf.DUMMYFUNCTION("""COMPUTED_VALUE"""),0.3763)</f>
        <v>0.37630000000000002</v>
      </c>
    </row>
    <row r="104" spans="1:7" ht="12.5">
      <c r="A104" s="418" t="str">
        <f ca="1">IFERROR(__xludf.DUMMYFUNCTION("""COMPUTED_VALUE"""),"114/06")</f>
        <v>114/06</v>
      </c>
      <c r="B104" s="419">
        <f ca="1">IFERROR(__xludf.DUMMYFUNCTION("""COMPUTED_VALUE"""),263708978)</f>
        <v>263708978</v>
      </c>
      <c r="C104" s="673">
        <f ca="1">IFERROR(__xludf.DUMMYFUNCTION("""COMPUTED_VALUE"""),-0.1772)</f>
        <v>-0.1772</v>
      </c>
      <c r="D104" s="419">
        <f ca="1">IFERROR(__xludf.DUMMYFUNCTION("""COMPUTED_VALUE"""),207868693)</f>
        <v>207868693</v>
      </c>
      <c r="E104" s="673">
        <f ca="1">IFERROR(__xludf.DUMMYFUNCTION("""COMPUTED_VALUE"""),0.2686)</f>
        <v>0.26860000000000001</v>
      </c>
      <c r="F104" s="419">
        <f ca="1">IFERROR(__xludf.DUMMYFUNCTION("""COMPUTED_VALUE"""),1773045533)</f>
        <v>1773045533</v>
      </c>
      <c r="G104" s="681">
        <f ca="1">IFERROR(__xludf.DUMMYFUNCTION("""COMPUTED_VALUE"""),0.4003)</f>
        <v>0.40029999999999999</v>
      </c>
    </row>
    <row r="105" spans="1:7" ht="12.5">
      <c r="A105" s="418" t="str">
        <f ca="1">IFERROR(__xludf.DUMMYFUNCTION("""COMPUTED_VALUE"""),"114/05")</f>
        <v>114/05</v>
      </c>
      <c r="B105" s="419">
        <f ca="1">IFERROR(__xludf.DUMMYFUNCTION("""COMPUTED_VALUE"""),320515951)</f>
        <v>320515951</v>
      </c>
      <c r="C105" s="673">
        <f ca="1">IFERROR(__xludf.DUMMYFUNCTION("""COMPUTED_VALUE"""),-0.0831)</f>
        <v>-8.3099999999999993E-2</v>
      </c>
      <c r="D105" s="419">
        <f ca="1">IFERROR(__xludf.DUMMYFUNCTION("""COMPUTED_VALUE"""),229620372)</f>
        <v>229620372</v>
      </c>
      <c r="E105" s="673">
        <f ca="1">IFERROR(__xludf.DUMMYFUNCTION("""COMPUTED_VALUE"""),0.3959)</f>
        <v>0.39589999999999997</v>
      </c>
      <c r="F105" s="419">
        <f ca="1">IFERROR(__xludf.DUMMYFUNCTION("""COMPUTED_VALUE"""),1509336555)</f>
        <v>1509336555</v>
      </c>
      <c r="G105" s="681">
        <f ca="1">IFERROR(__xludf.DUMMYFUNCTION("""COMPUTED_VALUE"""),0.4262)</f>
        <v>0.42620000000000002</v>
      </c>
    </row>
    <row r="106" spans="1:7" ht="12.5">
      <c r="A106" s="418" t="str">
        <f ca="1">IFERROR(__xludf.DUMMYFUNCTION("""COMPUTED_VALUE"""),"114/04")</f>
        <v>114/04</v>
      </c>
      <c r="B106" s="419">
        <f ca="1">IFERROR(__xludf.DUMMYFUNCTION("""COMPUTED_VALUE"""),349566940)</f>
        <v>349566940</v>
      </c>
      <c r="C106" s="673">
        <f ca="1">IFERROR(__xludf.DUMMYFUNCTION("""COMPUTED_VALUE"""),0.2224)</f>
        <v>0.22239999999999999</v>
      </c>
      <c r="D106" s="419">
        <f ca="1">IFERROR(__xludf.DUMMYFUNCTION("""COMPUTED_VALUE"""),236021112)</f>
        <v>236021112</v>
      </c>
      <c r="E106" s="673">
        <f ca="1">IFERROR(__xludf.DUMMYFUNCTION("""COMPUTED_VALUE"""),0.4811)</f>
        <v>0.48110000000000003</v>
      </c>
      <c r="F106" s="419">
        <f ca="1">IFERROR(__xludf.DUMMYFUNCTION("""COMPUTED_VALUE"""),1188820604)</f>
        <v>1188820604</v>
      </c>
      <c r="G106" s="681">
        <f ca="1">IFERROR(__xludf.DUMMYFUNCTION("""COMPUTED_VALUE"""),0.4346)</f>
        <v>0.43459999999999999</v>
      </c>
    </row>
    <row r="107" spans="1:7" ht="12.5">
      <c r="A107" s="418" t="str">
        <f ca="1">IFERROR(__xludf.DUMMYFUNCTION("""COMPUTED_VALUE"""),"114/03")</f>
        <v>114/03</v>
      </c>
      <c r="B107" s="419">
        <f ca="1">IFERROR(__xludf.DUMMYFUNCTION("""COMPUTED_VALUE"""),285956830)</f>
        <v>285956830</v>
      </c>
      <c r="C107" s="673">
        <f ca="1">IFERROR(__xludf.DUMMYFUNCTION("""COMPUTED_VALUE"""),0.0998)</f>
        <v>9.98E-2</v>
      </c>
      <c r="D107" s="419">
        <f ca="1">IFERROR(__xludf.DUMMYFUNCTION("""COMPUTED_VALUE"""),195210804)</f>
        <v>195210804</v>
      </c>
      <c r="E107" s="673">
        <f ca="1">IFERROR(__xludf.DUMMYFUNCTION("""COMPUTED_VALUE"""),0.4649)</f>
        <v>0.46489999999999998</v>
      </c>
      <c r="F107" s="419">
        <f ca="1">IFERROR(__xludf.DUMMYFUNCTION("""COMPUTED_VALUE"""),839253664)</f>
        <v>839253664</v>
      </c>
      <c r="G107" s="681">
        <f ca="1">IFERROR(__xludf.DUMMYFUNCTION("""COMPUTED_VALUE"""),0.4161)</f>
        <v>0.41610000000000003</v>
      </c>
    </row>
    <row r="108" spans="1:7" ht="12.5">
      <c r="A108" s="418" t="str">
        <f ca="1">IFERROR(__xludf.DUMMYFUNCTION("""COMPUTED_VALUE"""),"114/02")</f>
        <v>114/02</v>
      </c>
      <c r="B108" s="419">
        <f ca="1">IFERROR(__xludf.DUMMYFUNCTION("""COMPUTED_VALUE"""),260008796)</f>
        <v>260008796</v>
      </c>
      <c r="C108" s="673">
        <f ca="1">IFERROR(__xludf.DUMMYFUNCTION("""COMPUTED_VALUE"""),-0.1135)</f>
        <v>-0.1135</v>
      </c>
      <c r="D108" s="419">
        <f ca="1">IFERROR(__xludf.DUMMYFUNCTION("""COMPUTED_VALUE"""),181648270)</f>
        <v>181648270</v>
      </c>
      <c r="E108" s="673">
        <f ca="1">IFERROR(__xludf.DUMMYFUNCTION("""COMPUTED_VALUE"""),0.4314)</f>
        <v>0.43140000000000001</v>
      </c>
      <c r="F108" s="419">
        <f ca="1">IFERROR(__xludf.DUMMYFUNCTION("""COMPUTED_VALUE"""),553296834)</f>
        <v>553296834</v>
      </c>
      <c r="G108" s="681">
        <f ca="1">IFERROR(__xludf.DUMMYFUNCTION("""COMPUTED_VALUE"""),0.3922)</f>
        <v>0.39219999999999999</v>
      </c>
    </row>
    <row r="109" spans="1:7" ht="12.5">
      <c r="A109" s="418" t="str">
        <f ca="1">IFERROR(__xludf.DUMMYFUNCTION("""COMPUTED_VALUE"""),"114/01")</f>
        <v>114/01</v>
      </c>
      <c r="B109" s="419">
        <f ca="1">IFERROR(__xludf.DUMMYFUNCTION("""COMPUTED_VALUE"""),293288038)</f>
        <v>293288038</v>
      </c>
      <c r="C109" s="673">
        <f ca="1">IFERROR(__xludf.DUMMYFUNCTION("""COMPUTED_VALUE"""),0.0544)</f>
        <v>5.4399999999999997E-2</v>
      </c>
      <c r="D109" s="419">
        <f ca="1">IFERROR(__xludf.DUMMYFUNCTION("""COMPUTED_VALUE"""),215785127)</f>
        <v>215785127</v>
      </c>
      <c r="E109" s="673">
        <f ca="1">IFERROR(__xludf.DUMMYFUNCTION("""COMPUTED_VALUE"""),0.3592)</f>
        <v>0.35920000000000002</v>
      </c>
      <c r="F109" s="419">
        <f ca="1">IFERROR(__xludf.DUMMYFUNCTION("""COMPUTED_VALUE"""),293288038)</f>
        <v>293288038</v>
      </c>
      <c r="G109" s="681">
        <f ca="1">IFERROR(__xludf.DUMMYFUNCTION("""COMPUTED_VALUE"""),0.3592)</f>
        <v>0.35920000000000002</v>
      </c>
    </row>
    <row r="110" spans="1:7" ht="12.5">
      <c r="A110" s="418" t="str">
        <f ca="1">IFERROR(__xludf.DUMMYFUNCTION("""COMPUTED_VALUE"""),"113/12")</f>
        <v>113/12</v>
      </c>
      <c r="B110" s="419">
        <f ca="1">IFERROR(__xludf.DUMMYFUNCTION("""COMPUTED_VALUE"""),278163107)</f>
        <v>278163107</v>
      </c>
      <c r="C110" s="673">
        <f ca="1">IFERROR(__xludf.DUMMYFUNCTION("""COMPUTED_VALUE"""),0.0076)</f>
        <v>7.6E-3</v>
      </c>
      <c r="D110" s="419">
        <f ca="1">IFERROR(__xludf.DUMMYFUNCTION("""COMPUTED_VALUE"""),176299866)</f>
        <v>176299866</v>
      </c>
      <c r="E110" s="673">
        <f ca="1">IFERROR(__xludf.DUMMYFUNCTION("""COMPUTED_VALUE"""),0.5778)</f>
        <v>0.57779999999999998</v>
      </c>
      <c r="F110" s="419">
        <f ca="1">IFERROR(__xludf.DUMMYFUNCTION("""COMPUTED_VALUE"""),2894307699)</f>
        <v>2894307699</v>
      </c>
      <c r="G110" s="681">
        <f ca="1">IFERROR(__xludf.DUMMYFUNCTION("""COMPUTED_VALUE"""),0.3389)</f>
        <v>0.33889999999999998</v>
      </c>
    </row>
    <row r="111" spans="1:7" ht="12.5">
      <c r="A111" s="418" t="str">
        <f ca="1">IFERROR(__xludf.DUMMYFUNCTION("""COMPUTED_VALUE"""),"113/11")</f>
        <v>113/11</v>
      </c>
      <c r="B111" s="419">
        <f ca="1">IFERROR(__xludf.DUMMYFUNCTION("""COMPUTED_VALUE"""),276058358)</f>
        <v>276058358</v>
      </c>
      <c r="C111" s="673">
        <f ca="1">IFERROR(__xludf.DUMMYFUNCTION("""COMPUTED_VALUE"""),-0.1215)</f>
        <v>-0.1215</v>
      </c>
      <c r="D111" s="419">
        <f ca="1">IFERROR(__xludf.DUMMYFUNCTION("""COMPUTED_VALUE"""),206026179)</f>
        <v>206026179</v>
      </c>
      <c r="E111" s="673">
        <f ca="1">IFERROR(__xludf.DUMMYFUNCTION("""COMPUTED_VALUE"""),0.3399)</f>
        <v>0.33989999999999998</v>
      </c>
      <c r="F111" s="419">
        <f ca="1">IFERROR(__xludf.DUMMYFUNCTION("""COMPUTED_VALUE"""),2616144592)</f>
        <v>2616144592</v>
      </c>
      <c r="G111" s="681">
        <f ca="1">IFERROR(__xludf.DUMMYFUNCTION("""COMPUTED_VALUE"""),0.3177)</f>
        <v>0.31769999999999998</v>
      </c>
    </row>
    <row r="112" spans="1:7" ht="12.5">
      <c r="A112" s="418" t="str">
        <f ca="1">IFERROR(__xludf.DUMMYFUNCTION("""COMPUTED_VALUE"""),"113/10")</f>
        <v>113/10</v>
      </c>
      <c r="B112" s="419">
        <f ca="1">IFERROR(__xludf.DUMMYFUNCTION("""COMPUTED_VALUE"""),314239713)</f>
        <v>314239713</v>
      </c>
      <c r="C112" s="673">
        <f ca="1">IFERROR(__xludf.DUMMYFUNCTION("""COMPUTED_VALUE"""),0.2476)</f>
        <v>0.24759999999999999</v>
      </c>
      <c r="D112" s="419">
        <f ca="1">IFERROR(__xludf.DUMMYFUNCTION("""COMPUTED_VALUE"""),243202811)</f>
        <v>243202811</v>
      </c>
      <c r="E112" s="673">
        <f ca="1">IFERROR(__xludf.DUMMYFUNCTION("""COMPUTED_VALUE"""),0.2921)</f>
        <v>0.29210000000000003</v>
      </c>
      <c r="F112" s="419">
        <f ca="1">IFERROR(__xludf.DUMMYFUNCTION("""COMPUTED_VALUE"""),2340086234)</f>
        <v>2340086234</v>
      </c>
      <c r="G112" s="681">
        <f ca="1">IFERROR(__xludf.DUMMYFUNCTION("""COMPUTED_VALUE"""),0.3151)</f>
        <v>0.31509999999999999</v>
      </c>
    </row>
    <row r="113" spans="1:7" ht="12.5">
      <c r="A113" s="418" t="str">
        <f ca="1">IFERROR(__xludf.DUMMYFUNCTION("""COMPUTED_VALUE"""),"113/09")</f>
        <v>113/09</v>
      </c>
      <c r="B113" s="419">
        <f ca="1">IFERROR(__xludf.DUMMYFUNCTION("""COMPUTED_VALUE"""),251872717)</f>
        <v>251872717</v>
      </c>
      <c r="C113" s="673">
        <f ca="1">IFERROR(__xludf.DUMMYFUNCTION("""COMPUTED_VALUE"""),0.004)</f>
        <v>4.0000000000000001E-3</v>
      </c>
      <c r="D113" s="419">
        <f ca="1">IFERROR(__xludf.DUMMYFUNCTION("""COMPUTED_VALUE"""),180430282)</f>
        <v>180430282</v>
      </c>
      <c r="E113" s="673">
        <f ca="1">IFERROR(__xludf.DUMMYFUNCTION("""COMPUTED_VALUE"""),0.396)</f>
        <v>0.39600000000000002</v>
      </c>
      <c r="F113" s="419">
        <f ca="1">IFERROR(__xludf.DUMMYFUNCTION("""COMPUTED_VALUE"""),2025846521)</f>
        <v>2025846521</v>
      </c>
      <c r="G113" s="681">
        <f ca="1">IFERROR(__xludf.DUMMYFUNCTION("""COMPUTED_VALUE"""),0.3187)</f>
        <v>0.31869999999999998</v>
      </c>
    </row>
    <row r="114" spans="1:7" ht="12.5">
      <c r="A114" s="418" t="str">
        <f ca="1">IFERROR(__xludf.DUMMYFUNCTION("""COMPUTED_VALUE"""),"113/08")</f>
        <v>113/08</v>
      </c>
      <c r="B114" s="419">
        <f ca="1">IFERROR(__xludf.DUMMYFUNCTION("""COMPUTED_VALUE"""),250866368)</f>
        <v>250866368</v>
      </c>
      <c r="C114" s="673">
        <f ca="1">IFERROR(__xludf.DUMMYFUNCTION("""COMPUTED_VALUE"""),-0.0237)</f>
        <v>-2.3699999999999999E-2</v>
      </c>
      <c r="D114" s="419">
        <f ca="1">IFERROR(__xludf.DUMMYFUNCTION("""COMPUTED_VALUE"""),188686256)</f>
        <v>188686256</v>
      </c>
      <c r="E114" s="673">
        <f ca="1">IFERROR(__xludf.DUMMYFUNCTION("""COMPUTED_VALUE"""),0.3295)</f>
        <v>0.32950000000000002</v>
      </c>
      <c r="F114" s="419">
        <f ca="1">IFERROR(__xludf.DUMMYFUNCTION("""COMPUTED_VALUE"""),1773973804)</f>
        <v>1773973804</v>
      </c>
      <c r="G114" s="681">
        <f ca="1">IFERROR(__xludf.DUMMYFUNCTION("""COMPUTED_VALUE"""),0.3085)</f>
        <v>0.3085</v>
      </c>
    </row>
    <row r="115" spans="1:7" ht="12.5">
      <c r="A115" s="418" t="str">
        <f ca="1">IFERROR(__xludf.DUMMYFUNCTION("""COMPUTED_VALUE"""),"113/07")</f>
        <v>113/07</v>
      </c>
      <c r="B115" s="419">
        <f ca="1">IFERROR(__xludf.DUMMYFUNCTION("""COMPUTED_VALUE"""),256953058)</f>
        <v>256953058</v>
      </c>
      <c r="C115" s="673">
        <f ca="1">IFERROR(__xludf.DUMMYFUNCTION("""COMPUTED_VALUE"""),0.2361)</f>
        <v>0.2361</v>
      </c>
      <c r="D115" s="419">
        <f ca="1">IFERROR(__xludf.DUMMYFUNCTION("""COMPUTED_VALUE"""),177616220)</f>
        <v>177616220</v>
      </c>
      <c r="E115" s="673">
        <f ca="1">IFERROR(__xludf.DUMMYFUNCTION("""COMPUTED_VALUE"""),0.4467)</f>
        <v>0.44669999999999999</v>
      </c>
      <c r="F115" s="419">
        <f ca="1">IFERROR(__xludf.DUMMYFUNCTION("""COMPUTED_VALUE"""),1523107436)</f>
        <v>1523107436</v>
      </c>
      <c r="G115" s="681">
        <f ca="1">IFERROR(__xludf.DUMMYFUNCTION("""COMPUTED_VALUE"""),0.305)</f>
        <v>0.30499999999999999</v>
      </c>
    </row>
    <row r="116" spans="1:7" ht="12.5">
      <c r="A116" s="418" t="str">
        <f ca="1">IFERROR(__xludf.DUMMYFUNCTION("""COMPUTED_VALUE"""),"113/06")</f>
        <v>113/06</v>
      </c>
      <c r="B116" s="419">
        <f ca="1">IFERROR(__xludf.DUMMYFUNCTION("""COMPUTED_VALUE"""),207868693)</f>
        <v>207868693</v>
      </c>
      <c r="C116" s="673">
        <f ca="1">IFERROR(__xludf.DUMMYFUNCTION("""COMPUTED_VALUE"""),-0.0947)</f>
        <v>-9.4700000000000006E-2</v>
      </c>
      <c r="D116" s="419">
        <f ca="1">IFERROR(__xludf.DUMMYFUNCTION("""COMPUTED_VALUE"""),156404174)</f>
        <v>156404174</v>
      </c>
      <c r="E116" s="673">
        <f ca="1">IFERROR(__xludf.DUMMYFUNCTION("""COMPUTED_VALUE"""),0.329)</f>
        <v>0.32900000000000001</v>
      </c>
      <c r="F116" s="419">
        <f ca="1">IFERROR(__xludf.DUMMYFUNCTION("""COMPUTED_VALUE"""),1266154378)</f>
        <v>1266154378</v>
      </c>
      <c r="G116" s="681">
        <f ca="1">IFERROR(__xludf.DUMMYFUNCTION("""COMPUTED_VALUE"""),0.2796)</f>
        <v>0.27960000000000002</v>
      </c>
    </row>
    <row r="117" spans="1:7" ht="12.5">
      <c r="A117" s="418" t="str">
        <f ca="1">IFERROR(__xludf.DUMMYFUNCTION("""COMPUTED_VALUE"""),"113/05")</f>
        <v>113/05</v>
      </c>
      <c r="B117" s="419">
        <f ca="1">IFERROR(__xludf.DUMMYFUNCTION("""COMPUTED_VALUE"""),229620372)</f>
        <v>229620372</v>
      </c>
      <c r="C117" s="673">
        <f ca="1">IFERROR(__xludf.DUMMYFUNCTION("""COMPUTED_VALUE"""),-0.0271)</f>
        <v>-2.7099999999999999E-2</v>
      </c>
      <c r="D117" s="419">
        <f ca="1">IFERROR(__xludf.DUMMYFUNCTION("""COMPUTED_VALUE"""),176537345)</f>
        <v>176537345</v>
      </c>
      <c r="E117" s="673">
        <f ca="1">IFERROR(__xludf.DUMMYFUNCTION("""COMPUTED_VALUE"""),0.3007)</f>
        <v>0.30070000000000002</v>
      </c>
      <c r="F117" s="419">
        <f ca="1">IFERROR(__xludf.DUMMYFUNCTION("""COMPUTED_VALUE"""),1058285685)</f>
        <v>1058285685</v>
      </c>
      <c r="G117" s="681">
        <f ca="1">IFERROR(__xludf.DUMMYFUNCTION("""COMPUTED_VALUE"""),0.2703)</f>
        <v>0.27029999999999998</v>
      </c>
    </row>
    <row r="118" spans="1:7" ht="12.5">
      <c r="A118" s="418" t="str">
        <f ca="1">IFERROR(__xludf.DUMMYFUNCTION("""COMPUTED_VALUE"""),"113/04")</f>
        <v>113/04</v>
      </c>
      <c r="B118" s="419">
        <f ca="1">IFERROR(__xludf.DUMMYFUNCTION("""COMPUTED_VALUE"""),236021112)</f>
        <v>236021112</v>
      </c>
      <c r="C118" s="673">
        <f ca="1">IFERROR(__xludf.DUMMYFUNCTION("""COMPUTED_VALUE"""),0.2091)</f>
        <v>0.20910000000000001</v>
      </c>
      <c r="D118" s="419">
        <f ca="1">IFERROR(__xludf.DUMMYFUNCTION("""COMPUTED_VALUE"""),147899735)</f>
        <v>147899735</v>
      </c>
      <c r="E118" s="673">
        <f ca="1">IFERROR(__xludf.DUMMYFUNCTION("""COMPUTED_VALUE"""),0.5958)</f>
        <v>0.5958</v>
      </c>
      <c r="F118" s="419">
        <f ca="1">IFERROR(__xludf.DUMMYFUNCTION("""COMPUTED_VALUE"""),828665313)</f>
        <v>828665313</v>
      </c>
      <c r="G118" s="681">
        <f ca="1">IFERROR(__xludf.DUMMYFUNCTION("""COMPUTED_VALUE"""),0.2622)</f>
        <v>0.26219999999999999</v>
      </c>
    </row>
    <row r="119" spans="1:7" ht="12.5">
      <c r="A119" s="418" t="str">
        <f ca="1">IFERROR(__xludf.DUMMYFUNCTION("""COMPUTED_VALUE"""),"113/03")</f>
        <v>113/03</v>
      </c>
      <c r="B119" s="419">
        <f ca="1">IFERROR(__xludf.DUMMYFUNCTION("""COMPUTED_VALUE"""),195210804)</f>
        <v>195210804</v>
      </c>
      <c r="C119" s="673">
        <f ca="1">IFERROR(__xludf.DUMMYFUNCTION("""COMPUTED_VALUE"""),0.0747)</f>
        <v>7.4700000000000003E-2</v>
      </c>
      <c r="D119" s="419">
        <f ca="1">IFERROR(__xludf.DUMMYFUNCTION("""COMPUTED_VALUE"""),145408332)</f>
        <v>145408332</v>
      </c>
      <c r="E119" s="673">
        <f ca="1">IFERROR(__xludf.DUMMYFUNCTION("""COMPUTED_VALUE"""),0.3425)</f>
        <v>0.34250000000000003</v>
      </c>
      <c r="F119" s="419">
        <f ca="1">IFERROR(__xludf.DUMMYFUNCTION("""COMPUTED_VALUE"""),592644201)</f>
        <v>592644201</v>
      </c>
      <c r="G119" s="681">
        <f ca="1">IFERROR(__xludf.DUMMYFUNCTION("""COMPUTED_VALUE"""),0.1652)</f>
        <v>0.16520000000000001</v>
      </c>
    </row>
    <row r="120" spans="1:7" ht="12.5">
      <c r="A120" s="418" t="str">
        <f ca="1">IFERROR(__xludf.DUMMYFUNCTION("""COMPUTED_VALUE"""),"113/02")</f>
        <v>113/02</v>
      </c>
      <c r="B120" s="419">
        <f ca="1">IFERROR(__xludf.DUMMYFUNCTION("""COMPUTED_VALUE"""),181648270)</f>
        <v>181648270</v>
      </c>
      <c r="C120" s="673">
        <f ca="1">IFERROR(__xludf.DUMMYFUNCTION("""COMPUTED_VALUE"""),-0.1582)</f>
        <v>-0.15820000000000001</v>
      </c>
      <c r="D120" s="419">
        <f ca="1">IFERROR(__xludf.DUMMYFUNCTION("""COMPUTED_VALUE"""),163174097)</f>
        <v>163174097</v>
      </c>
      <c r="E120" s="673">
        <f ca="1">IFERROR(__xludf.DUMMYFUNCTION("""COMPUTED_VALUE"""),0.1132)</f>
        <v>0.1132</v>
      </c>
      <c r="F120" s="419">
        <f ca="1">IFERROR(__xludf.DUMMYFUNCTION("""COMPUTED_VALUE"""),397433397)</f>
        <v>397433397</v>
      </c>
      <c r="G120" s="681">
        <f ca="1">IFERROR(__xludf.DUMMYFUNCTION("""COMPUTED_VALUE"""),0.0942)</f>
        <v>9.4200000000000006E-2</v>
      </c>
    </row>
    <row r="121" spans="1:7" ht="12.5">
      <c r="A121" s="418" t="str">
        <f ca="1">IFERROR(__xludf.DUMMYFUNCTION("""COMPUTED_VALUE"""),"113/01")</f>
        <v>113/01</v>
      </c>
      <c r="B121" s="419">
        <f ca="1">IFERROR(__xludf.DUMMYFUNCTION("""COMPUTED_VALUE"""),215785127)</f>
        <v>215785127</v>
      </c>
      <c r="C121" s="673">
        <f ca="1">IFERROR(__xludf.DUMMYFUNCTION("""COMPUTED_VALUE"""),0.224)</f>
        <v>0.224</v>
      </c>
      <c r="D121" s="419">
        <f ca="1">IFERROR(__xludf.DUMMYFUNCTION("""COMPUTED_VALUE"""),200050544)</f>
        <v>200050544</v>
      </c>
      <c r="E121" s="673">
        <f ca="1">IFERROR(__xludf.DUMMYFUNCTION("""COMPUTED_VALUE"""),0.0787)</f>
        <v>7.8700000000000006E-2</v>
      </c>
      <c r="F121" s="419">
        <f ca="1">IFERROR(__xludf.DUMMYFUNCTION("""COMPUTED_VALUE"""),215785127)</f>
        <v>215785127</v>
      </c>
      <c r="G121" s="681">
        <f ca="1">IFERROR(__xludf.DUMMYFUNCTION("""COMPUTED_VALUE"""),0.0787)</f>
        <v>7.8700000000000006E-2</v>
      </c>
    </row>
    <row r="122" spans="1:7" ht="12.5">
      <c r="A122" s="418" t="str">
        <f ca="1">IFERROR(__xludf.DUMMYFUNCTION("""COMPUTED_VALUE"""),"112/12")</f>
        <v>112/12</v>
      </c>
      <c r="B122" s="419">
        <f ca="1">IFERROR(__xludf.DUMMYFUNCTION("""COMPUTED_VALUE"""),176299866)</f>
        <v>176299866</v>
      </c>
      <c r="C122" s="673">
        <f ca="1">IFERROR(__xludf.DUMMYFUNCTION("""COMPUTED_VALUE"""),-0.1443)</f>
        <v>-0.14430000000000001</v>
      </c>
      <c r="D122" s="419">
        <f ca="1">IFERROR(__xludf.DUMMYFUNCTION("""COMPUTED_VALUE"""),192560242)</f>
        <v>192560242</v>
      </c>
      <c r="E122" s="673">
        <f ca="1">IFERROR(__xludf.DUMMYFUNCTION("""COMPUTED_VALUE"""),-0.0844)</f>
        <v>-8.4400000000000003E-2</v>
      </c>
      <c r="F122" s="419">
        <f ca="1">IFERROR(__xludf.DUMMYFUNCTION("""COMPUTED_VALUE"""),2161735841)</f>
        <v>2161735841</v>
      </c>
      <c r="G122" s="681">
        <f ca="1">IFERROR(__xludf.DUMMYFUNCTION("""COMPUTED_VALUE"""),-0.0451)</f>
        <v>-4.5100000000000001E-2</v>
      </c>
    </row>
    <row r="123" spans="1:7" ht="12.5">
      <c r="A123" s="418" t="str">
        <f ca="1">IFERROR(__xludf.DUMMYFUNCTION("""COMPUTED_VALUE"""),"112/11")</f>
        <v>112/11</v>
      </c>
      <c r="B123" s="419">
        <f ca="1">IFERROR(__xludf.DUMMYFUNCTION("""COMPUTED_VALUE"""),206026179)</f>
        <v>206026179</v>
      </c>
      <c r="C123" s="673">
        <f ca="1">IFERROR(__xludf.DUMMYFUNCTION("""COMPUTED_VALUE"""),-0.1529)</f>
        <v>-0.15290000000000001</v>
      </c>
      <c r="D123" s="419">
        <f ca="1">IFERROR(__xludf.DUMMYFUNCTION("""COMPUTED_VALUE"""),222705993)</f>
        <v>222705993</v>
      </c>
      <c r="E123" s="673">
        <f ca="1">IFERROR(__xludf.DUMMYFUNCTION("""COMPUTED_VALUE"""),-0.0749)</f>
        <v>-7.4899999999999994E-2</v>
      </c>
      <c r="F123" s="419">
        <f ca="1">IFERROR(__xludf.DUMMYFUNCTION("""COMPUTED_VALUE"""),1985435975)</f>
        <v>1985435975</v>
      </c>
      <c r="G123" s="681">
        <f ca="1">IFERROR(__xludf.DUMMYFUNCTION("""COMPUTED_VALUE"""),-0.0415)</f>
        <v>-4.1500000000000002E-2</v>
      </c>
    </row>
    <row r="124" spans="1:7" ht="12.5">
      <c r="A124" s="418" t="str">
        <f ca="1">IFERROR(__xludf.DUMMYFUNCTION("""COMPUTED_VALUE"""),"112/10")</f>
        <v>112/10</v>
      </c>
      <c r="B124" s="419">
        <f ca="1">IFERROR(__xludf.DUMMYFUNCTION("""COMPUTED_VALUE"""),243202811)</f>
        <v>243202811</v>
      </c>
      <c r="C124" s="673">
        <f ca="1">IFERROR(__xludf.DUMMYFUNCTION("""COMPUTED_VALUE"""),0.3479)</f>
        <v>0.34789999999999999</v>
      </c>
      <c r="D124" s="419">
        <f ca="1">IFERROR(__xludf.DUMMYFUNCTION("""COMPUTED_VALUE"""),210265633)</f>
        <v>210265633</v>
      </c>
      <c r="E124" s="673">
        <f ca="1">IFERROR(__xludf.DUMMYFUNCTION("""COMPUTED_VALUE"""),0.1566)</f>
        <v>0.15659999999999999</v>
      </c>
      <c r="F124" s="419">
        <f ca="1">IFERROR(__xludf.DUMMYFUNCTION("""COMPUTED_VALUE"""),1779409796)</f>
        <v>1779409796</v>
      </c>
      <c r="G124" s="681">
        <f ca="1">IFERROR(__xludf.DUMMYFUNCTION("""COMPUTED_VALUE"""),-0.0374)</f>
        <v>-3.7400000000000003E-2</v>
      </c>
    </row>
    <row r="125" spans="1:7" ht="12.5">
      <c r="A125" s="418" t="str">
        <f ca="1">IFERROR(__xludf.DUMMYFUNCTION("""COMPUTED_VALUE"""),"112/09")</f>
        <v>112/09</v>
      </c>
      <c r="B125" s="419">
        <f ca="1">IFERROR(__xludf.DUMMYFUNCTION("""COMPUTED_VALUE"""),180430282)</f>
        <v>180430282</v>
      </c>
      <c r="C125" s="673">
        <f ca="1">IFERROR(__xludf.DUMMYFUNCTION("""COMPUTED_VALUE"""),-0.0438)</f>
        <v>-4.3799999999999999E-2</v>
      </c>
      <c r="D125" s="419">
        <f ca="1">IFERROR(__xludf.DUMMYFUNCTION("""COMPUTED_VALUE"""),208247663)</f>
        <v>208247663</v>
      </c>
      <c r="E125" s="673">
        <f ca="1">IFERROR(__xludf.DUMMYFUNCTION("""COMPUTED_VALUE"""),-0.1336)</f>
        <v>-0.1336</v>
      </c>
      <c r="F125" s="419">
        <f ca="1">IFERROR(__xludf.DUMMYFUNCTION("""COMPUTED_VALUE"""),1536206985)</f>
        <v>1536206985</v>
      </c>
      <c r="G125" s="681">
        <f ca="1">IFERROR(__xludf.DUMMYFUNCTION("""COMPUTED_VALUE"""),-0.0624)</f>
        <v>-6.2399999999999997E-2</v>
      </c>
    </row>
    <row r="126" spans="1:7" ht="12.5">
      <c r="A126" s="418" t="str">
        <f ca="1">IFERROR(__xludf.DUMMYFUNCTION("""COMPUTED_VALUE"""),"112/08")</f>
        <v>112/08</v>
      </c>
      <c r="B126" s="419">
        <f ca="1">IFERROR(__xludf.DUMMYFUNCTION("""COMPUTED_VALUE"""),188686256)</f>
        <v>188686256</v>
      </c>
      <c r="C126" s="673">
        <f ca="1">IFERROR(__xludf.DUMMYFUNCTION("""COMPUTED_VALUE"""),0.0623)</f>
        <v>6.2300000000000001E-2</v>
      </c>
      <c r="D126" s="419">
        <f ca="1">IFERROR(__xludf.DUMMYFUNCTION("""COMPUTED_VALUE"""),218132391)</f>
        <v>218132391</v>
      </c>
      <c r="E126" s="673">
        <f ca="1">IFERROR(__xludf.DUMMYFUNCTION("""COMPUTED_VALUE"""),-0.135)</f>
        <v>-0.13500000000000001</v>
      </c>
      <c r="F126" s="419">
        <f ca="1">IFERROR(__xludf.DUMMYFUNCTION("""COMPUTED_VALUE"""),1355776703)</f>
        <v>1355776703</v>
      </c>
      <c r="G126" s="681">
        <f ca="1">IFERROR(__xludf.DUMMYFUNCTION("""COMPUTED_VALUE"""),-0.052)</f>
        <v>-5.1999999999999998E-2</v>
      </c>
    </row>
    <row r="127" spans="1:7" ht="12.5">
      <c r="A127" s="418" t="str">
        <f ca="1">IFERROR(__xludf.DUMMYFUNCTION("""COMPUTED_VALUE"""),"112/07")</f>
        <v>112/07</v>
      </c>
      <c r="B127" s="419">
        <f ca="1">IFERROR(__xludf.DUMMYFUNCTION("""COMPUTED_VALUE"""),177616220)</f>
        <v>177616220</v>
      </c>
      <c r="C127" s="673">
        <f ca="1">IFERROR(__xludf.DUMMYFUNCTION("""COMPUTED_VALUE"""),0.1356)</f>
        <v>0.1356</v>
      </c>
      <c r="D127" s="419">
        <f ca="1">IFERROR(__xludf.DUMMYFUNCTION("""COMPUTED_VALUE"""),186762689)</f>
        <v>186762689</v>
      </c>
      <c r="E127" s="673">
        <f ca="1">IFERROR(__xludf.DUMMYFUNCTION("""COMPUTED_VALUE"""),-0.049)</f>
        <v>-4.9000000000000002E-2</v>
      </c>
      <c r="F127" s="419">
        <f ca="1">IFERROR(__xludf.DUMMYFUNCTION("""COMPUTED_VALUE"""),1167090447)</f>
        <v>1167090447</v>
      </c>
      <c r="G127" s="681">
        <f ca="1">IFERROR(__xludf.DUMMYFUNCTION("""COMPUTED_VALUE"""),-0.037)</f>
        <v>-3.6999999999999998E-2</v>
      </c>
    </row>
    <row r="128" spans="1:7" ht="12.5">
      <c r="A128" s="418" t="str">
        <f ca="1">IFERROR(__xludf.DUMMYFUNCTION("""COMPUTED_VALUE"""),"112/06")</f>
        <v>112/06</v>
      </c>
      <c r="B128" s="419">
        <f ca="1">IFERROR(__xludf.DUMMYFUNCTION("""COMPUTED_VALUE"""),156404174)</f>
        <v>156404174</v>
      </c>
      <c r="C128" s="673">
        <f ca="1">IFERROR(__xludf.DUMMYFUNCTION("""COMPUTED_VALUE"""),-0.114)</f>
        <v>-0.114</v>
      </c>
      <c r="D128" s="419"/>
      <c r="E128" s="673"/>
      <c r="F128" s="419">
        <f ca="1">IFERROR(__xludf.DUMMYFUNCTION("""COMPUTED_VALUE"""),989474227)</f>
        <v>989474227</v>
      </c>
      <c r="G128" s="681"/>
    </row>
    <row r="129" spans="1:7" ht="12.5">
      <c r="A129" s="418" t="str">
        <f ca="1">IFERROR(__xludf.DUMMYFUNCTION("""COMPUTED_VALUE"""),"112/05")</f>
        <v>112/05</v>
      </c>
      <c r="B129" s="419">
        <f ca="1">IFERROR(__xludf.DUMMYFUNCTION("""COMPUTED_VALUE"""),176537345)</f>
        <v>176537345</v>
      </c>
      <c r="C129" s="673">
        <f ca="1">IFERROR(__xludf.DUMMYFUNCTION("""COMPUTED_VALUE"""),0.1936)</f>
        <v>0.19359999999999999</v>
      </c>
      <c r="D129" s="419"/>
      <c r="E129" s="673"/>
      <c r="F129" s="419">
        <f ca="1">IFERROR(__xludf.DUMMYFUNCTION("""COMPUTED_VALUE"""),833070053)</f>
        <v>833070053</v>
      </c>
      <c r="G129" s="681"/>
    </row>
    <row r="130" spans="1:7" ht="12.5">
      <c r="A130" s="418" t="str">
        <f ca="1">IFERROR(__xludf.DUMMYFUNCTION("""COMPUTED_VALUE"""),"112/04")</f>
        <v>112/04</v>
      </c>
      <c r="B130" s="419">
        <f ca="1">IFERROR(__xludf.DUMMYFUNCTION("""COMPUTED_VALUE"""),147899735)</f>
        <v>147899735</v>
      </c>
      <c r="C130" s="673">
        <f ca="1">IFERROR(__xludf.DUMMYFUNCTION("""COMPUTED_VALUE"""),0.0171)</f>
        <v>1.7100000000000001E-2</v>
      </c>
      <c r="D130" s="419"/>
      <c r="E130" s="673"/>
      <c r="F130" s="419">
        <f ca="1">IFERROR(__xludf.DUMMYFUNCTION("""COMPUTED_VALUE"""),656532708)</f>
        <v>656532708</v>
      </c>
      <c r="G130" s="681"/>
    </row>
    <row r="131" spans="1:7" ht="12.5">
      <c r="A131" s="418" t="str">
        <f ca="1">IFERROR(__xludf.DUMMYFUNCTION("""COMPUTED_VALUE"""),"112/03")</f>
        <v>112/03</v>
      </c>
      <c r="B131" s="419">
        <f ca="1">IFERROR(__xludf.DUMMYFUNCTION("""COMPUTED_VALUE"""),145408332)</f>
        <v>145408332</v>
      </c>
      <c r="C131" s="673">
        <f ca="1">IFERROR(__xludf.DUMMYFUNCTION("""COMPUTED_VALUE"""),-0.1089)</f>
        <v>-0.1089</v>
      </c>
      <c r="D131" s="419"/>
      <c r="E131" s="673"/>
      <c r="F131" s="419">
        <f ca="1">IFERROR(__xludf.DUMMYFUNCTION("""COMPUTED_VALUE"""),508632973)</f>
        <v>508632973</v>
      </c>
      <c r="G131" s="681"/>
    </row>
    <row r="132" spans="1:7" ht="12.5">
      <c r="A132" s="418" t="str">
        <f ca="1">IFERROR(__xludf.DUMMYFUNCTION("""COMPUTED_VALUE"""),"112/02")</f>
        <v>112/02</v>
      </c>
      <c r="B132" s="419">
        <f ca="1">IFERROR(__xludf.DUMMYFUNCTION("""COMPUTED_VALUE"""),163174097)</f>
        <v>163174097</v>
      </c>
      <c r="C132" s="673">
        <f ca="1">IFERROR(__xludf.DUMMYFUNCTION("""COMPUTED_VALUE"""),-0.1843)</f>
        <v>-0.18429999999999999</v>
      </c>
      <c r="D132" s="419"/>
      <c r="E132" s="673"/>
      <c r="F132" s="419">
        <f ca="1">IFERROR(__xludf.DUMMYFUNCTION("""COMPUTED_VALUE"""),363224641)</f>
        <v>363224641</v>
      </c>
      <c r="G132" s="681"/>
    </row>
    <row r="133" spans="1:7" ht="12.5">
      <c r="A133" s="418" t="str">
        <f ca="1">IFERROR(__xludf.DUMMYFUNCTION("""COMPUTED_VALUE"""),"112/01")</f>
        <v>112/01</v>
      </c>
      <c r="B133" s="419">
        <f ca="1">IFERROR(__xludf.DUMMYFUNCTION("""COMPUTED_VALUE"""),200050544)</f>
        <v>200050544</v>
      </c>
      <c r="C133" s="673">
        <f ca="1">IFERROR(__xludf.DUMMYFUNCTION("""COMPUTED_VALUE"""),0.0389)</f>
        <v>3.8899999999999997E-2</v>
      </c>
      <c r="D133" s="419"/>
      <c r="E133" s="673"/>
      <c r="F133" s="419">
        <f ca="1">IFERROR(__xludf.DUMMYFUNCTION("""COMPUTED_VALUE"""),200050544)</f>
        <v>200050544</v>
      </c>
      <c r="G133" s="681"/>
    </row>
    <row r="134" spans="1:7" ht="12.5">
      <c r="A134" s="418" t="str">
        <f ca="1">IFERROR(__xludf.DUMMYFUNCTION("""COMPUTED_VALUE"""),"111/12")</f>
        <v>111/12</v>
      </c>
      <c r="B134" s="419">
        <f ca="1">IFERROR(__xludf.DUMMYFUNCTION("""COMPUTED_VALUE"""),192560242)</f>
        <v>192560242</v>
      </c>
      <c r="C134" s="673">
        <f ca="1">IFERROR(__xludf.DUMMYFUNCTION("""COMPUTED_VALUE"""),-0.1354)</f>
        <v>-0.13539999999999999</v>
      </c>
      <c r="D134" s="419"/>
      <c r="E134" s="673"/>
      <c r="F134" s="419">
        <f ca="1">IFERROR(__xludf.DUMMYFUNCTION("""COMPUTED_VALUE"""),2263891292)</f>
        <v>2263891292</v>
      </c>
      <c r="G134" s="681"/>
    </row>
    <row r="135" spans="1:7" ht="12.5">
      <c r="A135" s="418" t="str">
        <f ca="1">IFERROR(__xludf.DUMMYFUNCTION("""COMPUTED_VALUE"""),"111/11")</f>
        <v>111/11</v>
      </c>
      <c r="B135" s="419">
        <f ca="1">IFERROR(__xludf.DUMMYFUNCTION("""COMPUTED_VALUE"""),222705993)</f>
        <v>222705993</v>
      </c>
      <c r="C135" s="673">
        <f ca="1">IFERROR(__xludf.DUMMYFUNCTION("""COMPUTED_VALUE"""),0.0592)</f>
        <v>5.9200000000000003E-2</v>
      </c>
      <c r="D135" s="419"/>
      <c r="E135" s="673"/>
      <c r="F135" s="419">
        <f ca="1">IFERROR(__xludf.DUMMYFUNCTION("""COMPUTED_VALUE"""),2071331050)</f>
        <v>2071331050</v>
      </c>
      <c r="G135" s="681"/>
    </row>
    <row r="136" spans="1:7" ht="12.5">
      <c r="A136" s="418" t="str">
        <f ca="1">IFERROR(__xludf.DUMMYFUNCTION("""COMPUTED_VALUE"""),"111/10")</f>
        <v>111/10</v>
      </c>
      <c r="B136" s="419">
        <f ca="1">IFERROR(__xludf.DUMMYFUNCTION("""COMPUTED_VALUE"""),210265633)</f>
        <v>210265633</v>
      </c>
      <c r="C136" s="673">
        <f ca="1">IFERROR(__xludf.DUMMYFUNCTION("""COMPUTED_VALUE"""),0.0097)</f>
        <v>9.7000000000000003E-3</v>
      </c>
      <c r="D136" s="419"/>
      <c r="E136" s="673"/>
      <c r="F136" s="419">
        <f ca="1">IFERROR(__xludf.DUMMYFUNCTION("""COMPUTED_VALUE"""),1848625057)</f>
        <v>1848625057</v>
      </c>
      <c r="G136" s="681"/>
    </row>
    <row r="137" spans="1:7" ht="12.5">
      <c r="A137" s="418" t="str">
        <f ca="1">IFERROR(__xludf.DUMMYFUNCTION("""COMPUTED_VALUE"""),"111/09")</f>
        <v>111/09</v>
      </c>
      <c r="B137" s="419">
        <f ca="1">IFERROR(__xludf.DUMMYFUNCTION("""COMPUTED_VALUE"""),208247663)</f>
        <v>208247663</v>
      </c>
      <c r="C137" s="673">
        <f ca="1">IFERROR(__xludf.DUMMYFUNCTION("""COMPUTED_VALUE"""),-0.0453)</f>
        <v>-4.53E-2</v>
      </c>
      <c r="D137" s="419"/>
      <c r="E137" s="673"/>
      <c r="F137" s="419">
        <f ca="1">IFERROR(__xludf.DUMMYFUNCTION("""COMPUTED_VALUE"""),1638359424)</f>
        <v>1638359424</v>
      </c>
      <c r="G137" s="681"/>
    </row>
    <row r="138" spans="1:7" ht="13" thickBot="1">
      <c r="A138" s="423" t="str">
        <f ca="1">IFERROR(__xludf.DUMMYFUNCTION("""COMPUTED_VALUE"""),"111/08")</f>
        <v>111/08</v>
      </c>
      <c r="B138" s="430">
        <f ca="1">IFERROR(__xludf.DUMMYFUNCTION("""COMPUTED_VALUE"""),218132391)</f>
        <v>218132391</v>
      </c>
      <c r="C138" s="696">
        <f ca="1">IFERROR(__xludf.DUMMYFUNCTION("""COMPUTED_VALUE"""),0.168)</f>
        <v>0.16800000000000001</v>
      </c>
      <c r="D138" s="430"/>
      <c r="E138" s="696"/>
      <c r="F138" s="430">
        <f ca="1">IFERROR(__xludf.DUMMYFUNCTION("""COMPUTED_VALUE"""),1430111761)</f>
        <v>1430111761</v>
      </c>
      <c r="G138" s="697"/>
    </row>
  </sheetData>
  <mergeCells count="3">
    <mergeCell ref="A1:A2"/>
    <mergeCell ref="B1:E1"/>
    <mergeCell ref="F1:H1"/>
  </mergeCells>
  <phoneticPr fontId="43" type="noConversion"/>
  <conditionalFormatting sqref="B44:C58">
    <cfRule type="cellIs" dxfId="37" priority="9" operator="greaterThan">
      <formula>0</formula>
    </cfRule>
    <cfRule type="cellIs" dxfId="36" priority="10" operator="lessThan">
      <formula>0</formula>
    </cfRule>
  </conditionalFormatting>
  <conditionalFormatting sqref="C91:C138">
    <cfRule type="cellIs" dxfId="35" priority="13" operator="greaterThan">
      <formula>0</formula>
    </cfRule>
    <cfRule type="cellIs" dxfId="34" priority="14" operator="lessThan">
      <formula>0</formula>
    </cfRule>
  </conditionalFormatting>
  <conditionalFormatting sqref="D3:E138">
    <cfRule type="cellIs" dxfId="33" priority="1" operator="greaterThan">
      <formula>0</formula>
    </cfRule>
    <cfRule type="cellIs" dxfId="32" priority="2" operator="lessThan">
      <formula>0</formula>
    </cfRule>
  </conditionalFormatting>
  <conditionalFormatting sqref="E91:E138">
    <cfRule type="cellIs" dxfId="31" priority="15" operator="greaterThan">
      <formula>0</formula>
    </cfRule>
    <cfRule type="cellIs" dxfId="30" priority="16" operator="lessThan">
      <formula>0</formula>
    </cfRule>
  </conditionalFormatting>
  <conditionalFormatting sqref="E44:F58">
    <cfRule type="cellIs" dxfId="29" priority="11" operator="greaterThan">
      <formula>0</formula>
    </cfRule>
    <cfRule type="cellIs" dxfId="28" priority="12" operator="lessThan">
      <formula>0</formula>
    </cfRule>
  </conditionalFormatting>
  <conditionalFormatting sqref="G91:G138">
    <cfRule type="cellIs" dxfId="27" priority="17" operator="greaterThan">
      <formula>0</formula>
    </cfRule>
    <cfRule type="cellIs" dxfId="26" priority="18" operator="lessThan">
      <formula>0</formula>
    </cfRule>
  </conditionalFormatting>
  <conditionalFormatting sqref="H3:H138">
    <cfRule type="cellIs" dxfId="25" priority="3" operator="greaterThan">
      <formula>0</formula>
    </cfRule>
    <cfRule type="cellIs" dxfId="24" priority="4" operator="lessThan">
      <formula>0</formula>
    </cfRule>
  </conditionalFormatting>
  <conditionalFormatting sqref="L3:L138">
    <cfRule type="cellIs" dxfId="23" priority="5" operator="greaterThan">
      <formula>0</formula>
    </cfRule>
    <cfRule type="cellIs" dxfId="22" priority="6" operator="lessThan">
      <formula>0</formula>
    </cfRule>
  </conditionalFormatting>
  <conditionalFormatting sqref="O3:P138">
    <cfRule type="cellIs" dxfId="21" priority="7" operator="greaterThan">
      <formula>0</formula>
    </cfRule>
    <cfRule type="cellIs" dxfId="20" priority="8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outlinePr summaryBelow="0" summaryRight="0"/>
  </sheetPr>
  <dimension ref="A1:X122"/>
  <sheetViews>
    <sheetView topLeftCell="D1" workbookViewId="0">
      <pane ySplit="3" topLeftCell="A4" activePane="bottomLeft" state="frozen"/>
      <selection pane="bottomLeft" activeCell="Q43" sqref="Q43"/>
    </sheetView>
  </sheetViews>
  <sheetFormatPr defaultColWidth="12.6328125" defaultRowHeight="15.75" customHeight="1"/>
  <cols>
    <col min="1" max="1" width="11.26953125" customWidth="1"/>
    <col min="2" max="12" width="15.26953125" customWidth="1"/>
    <col min="13" max="14" width="2.54296875" customWidth="1"/>
    <col min="15" max="15" width="14.54296875" customWidth="1"/>
    <col min="16" max="24" width="14.1796875" customWidth="1"/>
  </cols>
  <sheetData>
    <row r="1" spans="1:24" ht="15.75" customHeight="1">
      <c r="A1" s="772" t="str">
        <f ca="1">IFERROR(__xludf.DUMMYFUNCTION("IMPORTHTML(SUBSTITUTE(""https://fubon-ebrokerdj.fbs.com.tw/z/zc/zce/zce_股票代碼.djhtm"", ""股票代碼"",'股價預估'!E1),""table"",0)"),"台積電(2330)獲利能力分析 季報 
單位：百萬")</f>
        <v>台積電(2330)獲利能力分析 季報 
單位：百萬</v>
      </c>
      <c r="B1" s="773"/>
      <c r="C1" s="773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 t="str">
        <f ca="1">"★ 最新毛利率 "&amp;TEXT(E4,"0.0%")&amp;"　營益率 "&amp;TEXT(G4,"0.0%")&amp;"　業外占比 "&amp;TEXT(L4,"0.0%")</f>
        <v>★ 最新毛利率 67.7%　營益率 60.3%　業外占比 11.1%</v>
      </c>
      <c r="P1" s="296"/>
      <c r="Q1" s="296"/>
      <c r="R1" s="296"/>
      <c r="S1" s="296"/>
      <c r="T1" s="296"/>
      <c r="U1" s="296"/>
      <c r="V1" s="296"/>
      <c r="W1" s="296"/>
    </row>
    <row r="2" spans="1:24" ht="15.75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6"/>
    </row>
    <row r="3" spans="1:24" ht="15.75" customHeight="1" thickTop="1">
      <c r="A3" s="332" t="str">
        <f ca="1">IFERROR(__xludf.DUMMYFUNCTION("""COMPUTED_VALUE"""),"季別")</f>
        <v>季別</v>
      </c>
      <c r="B3" s="333" t="str">
        <f ca="1">IFERROR(__xludf.DUMMYFUNCTION("""COMPUTED_VALUE"""),"營業收入")</f>
        <v>營業收入</v>
      </c>
      <c r="C3" s="333" t="str">
        <f ca="1">IFERROR(__xludf.DUMMYFUNCTION("""COMPUTED_VALUE"""),"營業成本")</f>
        <v>營業成本</v>
      </c>
      <c r="D3" s="333" t="str">
        <f ca="1">IFERROR(__xludf.DUMMYFUNCTION("""COMPUTED_VALUE"""),"營業毛利")</f>
        <v>營業毛利</v>
      </c>
      <c r="E3" s="333" t="str">
        <f ca="1">IFERROR(__xludf.DUMMYFUNCTION("""COMPUTED_VALUE"""),"毛利率")</f>
        <v>毛利率</v>
      </c>
      <c r="F3" s="333" t="str">
        <f ca="1">IFERROR(__xludf.DUMMYFUNCTION("""COMPUTED_VALUE"""),"營業利益")</f>
        <v>營業利益</v>
      </c>
      <c r="G3" s="333" t="str">
        <f ca="1">IFERROR(__xludf.DUMMYFUNCTION("""COMPUTED_VALUE"""),"營益率")</f>
        <v>營益率</v>
      </c>
      <c r="H3" s="333" t="str">
        <f ca="1">IFERROR(__xludf.DUMMYFUNCTION("""COMPUTED_VALUE"""),"業外收支")</f>
        <v>業外收支</v>
      </c>
      <c r="I3" s="333" t="str">
        <f ca="1">IFERROR(__xludf.DUMMYFUNCTION("""COMPUTED_VALUE"""),"稅前淨利")</f>
        <v>稅前淨利</v>
      </c>
      <c r="J3" s="333" t="str">
        <f ca="1">IFERROR(__xludf.DUMMYFUNCTION("""COMPUTED_VALUE"""),"稅後淨利")</f>
        <v>稅後淨利</v>
      </c>
      <c r="K3" s="333" t="str">
        <f ca="1">IFERROR(__xludf.DUMMYFUNCTION("""COMPUTED_VALUE"""),"EPS(元)")</f>
        <v>EPS(元)</v>
      </c>
      <c r="L3" s="334" t="s">
        <v>13</v>
      </c>
      <c r="M3" s="10"/>
    </row>
    <row r="4" spans="1:24" ht="15.75" customHeight="1">
      <c r="A4" s="311" t="str">
        <f ca="1">IFERROR(__xludf.DUMMYFUNCTION("""COMPUTED_VALUE"""),"115.2Q")</f>
        <v>115.2Q</v>
      </c>
      <c r="B4" s="308">
        <f ca="1">IFERROR(__xludf.DUMMYFUNCTION("""COMPUTED_VALUE"""),1270380)</f>
        <v>1270380</v>
      </c>
      <c r="C4" s="308">
        <f ca="1">IFERROR(__xludf.DUMMYFUNCTION("""COMPUTED_VALUE"""),410070)</f>
        <v>410070</v>
      </c>
      <c r="D4" s="308">
        <f ca="1">IFERROR(__xludf.DUMMYFUNCTION("""COMPUTED_VALUE"""),860311)</f>
        <v>860311</v>
      </c>
      <c r="E4" s="339">
        <f ca="1">IFERROR(__xludf.DUMMYFUNCTION("""COMPUTED_VALUE"""),0.6772)</f>
        <v>0.67720000000000002</v>
      </c>
      <c r="F4" s="308">
        <f ca="1">IFERROR(__xludf.DUMMYFUNCTION("""COMPUTED_VALUE"""),766603)</f>
        <v>766603</v>
      </c>
      <c r="G4" s="340">
        <f ca="1">IFERROR(__xludf.DUMMYFUNCTION("""COMPUTED_VALUE"""),0.6034)</f>
        <v>0.60340000000000005</v>
      </c>
      <c r="H4" s="307">
        <f ca="1">IFERROR(__xludf.DUMMYFUNCTION("""COMPUTED_VALUE"""),95827)</f>
        <v>95827</v>
      </c>
      <c r="I4" s="308">
        <f ca="1">IFERROR(__xludf.DUMMYFUNCTION("""COMPUTED_VALUE"""),862430)</f>
        <v>862430</v>
      </c>
      <c r="J4" s="317">
        <f ca="1">IFERROR(__xludf.DUMMYFUNCTION("""COMPUTED_VALUE"""),706562)</f>
        <v>706562</v>
      </c>
      <c r="K4" s="346">
        <f ca="1">IFERROR(__xludf.DUMMYFUNCTION("""COMPUTED_VALUE"""),27.25)</f>
        <v>27.25</v>
      </c>
      <c r="L4" s="342">
        <f t="shared" ref="L4:L27" ca="1" si="0">H4/I4</f>
        <v>0.11111278596523776</v>
      </c>
      <c r="M4" s="6"/>
      <c r="N4" s="5">
        <f ca="1">AVERAGE(L4:L7)</f>
        <v>6.159434363738267E-2</v>
      </c>
    </row>
    <row r="5" spans="1:24" ht="15.75" customHeight="1">
      <c r="A5" s="311" t="str">
        <f ca="1">IFERROR(__xludf.DUMMYFUNCTION("""COMPUTED_VALUE"""),"115.1Q")</f>
        <v>115.1Q</v>
      </c>
      <c r="B5" s="308">
        <f ca="1">IFERROR(__xludf.DUMMYFUNCTION("""COMPUTED_VALUE"""),1134103)</f>
        <v>1134103</v>
      </c>
      <c r="C5" s="308">
        <f ca="1">IFERROR(__xludf.DUMMYFUNCTION("""COMPUTED_VALUE"""),382808)</f>
        <v>382808</v>
      </c>
      <c r="D5" s="308">
        <f ca="1">IFERROR(__xludf.DUMMYFUNCTION("""COMPUTED_VALUE"""),751295)</f>
        <v>751295</v>
      </c>
      <c r="E5" s="339">
        <f ca="1">IFERROR(__xludf.DUMMYFUNCTION("""COMPUTED_VALUE"""),0.6625)</f>
        <v>0.66249999999999998</v>
      </c>
      <c r="F5" s="308">
        <f ca="1">IFERROR(__xludf.DUMMYFUNCTION("""COMPUTED_VALUE"""),658966)</f>
        <v>658966</v>
      </c>
      <c r="G5" s="340">
        <f ca="1">IFERROR(__xludf.DUMMYFUNCTION("""COMPUTED_VALUE"""),0.581)</f>
        <v>0.58099999999999996</v>
      </c>
      <c r="H5" s="307">
        <f ca="1">IFERROR(__xludf.DUMMYFUNCTION("""COMPUTED_VALUE"""),28834)</f>
        <v>28834</v>
      </c>
      <c r="I5" s="308">
        <f ca="1">IFERROR(__xludf.DUMMYFUNCTION("""COMPUTED_VALUE"""),687800)</f>
        <v>687800</v>
      </c>
      <c r="J5" s="308">
        <f ca="1">IFERROR(__xludf.DUMMYFUNCTION("""COMPUTED_VALUE"""),572480)</f>
        <v>572480</v>
      </c>
      <c r="K5" s="346">
        <f ca="1">IFERROR(__xludf.DUMMYFUNCTION("""COMPUTED_VALUE"""),22.08)</f>
        <v>22.08</v>
      </c>
      <c r="L5" s="342">
        <f t="shared" ca="1" si="0"/>
        <v>4.19220703692934E-2</v>
      </c>
      <c r="M5" s="6"/>
    </row>
    <row r="6" spans="1:24" ht="15.75" customHeight="1">
      <c r="A6" s="311" t="str">
        <f ca="1">IFERROR(__xludf.DUMMYFUNCTION("""COMPUTED_VALUE"""),"114.4Q")</f>
        <v>114.4Q</v>
      </c>
      <c r="B6" s="308">
        <f ca="1">IFERROR(__xludf.DUMMYFUNCTION("""COMPUTED_VALUE"""),1046090)</f>
        <v>1046090</v>
      </c>
      <c r="C6" s="308">
        <f ca="1">IFERROR(__xludf.DUMMYFUNCTION("""COMPUTED_VALUE"""),394104)</f>
        <v>394104</v>
      </c>
      <c r="D6" s="308">
        <f ca="1">IFERROR(__xludf.DUMMYFUNCTION("""COMPUTED_VALUE"""),651987)</f>
        <v>651987</v>
      </c>
      <c r="E6" s="339">
        <f ca="1">IFERROR(__xludf.DUMMYFUNCTION("""COMPUTED_VALUE"""),0.6233)</f>
        <v>0.62329999999999997</v>
      </c>
      <c r="F6" s="308">
        <f ca="1">IFERROR(__xludf.DUMMYFUNCTION("""COMPUTED_VALUE"""),564902)</f>
        <v>564902</v>
      </c>
      <c r="G6" s="340">
        <f ca="1">IFERROR(__xludf.DUMMYFUNCTION("""COMPUTED_VALUE"""),0.54)</f>
        <v>0.54</v>
      </c>
      <c r="H6" s="307">
        <f ca="1">IFERROR(__xludf.DUMMYFUNCTION("""COMPUTED_VALUE"""),27461)</f>
        <v>27461</v>
      </c>
      <c r="I6" s="308">
        <f ca="1">IFERROR(__xludf.DUMMYFUNCTION("""COMPUTED_VALUE"""),592363)</f>
        <v>592363</v>
      </c>
      <c r="J6" s="308">
        <f ca="1">IFERROR(__xludf.DUMMYFUNCTION("""COMPUTED_VALUE"""),505744)</f>
        <v>505744</v>
      </c>
      <c r="K6" s="346">
        <f ca="1">IFERROR(__xludf.DUMMYFUNCTION("""COMPUTED_VALUE"""),19.51)</f>
        <v>19.510000000000002</v>
      </c>
      <c r="L6" s="342">
        <f t="shared" ca="1" si="0"/>
        <v>4.6358398482011877E-2</v>
      </c>
      <c r="M6" s="6"/>
    </row>
    <row r="7" spans="1:24" ht="15.75" customHeight="1">
      <c r="A7" s="311" t="str">
        <f ca="1">IFERROR(__xludf.DUMMYFUNCTION("""COMPUTED_VALUE"""),"114.3Q")</f>
        <v>114.3Q</v>
      </c>
      <c r="B7" s="308">
        <f ca="1">IFERROR(__xludf.DUMMYFUNCTION("""COMPUTED_VALUE"""),989918)</f>
        <v>989918</v>
      </c>
      <c r="C7" s="308">
        <f ca="1">IFERROR(__xludf.DUMMYFUNCTION("""COMPUTED_VALUE"""),401375)</f>
        <v>401375</v>
      </c>
      <c r="D7" s="308">
        <f ca="1">IFERROR(__xludf.DUMMYFUNCTION("""COMPUTED_VALUE"""),588543)</f>
        <v>588543</v>
      </c>
      <c r="E7" s="339">
        <f ca="1">IFERROR(__xludf.DUMMYFUNCTION("""COMPUTED_VALUE"""),0.5945)</f>
        <v>0.59450000000000003</v>
      </c>
      <c r="F7" s="308">
        <f ca="1">IFERROR(__xludf.DUMMYFUNCTION("""COMPUTED_VALUE"""),500685)</f>
        <v>500685</v>
      </c>
      <c r="G7" s="340">
        <f ca="1">IFERROR(__xludf.DUMMYFUNCTION("""COMPUTED_VALUE"""),0.5058)</f>
        <v>0.50580000000000003</v>
      </c>
      <c r="H7" s="307">
        <f ca="1">IFERROR(__xludf.DUMMYFUNCTION("""COMPUTED_VALUE"""),24684)</f>
        <v>24684</v>
      </c>
      <c r="I7" s="308">
        <f ca="1">IFERROR(__xludf.DUMMYFUNCTION("""COMPUTED_VALUE"""),525369)</f>
        <v>525369</v>
      </c>
      <c r="J7" s="308">
        <f ca="1">IFERROR(__xludf.DUMMYFUNCTION("""COMPUTED_VALUE"""),452301)</f>
        <v>452301</v>
      </c>
      <c r="K7" s="346">
        <f ca="1">IFERROR(__xludf.DUMMYFUNCTION("""COMPUTED_VALUE"""),17.44)</f>
        <v>17.440000000000001</v>
      </c>
      <c r="L7" s="342">
        <f t="shared" ca="1" si="0"/>
        <v>4.6984119732987668E-2</v>
      </c>
      <c r="M7" s="6"/>
    </row>
    <row r="8" spans="1:24" ht="15.75" customHeight="1">
      <c r="A8" s="311" t="str">
        <f ca="1">IFERROR(__xludf.DUMMYFUNCTION("""COMPUTED_VALUE"""),"114.2Q")</f>
        <v>114.2Q</v>
      </c>
      <c r="B8" s="308">
        <f ca="1">IFERROR(__xludf.DUMMYFUNCTION("""COMPUTED_VALUE"""),933792)</f>
        <v>933792</v>
      </c>
      <c r="C8" s="308">
        <f ca="1">IFERROR(__xludf.DUMMYFUNCTION("""COMPUTED_VALUE"""),386423)</f>
        <v>386423</v>
      </c>
      <c r="D8" s="308">
        <f ca="1">IFERROR(__xludf.DUMMYFUNCTION("""COMPUTED_VALUE"""),547369)</f>
        <v>547369</v>
      </c>
      <c r="E8" s="340">
        <f ca="1">IFERROR(__xludf.DUMMYFUNCTION("""COMPUTED_VALUE"""),0.5862)</f>
        <v>0.58620000000000005</v>
      </c>
      <c r="F8" s="308">
        <f ca="1">IFERROR(__xludf.DUMMYFUNCTION("""COMPUTED_VALUE"""),463424)</f>
        <v>463424</v>
      </c>
      <c r="G8" s="340">
        <f ca="1">IFERROR(__xludf.DUMMYFUNCTION("""COMPUTED_VALUE"""),0.4963)</f>
        <v>0.49630000000000002</v>
      </c>
      <c r="H8" s="308">
        <f ca="1">IFERROR(__xludf.DUMMYFUNCTION("""COMPUTED_VALUE"""),29612)</f>
        <v>29612</v>
      </c>
      <c r="I8" s="308">
        <f ca="1">IFERROR(__xludf.DUMMYFUNCTION("""COMPUTED_VALUE"""),493035)</f>
        <v>493035</v>
      </c>
      <c r="J8" s="308">
        <f ca="1">IFERROR(__xludf.DUMMYFUNCTION("""COMPUTED_VALUE"""),398273)</f>
        <v>398273</v>
      </c>
      <c r="K8" s="346">
        <f ca="1">IFERROR(__xludf.DUMMYFUNCTION("""COMPUTED_VALUE"""),15.36)</f>
        <v>15.36</v>
      </c>
      <c r="L8" s="343">
        <f t="shared" ca="1" si="0"/>
        <v>6.006064478181062E-2</v>
      </c>
      <c r="M8" s="6"/>
    </row>
    <row r="9" spans="1:24" ht="15.75" customHeight="1">
      <c r="A9" s="311" t="str">
        <f ca="1">IFERROR(__xludf.DUMMYFUNCTION("""COMPUTED_VALUE"""),"114.1Q")</f>
        <v>114.1Q</v>
      </c>
      <c r="B9" s="308">
        <f ca="1">IFERROR(__xludf.DUMMYFUNCTION("""COMPUTED_VALUE"""),839254)</f>
        <v>839254</v>
      </c>
      <c r="C9" s="308">
        <f ca="1">IFERROR(__xludf.DUMMYFUNCTION("""COMPUTED_VALUE"""),345859)</f>
        <v>345859</v>
      </c>
      <c r="D9" s="308">
        <f ca="1">IFERROR(__xludf.DUMMYFUNCTION("""COMPUTED_VALUE"""),493395)</f>
        <v>493395</v>
      </c>
      <c r="E9" s="340">
        <f ca="1">IFERROR(__xludf.DUMMYFUNCTION("""COMPUTED_VALUE"""),0.5879)</f>
        <v>0.58789999999999998</v>
      </c>
      <c r="F9" s="308">
        <f ca="1">IFERROR(__xludf.DUMMYFUNCTION("""COMPUTED_VALUE"""),407081)</f>
        <v>407081</v>
      </c>
      <c r="G9" s="340">
        <f ca="1">IFERROR(__xludf.DUMMYFUNCTION("""COMPUTED_VALUE"""),0.4851)</f>
        <v>0.48509999999999998</v>
      </c>
      <c r="H9" s="308">
        <f ca="1">IFERROR(__xludf.DUMMYFUNCTION("""COMPUTED_VALUE"""),23815)</f>
        <v>23815</v>
      </c>
      <c r="I9" s="308">
        <f ca="1">IFERROR(__xludf.DUMMYFUNCTION("""COMPUTED_VALUE"""),430895)</f>
        <v>430895</v>
      </c>
      <c r="J9" s="308">
        <f ca="1">IFERROR(__xludf.DUMMYFUNCTION("""COMPUTED_VALUE"""),361564)</f>
        <v>361564</v>
      </c>
      <c r="K9" s="346">
        <f ca="1">IFERROR(__xludf.DUMMYFUNCTION("""COMPUTED_VALUE"""),13.95)</f>
        <v>13.95</v>
      </c>
      <c r="L9" s="343">
        <f t="shared" ca="1" si="0"/>
        <v>5.5268684946448668E-2</v>
      </c>
      <c r="M9" s="5"/>
      <c r="R9" s="4" t="s">
        <v>19</v>
      </c>
    </row>
    <row r="10" spans="1:24" ht="15.75" customHeight="1" thickBot="1">
      <c r="A10" s="311" t="str">
        <f ca="1">IFERROR(__xludf.DUMMYFUNCTION("""COMPUTED_VALUE"""),"113.4Q")</f>
        <v>113.4Q</v>
      </c>
      <c r="B10" s="308">
        <f ca="1">IFERROR(__xludf.DUMMYFUNCTION("""COMPUTED_VALUE"""),868461)</f>
        <v>868461</v>
      </c>
      <c r="C10" s="308">
        <f ca="1">IFERROR(__xludf.DUMMYFUNCTION("""COMPUTED_VALUE"""),356083)</f>
        <v>356083</v>
      </c>
      <c r="D10" s="308">
        <f ca="1">IFERROR(__xludf.DUMMYFUNCTION("""COMPUTED_VALUE"""),512378)</f>
        <v>512378</v>
      </c>
      <c r="E10" s="340">
        <f ca="1">IFERROR(__xludf.DUMMYFUNCTION("""COMPUTED_VALUE"""),0.59)</f>
        <v>0.59</v>
      </c>
      <c r="F10" s="308">
        <f ca="1">IFERROR(__xludf.DUMMYFUNCTION("""COMPUTED_VALUE"""),425713)</f>
        <v>425713</v>
      </c>
      <c r="G10" s="340">
        <f ca="1">IFERROR(__xludf.DUMMYFUNCTION("""COMPUTED_VALUE"""),0.4902)</f>
        <v>0.49020000000000002</v>
      </c>
      <c r="H10" s="308">
        <f ca="1">IFERROR(__xludf.DUMMYFUNCTION("""COMPUTED_VALUE"""),23085)</f>
        <v>23085</v>
      </c>
      <c r="I10" s="308">
        <f ca="1">IFERROR(__xludf.DUMMYFUNCTION("""COMPUTED_VALUE"""),448798)</f>
        <v>448798</v>
      </c>
      <c r="J10" s="308">
        <f ca="1">IFERROR(__xludf.DUMMYFUNCTION("""COMPUTED_VALUE"""),374680)</f>
        <v>374680</v>
      </c>
      <c r="K10" s="346">
        <f ca="1">IFERROR(__xludf.DUMMYFUNCTION("""COMPUTED_VALUE"""),14.45)</f>
        <v>14.45</v>
      </c>
      <c r="L10" s="343">
        <f t="shared" ca="1" si="0"/>
        <v>5.143739499730391E-2</v>
      </c>
      <c r="M10" s="5"/>
      <c r="U10" s="5">
        <f ca="1">STDEVP(E4:E24)</f>
        <v>4.625362399235658E-2</v>
      </c>
    </row>
    <row r="11" spans="1:24" ht="15.75" customHeight="1" thickTop="1">
      <c r="A11" s="311" t="str">
        <f ca="1">IFERROR(__xludf.DUMMYFUNCTION("""COMPUTED_VALUE"""),"113.3Q")</f>
        <v>113.3Q</v>
      </c>
      <c r="B11" s="308">
        <f ca="1">IFERROR(__xludf.DUMMYFUNCTION("""COMPUTED_VALUE"""),759692)</f>
        <v>759692</v>
      </c>
      <c r="C11" s="308">
        <f ca="1">IFERROR(__xludf.DUMMYFUNCTION("""COMPUTED_VALUE"""),320346)</f>
        <v>320346</v>
      </c>
      <c r="D11" s="308">
        <f ca="1">IFERROR(__xludf.DUMMYFUNCTION("""COMPUTED_VALUE"""),439346)</f>
        <v>439346</v>
      </c>
      <c r="E11" s="340">
        <f ca="1">IFERROR(__xludf.DUMMYFUNCTION("""COMPUTED_VALUE"""),0.5783)</f>
        <v>0.57830000000000004</v>
      </c>
      <c r="F11" s="308">
        <f ca="1">IFERROR(__xludf.DUMMYFUNCTION("""COMPUTED_VALUE"""),360766)</f>
        <v>360766</v>
      </c>
      <c r="G11" s="340">
        <f ca="1">IFERROR(__xludf.DUMMYFUNCTION("""COMPUTED_VALUE"""),0.4749)</f>
        <v>0.47489999999999999</v>
      </c>
      <c r="H11" s="308">
        <f ca="1">IFERROR(__xludf.DUMMYFUNCTION("""COMPUTED_VALUE"""),23421)</f>
        <v>23421</v>
      </c>
      <c r="I11" s="308">
        <f ca="1">IFERROR(__xludf.DUMMYFUNCTION("""COMPUTED_VALUE"""),384187)</f>
        <v>384187</v>
      </c>
      <c r="J11" s="308">
        <f ca="1">IFERROR(__xludf.DUMMYFUNCTION("""COMPUTED_VALUE"""),325258)</f>
        <v>325258</v>
      </c>
      <c r="K11" s="346">
        <f ca="1">IFERROR(__xludf.DUMMYFUNCTION("""COMPUTED_VALUE"""),12.55)</f>
        <v>12.55</v>
      </c>
      <c r="L11" s="343">
        <f t="shared" ca="1" si="0"/>
        <v>6.096250003253624E-2</v>
      </c>
      <c r="M11" s="5"/>
      <c r="P11" s="332" t="str">
        <f t="shared" ref="P11:P32" ca="1" si="1">A3</f>
        <v>季別</v>
      </c>
      <c r="Q11" s="333" t="str">
        <f t="shared" ref="Q11:Q32" ca="1" si="2">E3</f>
        <v>毛利率</v>
      </c>
      <c r="R11" s="336" t="s">
        <v>21</v>
      </c>
      <c r="S11" s="337" t="s">
        <v>22</v>
      </c>
      <c r="T11" s="337" t="s">
        <v>23</v>
      </c>
      <c r="U11" s="337" t="s">
        <v>24</v>
      </c>
      <c r="V11" s="337" t="s">
        <v>25</v>
      </c>
      <c r="W11" s="338" t="s">
        <v>26</v>
      </c>
      <c r="X11" s="349" t="s">
        <v>27</v>
      </c>
    </row>
    <row r="12" spans="1:24" ht="15.75" customHeight="1">
      <c r="A12" s="311" t="str">
        <f ca="1">IFERROR(__xludf.DUMMYFUNCTION("""COMPUTED_VALUE"""),"113.2Q")</f>
        <v>113.2Q</v>
      </c>
      <c r="B12" s="308">
        <f ca="1">IFERROR(__xludf.DUMMYFUNCTION("""COMPUTED_VALUE"""),673510)</f>
        <v>673510</v>
      </c>
      <c r="C12" s="308">
        <f ca="1">IFERROR(__xludf.DUMMYFUNCTION("""COMPUTED_VALUE"""),315386)</f>
        <v>315386</v>
      </c>
      <c r="D12" s="308">
        <f ca="1">IFERROR(__xludf.DUMMYFUNCTION("""COMPUTED_VALUE"""),358124)</f>
        <v>358124</v>
      </c>
      <c r="E12" s="340">
        <f ca="1">IFERROR(__xludf.DUMMYFUNCTION("""COMPUTED_VALUE"""),0.5317)</f>
        <v>0.53169999999999995</v>
      </c>
      <c r="F12" s="308">
        <f ca="1">IFERROR(__xludf.DUMMYFUNCTION("""COMPUTED_VALUE"""),286556)</f>
        <v>286556</v>
      </c>
      <c r="G12" s="340">
        <f ca="1">IFERROR(__xludf.DUMMYFUNCTION("""COMPUTED_VALUE"""),0.4255)</f>
        <v>0.42549999999999999</v>
      </c>
      <c r="H12" s="308">
        <f ca="1">IFERROR(__xludf.DUMMYFUNCTION("""COMPUTED_VALUE"""),19755)</f>
        <v>19755</v>
      </c>
      <c r="I12" s="308">
        <f ca="1">IFERROR(__xludf.DUMMYFUNCTION("""COMPUTED_VALUE"""),306311)</f>
        <v>306311</v>
      </c>
      <c r="J12" s="308">
        <f ca="1">IFERROR(__xludf.DUMMYFUNCTION("""COMPUTED_VALUE"""),247846)</f>
        <v>247846</v>
      </c>
      <c r="K12" s="346">
        <f ca="1">IFERROR(__xludf.DUMMYFUNCTION("""COMPUTED_VALUE"""),9.56)</f>
        <v>9.56</v>
      </c>
      <c r="L12" s="343">
        <f t="shared" ca="1" si="0"/>
        <v>6.4493276441263944E-2</v>
      </c>
      <c r="M12" s="5"/>
      <c r="P12" s="350" t="str">
        <f t="shared" ca="1" si="1"/>
        <v>115.2Q</v>
      </c>
      <c r="Q12" s="340">
        <f t="shared" ca="1" si="2"/>
        <v>0.67720000000000002</v>
      </c>
      <c r="R12" s="340">
        <f ca="1">IF(U12-U10*3&lt;0,0,U12-U10*3)</f>
        <v>0.43519150897531123</v>
      </c>
      <c r="S12" s="340">
        <f ca="1">IF(U12-U10*2&lt;0,0,U12-U10*2)</f>
        <v>0.48144513296766783</v>
      </c>
      <c r="T12" s="340">
        <f ca="1">IF(U12-U10*1&lt;0,0,U12-U10*1)</f>
        <v>0.52769875696002444</v>
      </c>
      <c r="U12" s="340">
        <f ca="1">AVERAGE(E4:E24)</f>
        <v>0.57395238095238099</v>
      </c>
      <c r="V12" s="340">
        <f ca="1">U12+U10*1</f>
        <v>0.62020600494473754</v>
      </c>
      <c r="W12" s="343">
        <f ca="1">U12+U10*2</f>
        <v>0.6664596289370941</v>
      </c>
      <c r="X12" s="343">
        <f ca="1">U12+U10*3</f>
        <v>0.71271325292945076</v>
      </c>
    </row>
    <row r="13" spans="1:24" ht="15.75" customHeight="1">
      <c r="A13" s="311" t="str">
        <f ca="1">IFERROR(__xludf.DUMMYFUNCTION("""COMPUTED_VALUE"""),"113.1Q")</f>
        <v>113.1Q</v>
      </c>
      <c r="B13" s="308">
        <f ca="1">IFERROR(__xludf.DUMMYFUNCTION("""COMPUTED_VALUE"""),592644)</f>
        <v>592644</v>
      </c>
      <c r="C13" s="308">
        <f ca="1">IFERROR(__xludf.DUMMYFUNCTION("""COMPUTED_VALUE"""),278139)</f>
        <v>278139</v>
      </c>
      <c r="D13" s="308">
        <f ca="1">IFERROR(__xludf.DUMMYFUNCTION("""COMPUTED_VALUE"""),314505)</f>
        <v>314505</v>
      </c>
      <c r="E13" s="340">
        <f ca="1">IFERROR(__xludf.DUMMYFUNCTION("""COMPUTED_VALUE"""),0.5307)</f>
        <v>0.53069999999999995</v>
      </c>
      <c r="F13" s="308">
        <f ca="1">IFERROR(__xludf.DUMMYFUNCTION("""COMPUTED_VALUE"""),249018)</f>
        <v>249018</v>
      </c>
      <c r="G13" s="340">
        <f ca="1">IFERROR(__xludf.DUMMYFUNCTION("""COMPUTED_VALUE"""),0.4202)</f>
        <v>0.42020000000000002</v>
      </c>
      <c r="H13" s="308">
        <f ca="1">IFERROR(__xludf.DUMMYFUNCTION("""COMPUTED_VALUE"""),17525)</f>
        <v>17525</v>
      </c>
      <c r="I13" s="308">
        <f ca="1">IFERROR(__xludf.DUMMYFUNCTION("""COMPUTED_VALUE"""),266543)</f>
        <v>266543</v>
      </c>
      <c r="J13" s="308">
        <f ca="1">IFERROR(__xludf.DUMMYFUNCTION("""COMPUTED_VALUE"""),225485)</f>
        <v>225485</v>
      </c>
      <c r="K13" s="346">
        <f ca="1">IFERROR(__xludf.DUMMYFUNCTION("""COMPUTED_VALUE"""),8.7)</f>
        <v>8.6999999999999993</v>
      </c>
      <c r="L13" s="343">
        <f t="shared" ca="1" si="0"/>
        <v>6.5749241210611417E-2</v>
      </c>
      <c r="M13" s="5"/>
      <c r="P13" s="311" t="str">
        <f t="shared" ca="1" si="1"/>
        <v>115.1Q</v>
      </c>
      <c r="Q13" s="340">
        <f t="shared" ca="1" si="2"/>
        <v>0.66249999999999998</v>
      </c>
      <c r="R13" s="340">
        <f t="shared" ref="R13:X13" ca="1" si="3">R12</f>
        <v>0.43519150897531123</v>
      </c>
      <c r="S13" s="340">
        <f t="shared" ca="1" si="3"/>
        <v>0.48144513296766783</v>
      </c>
      <c r="T13" s="340">
        <f t="shared" ca="1" si="3"/>
        <v>0.52769875696002444</v>
      </c>
      <c r="U13" s="340">
        <f t="shared" ca="1" si="3"/>
        <v>0.57395238095238099</v>
      </c>
      <c r="V13" s="340">
        <f t="shared" ca="1" si="3"/>
        <v>0.62020600494473754</v>
      </c>
      <c r="W13" s="340">
        <f t="shared" ca="1" si="3"/>
        <v>0.6664596289370941</v>
      </c>
      <c r="X13" s="343">
        <f t="shared" ca="1" si="3"/>
        <v>0.71271325292945076</v>
      </c>
    </row>
    <row r="14" spans="1:24" ht="15.75" customHeight="1">
      <c r="A14" s="311" t="str">
        <f ca="1">IFERROR(__xludf.DUMMYFUNCTION("""COMPUTED_VALUE"""),"112.4Q")</f>
        <v>112.4Q</v>
      </c>
      <c r="B14" s="308">
        <f ca="1">IFERROR(__xludf.DUMMYFUNCTION("""COMPUTED_VALUE"""),625529)</f>
        <v>625529</v>
      </c>
      <c r="C14" s="308">
        <f ca="1">IFERROR(__xludf.DUMMYFUNCTION("""COMPUTED_VALUE"""),293761)</f>
        <v>293761</v>
      </c>
      <c r="D14" s="308">
        <f ca="1">IFERROR(__xludf.DUMMYFUNCTION("""COMPUTED_VALUE"""),331768)</f>
        <v>331768</v>
      </c>
      <c r="E14" s="340">
        <f ca="1">IFERROR(__xludf.DUMMYFUNCTION("""COMPUTED_VALUE"""),0.5304)</f>
        <v>0.53039999999999998</v>
      </c>
      <c r="F14" s="308">
        <f ca="1">IFERROR(__xludf.DUMMYFUNCTION("""COMPUTED_VALUE"""),260205)</f>
        <v>260205</v>
      </c>
      <c r="G14" s="340">
        <f ca="1">IFERROR(__xludf.DUMMYFUNCTION("""COMPUTED_VALUE"""),0.416)</f>
        <v>0.41599999999999998</v>
      </c>
      <c r="H14" s="308">
        <f ca="1">IFERROR(__xludf.DUMMYFUNCTION("""COMPUTED_VALUE"""),18076)</f>
        <v>18076</v>
      </c>
      <c r="I14" s="308">
        <f ca="1">IFERROR(__xludf.DUMMYFUNCTION("""COMPUTED_VALUE"""),278281)</f>
        <v>278281</v>
      </c>
      <c r="J14" s="308">
        <f ca="1">IFERROR(__xludf.DUMMYFUNCTION("""COMPUTED_VALUE"""),238712)</f>
        <v>238712</v>
      </c>
      <c r="K14" s="346">
        <f ca="1">IFERROR(__xludf.DUMMYFUNCTION("""COMPUTED_VALUE"""),9.21)</f>
        <v>9.2100000000000009</v>
      </c>
      <c r="L14" s="343">
        <f t="shared" ca="1" si="0"/>
        <v>6.4955925844739665E-2</v>
      </c>
      <c r="M14" s="5"/>
      <c r="P14" s="311" t="str">
        <f t="shared" ca="1" si="1"/>
        <v>114.4Q</v>
      </c>
      <c r="Q14" s="340">
        <f t="shared" ca="1" si="2"/>
        <v>0.62329999999999997</v>
      </c>
      <c r="R14" s="340">
        <f t="shared" ref="R14:X14" ca="1" si="4">R13</f>
        <v>0.43519150897531123</v>
      </c>
      <c r="S14" s="340">
        <f t="shared" ca="1" si="4"/>
        <v>0.48144513296766783</v>
      </c>
      <c r="T14" s="340">
        <f t="shared" ca="1" si="4"/>
        <v>0.52769875696002444</v>
      </c>
      <c r="U14" s="340">
        <f t="shared" ca="1" si="4"/>
        <v>0.57395238095238099</v>
      </c>
      <c r="V14" s="340">
        <f t="shared" ca="1" si="4"/>
        <v>0.62020600494473754</v>
      </c>
      <c r="W14" s="340">
        <f t="shared" ca="1" si="4"/>
        <v>0.6664596289370941</v>
      </c>
      <c r="X14" s="343">
        <f t="shared" ca="1" si="4"/>
        <v>0.71271325292945076</v>
      </c>
    </row>
    <row r="15" spans="1:24" ht="15.75" customHeight="1">
      <c r="A15" s="311" t="str">
        <f ca="1">IFERROR(__xludf.DUMMYFUNCTION("""COMPUTED_VALUE"""),"112.3Q")</f>
        <v>112.3Q</v>
      </c>
      <c r="B15" s="308">
        <f ca="1">IFERROR(__xludf.DUMMYFUNCTION("""COMPUTED_VALUE"""),546733)</f>
        <v>546733</v>
      </c>
      <c r="C15" s="308">
        <f ca="1">IFERROR(__xludf.DUMMYFUNCTION("""COMPUTED_VALUE"""),250090)</f>
        <v>250090</v>
      </c>
      <c r="D15" s="308">
        <f ca="1">IFERROR(__xludf.DUMMYFUNCTION("""COMPUTED_VALUE"""),296642)</f>
        <v>296642</v>
      </c>
      <c r="E15" s="340">
        <f ca="1">IFERROR(__xludf.DUMMYFUNCTION("""COMPUTED_VALUE"""),0.5426)</f>
        <v>0.54259999999999997</v>
      </c>
      <c r="F15" s="308">
        <f ca="1">IFERROR(__xludf.DUMMYFUNCTION("""COMPUTED_VALUE"""),228065)</f>
        <v>228065</v>
      </c>
      <c r="G15" s="340">
        <f ca="1">IFERROR(__xludf.DUMMYFUNCTION("""COMPUTED_VALUE"""),0.4171)</f>
        <v>0.41710000000000003</v>
      </c>
      <c r="H15" s="308">
        <f ca="1">IFERROR(__xludf.DUMMYFUNCTION("""COMPUTED_VALUE"""),13876)</f>
        <v>13876</v>
      </c>
      <c r="I15" s="308">
        <f ca="1">IFERROR(__xludf.DUMMYFUNCTION("""COMPUTED_VALUE"""),241940)</f>
        <v>241940</v>
      </c>
      <c r="J15" s="308">
        <f ca="1">IFERROR(__xludf.DUMMYFUNCTION("""COMPUTED_VALUE"""),211000)</f>
        <v>211000</v>
      </c>
      <c r="K15" s="346">
        <f ca="1">IFERROR(__xludf.DUMMYFUNCTION("""COMPUTED_VALUE"""),8.14)</f>
        <v>8.14</v>
      </c>
      <c r="L15" s="343">
        <f t="shared" ca="1" si="0"/>
        <v>5.7353062742828802E-2</v>
      </c>
      <c r="M15" s="5"/>
      <c r="P15" s="311" t="str">
        <f t="shared" ca="1" si="1"/>
        <v>114.3Q</v>
      </c>
      <c r="Q15" s="340">
        <f t="shared" ca="1" si="2"/>
        <v>0.59450000000000003</v>
      </c>
      <c r="R15" s="340">
        <f t="shared" ref="R15:X15" ca="1" si="5">R14</f>
        <v>0.43519150897531123</v>
      </c>
      <c r="S15" s="340">
        <f t="shared" ca="1" si="5"/>
        <v>0.48144513296766783</v>
      </c>
      <c r="T15" s="340">
        <f t="shared" ca="1" si="5"/>
        <v>0.52769875696002444</v>
      </c>
      <c r="U15" s="340">
        <f t="shared" ca="1" si="5"/>
        <v>0.57395238095238099</v>
      </c>
      <c r="V15" s="340">
        <f t="shared" ca="1" si="5"/>
        <v>0.62020600494473754</v>
      </c>
      <c r="W15" s="340">
        <f t="shared" ca="1" si="5"/>
        <v>0.6664596289370941</v>
      </c>
      <c r="X15" s="343">
        <f t="shared" ca="1" si="5"/>
        <v>0.71271325292945076</v>
      </c>
    </row>
    <row r="16" spans="1:24" ht="15.75" customHeight="1">
      <c r="A16" s="311" t="str">
        <f ca="1">IFERROR(__xludf.DUMMYFUNCTION("""COMPUTED_VALUE"""),"112.2Q")</f>
        <v>112.2Q</v>
      </c>
      <c r="B16" s="308">
        <f ca="1">IFERROR(__xludf.DUMMYFUNCTION("""COMPUTED_VALUE"""),480841)</f>
        <v>480841</v>
      </c>
      <c r="C16" s="308">
        <f ca="1">IFERROR(__xludf.DUMMYFUNCTION("""COMPUTED_VALUE"""),220641)</f>
        <v>220641</v>
      </c>
      <c r="D16" s="308">
        <f ca="1">IFERROR(__xludf.DUMMYFUNCTION("""COMPUTED_VALUE"""),260200)</f>
        <v>260200</v>
      </c>
      <c r="E16" s="340">
        <f ca="1">IFERROR(__xludf.DUMMYFUNCTION("""COMPUTED_VALUE"""),0.5411)</f>
        <v>0.54110000000000003</v>
      </c>
      <c r="F16" s="308">
        <f ca="1">IFERROR(__xludf.DUMMYFUNCTION("""COMPUTED_VALUE"""),201958)</f>
        <v>201958</v>
      </c>
      <c r="G16" s="340">
        <f ca="1">IFERROR(__xludf.DUMMYFUNCTION("""COMPUTED_VALUE"""),0.42)</f>
        <v>0.42</v>
      </c>
      <c r="H16" s="308">
        <f ca="1">IFERROR(__xludf.DUMMYFUNCTION("""COMPUTED_VALUE"""),12717)</f>
        <v>12717</v>
      </c>
      <c r="I16" s="308">
        <f ca="1">IFERROR(__xludf.DUMMYFUNCTION("""COMPUTED_VALUE"""),214675)</f>
        <v>214675</v>
      </c>
      <c r="J16" s="308">
        <f ca="1">IFERROR(__xludf.DUMMYFUNCTION("""COMPUTED_VALUE"""),181799)</f>
        <v>181799</v>
      </c>
      <c r="K16" s="346">
        <f ca="1">IFERROR(__xludf.DUMMYFUNCTION("""COMPUTED_VALUE"""),7.01)</f>
        <v>7.01</v>
      </c>
      <c r="L16" s="343">
        <f t="shared" ca="1" si="0"/>
        <v>5.9238383603120996E-2</v>
      </c>
      <c r="M16" s="5"/>
      <c r="P16" s="311" t="str">
        <f t="shared" ca="1" si="1"/>
        <v>114.2Q</v>
      </c>
      <c r="Q16" s="340">
        <f t="shared" ca="1" si="2"/>
        <v>0.58620000000000005</v>
      </c>
      <c r="R16" s="340">
        <f t="shared" ref="R16:X16" ca="1" si="6">R15</f>
        <v>0.43519150897531123</v>
      </c>
      <c r="S16" s="340">
        <f t="shared" ca="1" si="6"/>
        <v>0.48144513296766783</v>
      </c>
      <c r="T16" s="340">
        <f t="shared" ca="1" si="6"/>
        <v>0.52769875696002444</v>
      </c>
      <c r="U16" s="340">
        <f t="shared" ca="1" si="6"/>
        <v>0.57395238095238099</v>
      </c>
      <c r="V16" s="340">
        <f t="shared" ca="1" si="6"/>
        <v>0.62020600494473754</v>
      </c>
      <c r="W16" s="340">
        <f t="shared" ca="1" si="6"/>
        <v>0.6664596289370941</v>
      </c>
      <c r="X16" s="343">
        <f t="shared" ca="1" si="6"/>
        <v>0.71271325292945076</v>
      </c>
    </row>
    <row r="17" spans="1:24" ht="15.75" customHeight="1">
      <c r="A17" s="311" t="str">
        <f ca="1">IFERROR(__xludf.DUMMYFUNCTION("""COMPUTED_VALUE"""),"112.1Q")</f>
        <v>112.1Q</v>
      </c>
      <c r="B17" s="308">
        <f ca="1">IFERROR(__xludf.DUMMYFUNCTION("""COMPUTED_VALUE"""),508633)</f>
        <v>508633</v>
      </c>
      <c r="C17" s="308">
        <f ca="1">IFERROR(__xludf.DUMMYFUNCTION("""COMPUTED_VALUE"""),222133)</f>
        <v>222133</v>
      </c>
      <c r="D17" s="308">
        <f ca="1">IFERROR(__xludf.DUMMYFUNCTION("""COMPUTED_VALUE"""),286500)</f>
        <v>286500</v>
      </c>
      <c r="E17" s="340">
        <f ca="1">IFERROR(__xludf.DUMMYFUNCTION("""COMPUTED_VALUE"""),0.5633)</f>
        <v>0.56330000000000002</v>
      </c>
      <c r="F17" s="308">
        <f ca="1">IFERROR(__xludf.DUMMYFUNCTION("""COMPUTED_VALUE"""),231238)</f>
        <v>231238</v>
      </c>
      <c r="G17" s="340">
        <f ca="1">IFERROR(__xludf.DUMMYFUNCTION("""COMPUTED_VALUE"""),0.4546)</f>
        <v>0.4546</v>
      </c>
      <c r="H17" s="308">
        <f ca="1">IFERROR(__xludf.DUMMYFUNCTION("""COMPUTED_VALUE"""),13037)</f>
        <v>13037</v>
      </c>
      <c r="I17" s="308">
        <f ca="1">IFERROR(__xludf.DUMMYFUNCTION("""COMPUTED_VALUE"""),244275)</f>
        <v>244275</v>
      </c>
      <c r="J17" s="308">
        <f ca="1">IFERROR(__xludf.DUMMYFUNCTION("""COMPUTED_VALUE"""),206987)</f>
        <v>206987</v>
      </c>
      <c r="K17" s="346">
        <f ca="1">IFERROR(__xludf.DUMMYFUNCTION("""COMPUTED_VALUE"""),7.98)</f>
        <v>7.98</v>
      </c>
      <c r="L17" s="343">
        <f t="shared" ca="1" si="0"/>
        <v>5.3370177054549175E-2</v>
      </c>
      <c r="P17" s="311" t="str">
        <f t="shared" ca="1" si="1"/>
        <v>114.1Q</v>
      </c>
      <c r="Q17" s="340">
        <f t="shared" ca="1" si="2"/>
        <v>0.58789999999999998</v>
      </c>
      <c r="R17" s="340">
        <f t="shared" ref="R17:X17" ca="1" si="7">R16</f>
        <v>0.43519150897531123</v>
      </c>
      <c r="S17" s="340">
        <f t="shared" ca="1" si="7"/>
        <v>0.48144513296766783</v>
      </c>
      <c r="T17" s="340">
        <f t="shared" ca="1" si="7"/>
        <v>0.52769875696002444</v>
      </c>
      <c r="U17" s="340">
        <f t="shared" ca="1" si="7"/>
        <v>0.57395238095238099</v>
      </c>
      <c r="V17" s="340">
        <f t="shared" ca="1" si="7"/>
        <v>0.62020600494473754</v>
      </c>
      <c r="W17" s="340">
        <f t="shared" ca="1" si="7"/>
        <v>0.6664596289370941</v>
      </c>
      <c r="X17" s="343">
        <f t="shared" ca="1" si="7"/>
        <v>0.71271325292945076</v>
      </c>
    </row>
    <row r="18" spans="1:24" ht="15.75" customHeight="1">
      <c r="A18" s="311" t="str">
        <f ca="1">IFERROR(__xludf.DUMMYFUNCTION("""COMPUTED_VALUE"""),"111.4Q")</f>
        <v>111.4Q</v>
      </c>
      <c r="B18" s="308">
        <f ca="1">IFERROR(__xludf.DUMMYFUNCTION("""COMPUTED_VALUE"""),625532)</f>
        <v>625532</v>
      </c>
      <c r="C18" s="308">
        <f ca="1">IFERROR(__xludf.DUMMYFUNCTION("""COMPUTED_VALUE"""),236347)</f>
        <v>236347</v>
      </c>
      <c r="D18" s="308">
        <f ca="1">IFERROR(__xludf.DUMMYFUNCTION("""COMPUTED_VALUE"""),389185)</f>
        <v>389185</v>
      </c>
      <c r="E18" s="340">
        <f ca="1">IFERROR(__xludf.DUMMYFUNCTION("""COMPUTED_VALUE"""),0.6222)</f>
        <v>0.62219999999999998</v>
      </c>
      <c r="F18" s="308">
        <f ca="1">IFERROR(__xludf.DUMMYFUNCTION("""COMPUTED_VALUE"""),325041)</f>
        <v>325041</v>
      </c>
      <c r="G18" s="340">
        <f ca="1">IFERROR(__xludf.DUMMYFUNCTION("""COMPUTED_VALUE"""),0.5196)</f>
        <v>0.51959999999999995</v>
      </c>
      <c r="H18" s="308">
        <f ca="1">IFERROR(__xludf.DUMMYFUNCTION("""COMPUTED_VALUE"""),9629)</f>
        <v>9629</v>
      </c>
      <c r="I18" s="308">
        <f ca="1">IFERROR(__xludf.DUMMYFUNCTION("""COMPUTED_VALUE"""),334670)</f>
        <v>334670</v>
      </c>
      <c r="J18" s="308">
        <f ca="1">IFERROR(__xludf.DUMMYFUNCTION("""COMPUTED_VALUE"""),295904)</f>
        <v>295904</v>
      </c>
      <c r="K18" s="346">
        <f ca="1">IFERROR(__xludf.DUMMYFUNCTION("""COMPUTED_VALUE"""),11.41)</f>
        <v>11.41</v>
      </c>
      <c r="L18" s="343">
        <f t="shared" ca="1" si="0"/>
        <v>2.8771625780619713E-2</v>
      </c>
      <c r="P18" s="311" t="str">
        <f t="shared" ca="1" si="1"/>
        <v>113.4Q</v>
      </c>
      <c r="Q18" s="340">
        <f t="shared" ca="1" si="2"/>
        <v>0.59</v>
      </c>
      <c r="R18" s="340">
        <f t="shared" ref="R18:X18" ca="1" si="8">R17</f>
        <v>0.43519150897531123</v>
      </c>
      <c r="S18" s="340">
        <f t="shared" ca="1" si="8"/>
        <v>0.48144513296766783</v>
      </c>
      <c r="T18" s="340">
        <f t="shared" ca="1" si="8"/>
        <v>0.52769875696002444</v>
      </c>
      <c r="U18" s="340">
        <f t="shared" ca="1" si="8"/>
        <v>0.57395238095238099</v>
      </c>
      <c r="V18" s="340">
        <f t="shared" ca="1" si="8"/>
        <v>0.62020600494473754</v>
      </c>
      <c r="W18" s="340">
        <f t="shared" ca="1" si="8"/>
        <v>0.6664596289370941</v>
      </c>
      <c r="X18" s="343">
        <f t="shared" ca="1" si="8"/>
        <v>0.71271325292945076</v>
      </c>
    </row>
    <row r="19" spans="1:24" ht="15.75" customHeight="1">
      <c r="A19" s="311" t="str">
        <f ca="1">IFERROR(__xludf.DUMMYFUNCTION("""COMPUTED_VALUE"""),"111.3Q")</f>
        <v>111.3Q</v>
      </c>
      <c r="B19" s="308">
        <f ca="1">IFERROR(__xludf.DUMMYFUNCTION("""COMPUTED_VALUE"""),613143)</f>
        <v>613143</v>
      </c>
      <c r="C19" s="308">
        <f ca="1">IFERROR(__xludf.DUMMYFUNCTION("""COMPUTED_VALUE"""),242644)</f>
        <v>242644</v>
      </c>
      <c r="D19" s="308">
        <f ca="1">IFERROR(__xludf.DUMMYFUNCTION("""COMPUTED_VALUE"""),370499)</f>
        <v>370499</v>
      </c>
      <c r="E19" s="340">
        <f ca="1">IFERROR(__xludf.DUMMYFUNCTION("""COMPUTED_VALUE"""),0.6043)</f>
        <v>0.60429999999999995</v>
      </c>
      <c r="F19" s="308">
        <f ca="1">IFERROR(__xludf.DUMMYFUNCTION("""COMPUTED_VALUE"""),310324)</f>
        <v>310324</v>
      </c>
      <c r="G19" s="340">
        <f ca="1">IFERROR(__xludf.DUMMYFUNCTION("""COMPUTED_VALUE"""),0.5061)</f>
        <v>0.50609999999999999</v>
      </c>
      <c r="H19" s="308">
        <f ca="1">IFERROR(__xludf.DUMMYFUNCTION("""COMPUTED_VALUE"""),6367)</f>
        <v>6367</v>
      </c>
      <c r="I19" s="308">
        <f ca="1">IFERROR(__xludf.DUMMYFUNCTION("""COMPUTED_VALUE"""),316691)</f>
        <v>316691</v>
      </c>
      <c r="J19" s="308">
        <f ca="1">IFERROR(__xludf.DUMMYFUNCTION("""COMPUTED_VALUE"""),280866)</f>
        <v>280866</v>
      </c>
      <c r="K19" s="346">
        <f ca="1">IFERROR(__xludf.DUMMYFUNCTION("""COMPUTED_VALUE"""),10.83)</f>
        <v>10.83</v>
      </c>
      <c r="L19" s="343">
        <f t="shared" ca="1" si="0"/>
        <v>2.010477089655216E-2</v>
      </c>
      <c r="P19" s="311" t="str">
        <f t="shared" ca="1" si="1"/>
        <v>113.3Q</v>
      </c>
      <c r="Q19" s="340">
        <f t="shared" ca="1" si="2"/>
        <v>0.57830000000000004</v>
      </c>
      <c r="R19" s="340">
        <f t="shared" ref="R19:X19" ca="1" si="9">R18</f>
        <v>0.43519150897531123</v>
      </c>
      <c r="S19" s="340">
        <f t="shared" ca="1" si="9"/>
        <v>0.48144513296766783</v>
      </c>
      <c r="T19" s="340">
        <f t="shared" ca="1" si="9"/>
        <v>0.52769875696002444</v>
      </c>
      <c r="U19" s="340">
        <f t="shared" ca="1" si="9"/>
        <v>0.57395238095238099</v>
      </c>
      <c r="V19" s="340">
        <f t="shared" ca="1" si="9"/>
        <v>0.62020600494473754</v>
      </c>
      <c r="W19" s="340">
        <f t="shared" ca="1" si="9"/>
        <v>0.6664596289370941</v>
      </c>
      <c r="X19" s="343">
        <f t="shared" ca="1" si="9"/>
        <v>0.71271325292945076</v>
      </c>
    </row>
    <row r="20" spans="1:24" ht="15.75" customHeight="1">
      <c r="A20" s="311" t="str">
        <f ca="1">IFERROR(__xludf.DUMMYFUNCTION("""COMPUTED_VALUE"""),"111.2Q")</f>
        <v>111.2Q</v>
      </c>
      <c r="B20" s="308">
        <f ca="1">IFERROR(__xludf.DUMMYFUNCTION("""COMPUTED_VALUE"""),534141)</f>
        <v>534141</v>
      </c>
      <c r="C20" s="308">
        <f ca="1">IFERROR(__xludf.DUMMYFUNCTION("""COMPUTED_VALUE"""),218673)</f>
        <v>218673</v>
      </c>
      <c r="D20" s="308">
        <f ca="1">IFERROR(__xludf.DUMMYFUNCTION("""COMPUTED_VALUE"""),315468)</f>
        <v>315468</v>
      </c>
      <c r="E20" s="340">
        <f ca="1">IFERROR(__xludf.DUMMYFUNCTION("""COMPUTED_VALUE"""),0.5906)</f>
        <v>0.59060000000000001</v>
      </c>
      <c r="F20" s="308">
        <f ca="1">IFERROR(__xludf.DUMMYFUNCTION("""COMPUTED_VALUE"""),262124)</f>
        <v>262124</v>
      </c>
      <c r="G20" s="340">
        <f ca="1">IFERROR(__xludf.DUMMYFUNCTION("""COMPUTED_VALUE"""),0.4907)</f>
        <v>0.49070000000000003</v>
      </c>
      <c r="H20" s="308">
        <f ca="1">IFERROR(__xludf.DUMMYFUNCTION("""COMPUTED_VALUE"""),3875)</f>
        <v>3875</v>
      </c>
      <c r="I20" s="308">
        <f ca="1">IFERROR(__xludf.DUMMYFUNCTION("""COMPUTED_VALUE"""),265998)</f>
        <v>265998</v>
      </c>
      <c r="J20" s="308">
        <f ca="1">IFERROR(__xludf.DUMMYFUNCTION("""COMPUTED_VALUE"""),237027)</f>
        <v>237027</v>
      </c>
      <c r="K20" s="346">
        <f ca="1">IFERROR(__xludf.DUMMYFUNCTION("""COMPUTED_VALUE"""),9.14)</f>
        <v>9.14</v>
      </c>
      <c r="L20" s="343">
        <f t="shared" ca="1" si="0"/>
        <v>1.4567778705103045E-2</v>
      </c>
      <c r="P20" s="311" t="str">
        <f t="shared" ca="1" si="1"/>
        <v>113.2Q</v>
      </c>
      <c r="Q20" s="340">
        <f t="shared" ca="1" si="2"/>
        <v>0.53169999999999995</v>
      </c>
      <c r="R20" s="340">
        <f t="shared" ref="R20:X20" ca="1" si="10">R19</f>
        <v>0.43519150897531123</v>
      </c>
      <c r="S20" s="340">
        <f t="shared" ca="1" si="10"/>
        <v>0.48144513296766783</v>
      </c>
      <c r="T20" s="340">
        <f t="shared" ca="1" si="10"/>
        <v>0.52769875696002444</v>
      </c>
      <c r="U20" s="340">
        <f t="shared" ca="1" si="10"/>
        <v>0.57395238095238099</v>
      </c>
      <c r="V20" s="340">
        <f t="shared" ca="1" si="10"/>
        <v>0.62020600494473754</v>
      </c>
      <c r="W20" s="340">
        <f t="shared" ca="1" si="10"/>
        <v>0.6664596289370941</v>
      </c>
      <c r="X20" s="343">
        <f t="shared" ca="1" si="10"/>
        <v>0.71271325292945076</v>
      </c>
    </row>
    <row r="21" spans="1:24" ht="15.75" customHeight="1">
      <c r="A21" s="311" t="str">
        <f ca="1">IFERROR(__xludf.DUMMYFUNCTION("""COMPUTED_VALUE"""),"111.1Q")</f>
        <v>111.1Q</v>
      </c>
      <c r="B21" s="308">
        <f ca="1">IFERROR(__xludf.DUMMYFUNCTION("""COMPUTED_VALUE"""),491076)</f>
        <v>491076</v>
      </c>
      <c r="C21" s="308">
        <f ca="1">IFERROR(__xludf.DUMMYFUNCTION("""COMPUTED_VALUE"""),217873)</f>
        <v>217873</v>
      </c>
      <c r="D21" s="308">
        <f ca="1">IFERROR(__xludf.DUMMYFUNCTION("""COMPUTED_VALUE"""),273203)</f>
        <v>273203</v>
      </c>
      <c r="E21" s="340">
        <f ca="1">IFERROR(__xludf.DUMMYFUNCTION("""COMPUTED_VALUE"""),0.5563)</f>
        <v>0.55630000000000002</v>
      </c>
      <c r="F21" s="308">
        <f ca="1">IFERROR(__xludf.DUMMYFUNCTION("""COMPUTED_VALUE"""),223790)</f>
        <v>223790</v>
      </c>
      <c r="G21" s="340">
        <f ca="1">IFERROR(__xludf.DUMMYFUNCTION("""COMPUTED_VALUE"""),0.4557)</f>
        <v>0.45569999999999999</v>
      </c>
      <c r="H21" s="308">
        <f ca="1">IFERROR(__xludf.DUMMYFUNCTION("""COMPUTED_VALUE"""),3042)</f>
        <v>3042</v>
      </c>
      <c r="I21" s="308">
        <f ca="1">IFERROR(__xludf.DUMMYFUNCTION("""COMPUTED_VALUE"""),226832)</f>
        <v>226832</v>
      </c>
      <c r="J21" s="308">
        <f ca="1">IFERROR(__xludf.DUMMYFUNCTION("""COMPUTED_VALUE"""),202733)</f>
        <v>202733</v>
      </c>
      <c r="K21" s="346">
        <f ca="1">IFERROR(__xludf.DUMMYFUNCTION("""COMPUTED_VALUE"""),7.82)</f>
        <v>7.82</v>
      </c>
      <c r="L21" s="343">
        <f t="shared" ca="1" si="0"/>
        <v>1.3410806235451787E-2</v>
      </c>
      <c r="P21" s="311" t="str">
        <f t="shared" ca="1" si="1"/>
        <v>113.1Q</v>
      </c>
      <c r="Q21" s="340">
        <f t="shared" ca="1" si="2"/>
        <v>0.53069999999999995</v>
      </c>
      <c r="R21" s="340">
        <f t="shared" ref="R21:X21" ca="1" si="11">R20</f>
        <v>0.43519150897531123</v>
      </c>
      <c r="S21" s="340">
        <f t="shared" ca="1" si="11"/>
        <v>0.48144513296766783</v>
      </c>
      <c r="T21" s="340">
        <f t="shared" ca="1" si="11"/>
        <v>0.52769875696002444</v>
      </c>
      <c r="U21" s="340">
        <f t="shared" ca="1" si="11"/>
        <v>0.57395238095238099</v>
      </c>
      <c r="V21" s="340">
        <f t="shared" ca="1" si="11"/>
        <v>0.62020600494473754</v>
      </c>
      <c r="W21" s="340">
        <f t="shared" ca="1" si="11"/>
        <v>0.6664596289370941</v>
      </c>
      <c r="X21" s="343">
        <f t="shared" ca="1" si="11"/>
        <v>0.71271325292945076</v>
      </c>
    </row>
    <row r="22" spans="1:24" ht="15.75" customHeight="1" thickBot="1">
      <c r="A22" s="311" t="str">
        <f ca="1">IFERROR(__xludf.DUMMYFUNCTION("""COMPUTED_VALUE"""),"110.4Q")</f>
        <v>110.4Q</v>
      </c>
      <c r="B22" s="308">
        <f ca="1">IFERROR(__xludf.DUMMYFUNCTION("""COMPUTED_VALUE"""),438189)</f>
        <v>438189</v>
      </c>
      <c r="C22" s="308">
        <f ca="1">IFERROR(__xludf.DUMMYFUNCTION("""COMPUTED_VALUE"""),207434)</f>
        <v>207434</v>
      </c>
      <c r="D22" s="308">
        <f ca="1">IFERROR(__xludf.DUMMYFUNCTION("""COMPUTED_VALUE"""),230755)</f>
        <v>230755</v>
      </c>
      <c r="E22" s="340">
        <f ca="1">IFERROR(__xludf.DUMMYFUNCTION("""COMPUTED_VALUE"""),0.5266)</f>
        <v>0.52659999999999996</v>
      </c>
      <c r="F22" s="308">
        <f ca="1">IFERROR(__xludf.DUMMYFUNCTION("""COMPUTED_VALUE"""),182772)</f>
        <v>182772</v>
      </c>
      <c r="G22" s="340">
        <f ca="1">IFERROR(__xludf.DUMMYFUNCTION("""COMPUTED_VALUE"""),0.4171)</f>
        <v>0.41710000000000003</v>
      </c>
      <c r="H22" s="308">
        <f ca="1">IFERROR(__xludf.DUMMYFUNCTION("""COMPUTED_VALUE"""),2047)</f>
        <v>2047</v>
      </c>
      <c r="I22" s="308">
        <f ca="1">IFERROR(__xludf.DUMMYFUNCTION("""COMPUTED_VALUE"""),184819)</f>
        <v>184819</v>
      </c>
      <c r="J22" s="308">
        <f ca="1">IFERROR(__xludf.DUMMYFUNCTION("""COMPUTED_VALUE"""),166232)</f>
        <v>166232</v>
      </c>
      <c r="K22" s="346">
        <f ca="1">IFERROR(__xludf.DUMMYFUNCTION("""COMPUTED_VALUE"""),6.41)</f>
        <v>6.41</v>
      </c>
      <c r="L22" s="343">
        <f t="shared" ca="1" si="0"/>
        <v>1.1075701091338012E-2</v>
      </c>
      <c r="P22" s="314" t="str">
        <f t="shared" ca="1" si="1"/>
        <v>112.4Q</v>
      </c>
      <c r="Q22" s="341">
        <f t="shared" ca="1" si="2"/>
        <v>0.53039999999999998</v>
      </c>
      <c r="R22" s="341">
        <f t="shared" ref="R22:X22" ca="1" si="12">R21</f>
        <v>0.43519150897531123</v>
      </c>
      <c r="S22" s="341">
        <f t="shared" ca="1" si="12"/>
        <v>0.48144513296766783</v>
      </c>
      <c r="T22" s="341">
        <f t="shared" ca="1" si="12"/>
        <v>0.52769875696002444</v>
      </c>
      <c r="U22" s="341">
        <f t="shared" ca="1" si="12"/>
        <v>0.57395238095238099</v>
      </c>
      <c r="V22" s="341">
        <f t="shared" ca="1" si="12"/>
        <v>0.62020600494473754</v>
      </c>
      <c r="W22" s="341">
        <f t="shared" ca="1" si="12"/>
        <v>0.6664596289370941</v>
      </c>
      <c r="X22" s="348">
        <f t="shared" ca="1" si="12"/>
        <v>0.71271325292945076</v>
      </c>
    </row>
    <row r="23" spans="1:24" ht="15.75" customHeight="1" thickTop="1">
      <c r="A23" s="311" t="str">
        <f ca="1">IFERROR(__xludf.DUMMYFUNCTION("""COMPUTED_VALUE"""),"110.3Q")</f>
        <v>110.3Q</v>
      </c>
      <c r="B23" s="308">
        <f ca="1">IFERROR(__xludf.DUMMYFUNCTION("""COMPUTED_VALUE"""),414670)</f>
        <v>414670</v>
      </c>
      <c r="C23" s="308">
        <f ca="1">IFERROR(__xludf.DUMMYFUNCTION("""COMPUTED_VALUE"""),201924)</f>
        <v>201924</v>
      </c>
      <c r="D23" s="308">
        <f ca="1">IFERROR(__xludf.DUMMYFUNCTION("""COMPUTED_VALUE"""),212746)</f>
        <v>212746</v>
      </c>
      <c r="E23" s="340">
        <f ca="1">IFERROR(__xludf.DUMMYFUNCTION("""COMPUTED_VALUE"""),0.513)</f>
        <v>0.51300000000000001</v>
      </c>
      <c r="F23" s="308">
        <f ca="1">IFERROR(__xludf.DUMMYFUNCTION("""COMPUTED_VALUE"""),171004)</f>
        <v>171004</v>
      </c>
      <c r="G23" s="340">
        <f ca="1">IFERROR(__xludf.DUMMYFUNCTION("""COMPUTED_VALUE"""),0.4124)</f>
        <v>0.41239999999999999</v>
      </c>
      <c r="H23" s="308">
        <f ca="1">IFERROR(__xludf.DUMMYFUNCTION("""COMPUTED_VALUE"""),2848)</f>
        <v>2848</v>
      </c>
      <c r="I23" s="308">
        <f ca="1">IFERROR(__xludf.DUMMYFUNCTION("""COMPUTED_VALUE"""),173852)</f>
        <v>173852</v>
      </c>
      <c r="J23" s="308">
        <f ca="1">IFERROR(__xludf.DUMMYFUNCTION("""COMPUTED_VALUE"""),156258)</f>
        <v>156258</v>
      </c>
      <c r="K23" s="346">
        <f ca="1">IFERROR(__xludf.DUMMYFUNCTION("""COMPUTED_VALUE"""),6.03)</f>
        <v>6.03</v>
      </c>
      <c r="L23" s="343">
        <f t="shared" ca="1" si="0"/>
        <v>1.638174999424798E-2</v>
      </c>
      <c r="P23" s="4" t="str">
        <f t="shared" ca="1" si="1"/>
        <v>112.3Q</v>
      </c>
      <c r="Q23" s="5">
        <f t="shared" ca="1" si="2"/>
        <v>0.54259999999999997</v>
      </c>
      <c r="R23" s="5">
        <f t="shared" ref="R23:X23" ca="1" si="13">R22</f>
        <v>0.43519150897531123</v>
      </c>
      <c r="S23" s="5">
        <f t="shared" ca="1" si="13"/>
        <v>0.48144513296766783</v>
      </c>
      <c r="T23" s="5">
        <f t="shared" ca="1" si="13"/>
        <v>0.52769875696002444</v>
      </c>
      <c r="U23" s="5">
        <f t="shared" ca="1" si="13"/>
        <v>0.57395238095238099</v>
      </c>
      <c r="V23" s="5">
        <f t="shared" ca="1" si="13"/>
        <v>0.62020600494473754</v>
      </c>
      <c r="W23" s="5">
        <f t="shared" ca="1" si="13"/>
        <v>0.6664596289370941</v>
      </c>
      <c r="X23" s="5">
        <f t="shared" ca="1" si="13"/>
        <v>0.71271325292945076</v>
      </c>
    </row>
    <row r="24" spans="1:24" ht="15.75" customHeight="1">
      <c r="A24" s="335" t="str">
        <f ca="1">IFERROR(__xludf.DUMMYFUNCTION("""COMPUTED_VALUE"""),"110.2Q")</f>
        <v>110.2Q</v>
      </c>
      <c r="B24" s="308">
        <f ca="1">IFERROR(__xludf.DUMMYFUNCTION("""COMPUTED_VALUE"""),372145)</f>
        <v>372145</v>
      </c>
      <c r="C24" s="308">
        <f ca="1">IFERROR(__xludf.DUMMYFUNCTION("""COMPUTED_VALUE"""),185948)</f>
        <v>185948</v>
      </c>
      <c r="D24" s="308">
        <f ca="1">IFERROR(__xludf.DUMMYFUNCTION("""COMPUTED_VALUE"""),186197)</f>
        <v>186197</v>
      </c>
      <c r="E24" s="340">
        <f ca="1">IFERROR(__xludf.DUMMYFUNCTION("""COMPUTED_VALUE"""),0.5003)</f>
        <v>0.50029999999999997</v>
      </c>
      <c r="F24" s="308">
        <f ca="1">IFERROR(__xludf.DUMMYFUNCTION("""COMPUTED_VALUE"""),145667)</f>
        <v>145667</v>
      </c>
      <c r="G24" s="340">
        <f ca="1">IFERROR(__xludf.DUMMYFUNCTION("""COMPUTED_VALUE"""),0.3914)</f>
        <v>0.39140000000000003</v>
      </c>
      <c r="H24" s="308">
        <f ca="1">IFERROR(__xludf.DUMMYFUNCTION("""COMPUTED_VALUE"""),3724)</f>
        <v>3724</v>
      </c>
      <c r="I24" s="308">
        <f ca="1">IFERROR(__xludf.DUMMYFUNCTION("""COMPUTED_VALUE"""),149391)</f>
        <v>149391</v>
      </c>
      <c r="J24" s="308">
        <f ca="1">IFERROR(__xludf.DUMMYFUNCTION("""COMPUTED_VALUE"""),134359)</f>
        <v>134359</v>
      </c>
      <c r="K24" s="346">
        <f ca="1">IFERROR(__xludf.DUMMYFUNCTION("""COMPUTED_VALUE"""),5.18)</f>
        <v>5.18</v>
      </c>
      <c r="L24" s="343">
        <f t="shared" ca="1" si="0"/>
        <v>2.4927873834434469E-2</v>
      </c>
      <c r="P24" s="4" t="str">
        <f t="shared" ca="1" si="1"/>
        <v>112.2Q</v>
      </c>
      <c r="Q24" s="5">
        <f t="shared" ca="1" si="2"/>
        <v>0.54110000000000003</v>
      </c>
      <c r="R24" s="5">
        <f t="shared" ref="R24:X24" ca="1" si="14">R23</f>
        <v>0.43519150897531123</v>
      </c>
      <c r="S24" s="5">
        <f t="shared" ca="1" si="14"/>
        <v>0.48144513296766783</v>
      </c>
      <c r="T24" s="5">
        <f t="shared" ca="1" si="14"/>
        <v>0.52769875696002444</v>
      </c>
      <c r="U24" s="5">
        <f t="shared" ca="1" si="14"/>
        <v>0.57395238095238099</v>
      </c>
      <c r="V24" s="5">
        <f t="shared" ca="1" si="14"/>
        <v>0.62020600494473754</v>
      </c>
      <c r="W24" s="5">
        <f t="shared" ca="1" si="14"/>
        <v>0.6664596289370941</v>
      </c>
      <c r="X24" s="5">
        <f t="shared" ca="1" si="14"/>
        <v>0.71271325292945076</v>
      </c>
    </row>
    <row r="25" spans="1:24" ht="15.75" customHeight="1">
      <c r="A25" s="311" t="str">
        <f ca="1">IFERROR(__xludf.DUMMYFUNCTION("""COMPUTED_VALUE"""),"110.1Q")</f>
        <v>110.1Q</v>
      </c>
      <c r="B25" s="308">
        <f ca="1">IFERROR(__xludf.DUMMYFUNCTION("""COMPUTED_VALUE"""),362410)</f>
        <v>362410</v>
      </c>
      <c r="C25" s="308">
        <f ca="1">IFERROR(__xludf.DUMMYFUNCTION("""COMPUTED_VALUE"""),172571)</f>
        <v>172571</v>
      </c>
      <c r="D25" s="308">
        <f ca="1">IFERROR(__xludf.DUMMYFUNCTION("""COMPUTED_VALUE"""),189839)</f>
        <v>189839</v>
      </c>
      <c r="E25" s="340">
        <f ca="1">IFERROR(__xludf.DUMMYFUNCTION("""COMPUTED_VALUE"""),0.5238)</f>
        <v>0.52380000000000004</v>
      </c>
      <c r="F25" s="308">
        <f ca="1">IFERROR(__xludf.DUMMYFUNCTION("""COMPUTED_VALUE"""),150538)</f>
        <v>150538</v>
      </c>
      <c r="G25" s="340">
        <f ca="1">IFERROR(__xludf.DUMMYFUNCTION("""COMPUTED_VALUE"""),0.4154)</f>
        <v>0.41539999999999999</v>
      </c>
      <c r="H25" s="308">
        <f ca="1">IFERROR(__xludf.DUMMYFUNCTION("""COMPUTED_VALUE"""),4526)</f>
        <v>4526</v>
      </c>
      <c r="I25" s="308">
        <f ca="1">IFERROR(__xludf.DUMMYFUNCTION("""COMPUTED_VALUE"""),155064)</f>
        <v>155064</v>
      </c>
      <c r="J25" s="308">
        <f ca="1">IFERROR(__xludf.DUMMYFUNCTION("""COMPUTED_VALUE"""),139690)</f>
        <v>139690</v>
      </c>
      <c r="K25" s="346">
        <f ca="1">IFERROR(__xludf.DUMMYFUNCTION("""COMPUTED_VALUE"""),5.39)</f>
        <v>5.39</v>
      </c>
      <c r="L25" s="343">
        <f t="shared" ca="1" si="0"/>
        <v>2.9187948202032708E-2</v>
      </c>
      <c r="P25" s="4" t="str">
        <f t="shared" ca="1" si="1"/>
        <v>112.1Q</v>
      </c>
      <c r="Q25" s="5">
        <f t="shared" ca="1" si="2"/>
        <v>0.56330000000000002</v>
      </c>
      <c r="R25" s="5">
        <f t="shared" ref="R25:X25" ca="1" si="15">R24</f>
        <v>0.43519150897531123</v>
      </c>
      <c r="S25" s="5">
        <f t="shared" ca="1" si="15"/>
        <v>0.48144513296766783</v>
      </c>
      <c r="T25" s="5">
        <f t="shared" ca="1" si="15"/>
        <v>0.52769875696002444</v>
      </c>
      <c r="U25" s="5">
        <f t="shared" ca="1" si="15"/>
        <v>0.57395238095238099</v>
      </c>
      <c r="V25" s="5">
        <f t="shared" ca="1" si="15"/>
        <v>0.62020600494473754</v>
      </c>
      <c r="W25" s="5">
        <f t="shared" ca="1" si="15"/>
        <v>0.6664596289370941</v>
      </c>
      <c r="X25" s="5">
        <f t="shared" ca="1" si="15"/>
        <v>0.71271325292945076</v>
      </c>
    </row>
    <row r="26" spans="1:24" ht="15.75" customHeight="1">
      <c r="A26" s="311" t="str">
        <f ca="1">IFERROR(__xludf.DUMMYFUNCTION("""COMPUTED_VALUE"""),"109.4Q")</f>
        <v>109.4Q</v>
      </c>
      <c r="B26" s="308">
        <f ca="1">IFERROR(__xludf.DUMMYFUNCTION("""COMPUTED_VALUE"""),361533)</f>
        <v>361533</v>
      </c>
      <c r="C26" s="308">
        <f ca="1">IFERROR(__xludf.DUMMYFUNCTION("""COMPUTED_VALUE"""),166361)</f>
        <v>166361</v>
      </c>
      <c r="D26" s="308">
        <f ca="1">IFERROR(__xludf.DUMMYFUNCTION("""COMPUTED_VALUE"""),195172)</f>
        <v>195172</v>
      </c>
      <c r="E26" s="340">
        <f ca="1">IFERROR(__xludf.DUMMYFUNCTION("""COMPUTED_VALUE"""),0.5398)</f>
        <v>0.53979999999999995</v>
      </c>
      <c r="F26" s="308">
        <f ca="1">IFERROR(__xludf.DUMMYFUNCTION("""COMPUTED_VALUE"""),157120)</f>
        <v>157120</v>
      </c>
      <c r="G26" s="340">
        <f ca="1">IFERROR(__xludf.DUMMYFUNCTION("""COMPUTED_VALUE"""),0.4346)</f>
        <v>0.43459999999999999</v>
      </c>
      <c r="H26" s="308">
        <f ca="1">IFERROR(__xludf.DUMMYFUNCTION("""COMPUTED_VALUE"""),3987)</f>
        <v>3987</v>
      </c>
      <c r="I26" s="308">
        <f ca="1">IFERROR(__xludf.DUMMYFUNCTION("""COMPUTED_VALUE"""),161107)</f>
        <v>161107</v>
      </c>
      <c r="J26" s="308">
        <f ca="1">IFERROR(__xludf.DUMMYFUNCTION("""COMPUTED_VALUE"""),142766)</f>
        <v>142766</v>
      </c>
      <c r="K26" s="346">
        <f ca="1">IFERROR(__xludf.DUMMYFUNCTION("""COMPUTED_VALUE"""),5.51)</f>
        <v>5.51</v>
      </c>
      <c r="L26" s="343">
        <f t="shared" ca="1" si="0"/>
        <v>2.4747528040370684E-2</v>
      </c>
      <c r="P26" s="4" t="str">
        <f t="shared" ca="1" si="1"/>
        <v>111.4Q</v>
      </c>
      <c r="Q26" s="5">
        <f t="shared" ca="1" si="2"/>
        <v>0.62219999999999998</v>
      </c>
      <c r="R26" s="5">
        <f t="shared" ref="R26:X26" ca="1" si="16">R25</f>
        <v>0.43519150897531123</v>
      </c>
      <c r="S26" s="5">
        <f t="shared" ca="1" si="16"/>
        <v>0.48144513296766783</v>
      </c>
      <c r="T26" s="5">
        <f t="shared" ca="1" si="16"/>
        <v>0.52769875696002444</v>
      </c>
      <c r="U26" s="5">
        <f t="shared" ca="1" si="16"/>
        <v>0.57395238095238099</v>
      </c>
      <c r="V26" s="5">
        <f t="shared" ca="1" si="16"/>
        <v>0.62020600494473754</v>
      </c>
      <c r="W26" s="5">
        <f t="shared" ca="1" si="16"/>
        <v>0.6664596289370941</v>
      </c>
      <c r="X26" s="5">
        <f t="shared" ca="1" si="16"/>
        <v>0.71271325292945076</v>
      </c>
    </row>
    <row r="27" spans="1:24" ht="15.75" customHeight="1">
      <c r="A27" s="311" t="str">
        <f ca="1">IFERROR(__xludf.DUMMYFUNCTION("""COMPUTED_VALUE"""),"109.3Q")</f>
        <v>109.3Q</v>
      </c>
      <c r="B27" s="308">
        <f ca="1">IFERROR(__xludf.DUMMYFUNCTION("""COMPUTED_VALUE"""),356426)</f>
        <v>356426</v>
      </c>
      <c r="C27" s="308">
        <f ca="1">IFERROR(__xludf.DUMMYFUNCTION("""COMPUTED_VALUE"""),165946)</f>
        <v>165946</v>
      </c>
      <c r="D27" s="308">
        <f ca="1">IFERROR(__xludf.DUMMYFUNCTION("""COMPUTED_VALUE"""),190481)</f>
        <v>190481</v>
      </c>
      <c r="E27" s="340">
        <f ca="1">IFERROR(__xludf.DUMMYFUNCTION("""COMPUTED_VALUE"""),0.5344)</f>
        <v>0.53439999999999999</v>
      </c>
      <c r="F27" s="308">
        <f ca="1">IFERROR(__xludf.DUMMYFUNCTION("""COMPUTED_VALUE"""),150047)</f>
        <v>150047</v>
      </c>
      <c r="G27" s="340">
        <f ca="1">IFERROR(__xludf.DUMMYFUNCTION("""COMPUTED_VALUE"""),0.421)</f>
        <v>0.42099999999999999</v>
      </c>
      <c r="H27" s="308">
        <f ca="1">IFERROR(__xludf.DUMMYFUNCTION("""COMPUTED_VALUE"""),5077)</f>
        <v>5077</v>
      </c>
      <c r="I27" s="308">
        <f ca="1">IFERROR(__xludf.DUMMYFUNCTION("""COMPUTED_VALUE"""),155124)</f>
        <v>155124</v>
      </c>
      <c r="J27" s="308">
        <f ca="1">IFERROR(__xludf.DUMMYFUNCTION("""COMPUTED_VALUE"""),137310)</f>
        <v>137310</v>
      </c>
      <c r="K27" s="346">
        <f ca="1">IFERROR(__xludf.DUMMYFUNCTION("""COMPUTED_VALUE"""),5.3)</f>
        <v>5.3</v>
      </c>
      <c r="L27" s="343">
        <f t="shared" ca="1" si="0"/>
        <v>3.2728655785049382E-2</v>
      </c>
      <c r="P27" s="4" t="str">
        <f t="shared" ca="1" si="1"/>
        <v>111.3Q</v>
      </c>
      <c r="Q27" s="5">
        <f t="shared" ca="1" si="2"/>
        <v>0.60429999999999995</v>
      </c>
      <c r="R27" s="5">
        <f t="shared" ref="R27:X27" ca="1" si="17">R26</f>
        <v>0.43519150897531123</v>
      </c>
      <c r="S27" s="5">
        <f t="shared" ca="1" si="17"/>
        <v>0.48144513296766783</v>
      </c>
      <c r="T27" s="5">
        <f t="shared" ca="1" si="17"/>
        <v>0.52769875696002444</v>
      </c>
      <c r="U27" s="5">
        <f t="shared" ca="1" si="17"/>
        <v>0.57395238095238099</v>
      </c>
      <c r="V27" s="5">
        <f t="shared" ca="1" si="17"/>
        <v>0.62020600494473754</v>
      </c>
      <c r="W27" s="5">
        <f t="shared" ca="1" si="17"/>
        <v>0.6664596289370941</v>
      </c>
      <c r="X27" s="5">
        <f t="shared" ca="1" si="17"/>
        <v>0.71271325292945076</v>
      </c>
    </row>
    <row r="28" spans="1:24" ht="15.75" customHeight="1">
      <c r="A28" s="311" t="str">
        <f ca="1">IFERROR(__xludf.DUMMYFUNCTION("""COMPUTED_VALUE"""),"109.2Q")</f>
        <v>109.2Q</v>
      </c>
      <c r="B28" s="308">
        <f ca="1">IFERROR(__xludf.DUMMYFUNCTION("""COMPUTED_VALUE"""),310698)</f>
        <v>310698</v>
      </c>
      <c r="C28" s="308">
        <f ca="1">IFERROR(__xludf.DUMMYFUNCTION("""COMPUTED_VALUE"""),146006)</f>
        <v>146006</v>
      </c>
      <c r="D28" s="308">
        <f ca="1">IFERROR(__xludf.DUMMYFUNCTION("""COMPUTED_VALUE"""),164693)</f>
        <v>164693</v>
      </c>
      <c r="E28" s="340">
        <f ca="1">IFERROR(__xludf.DUMMYFUNCTION("""COMPUTED_VALUE"""),0.5301)</f>
        <v>0.53010000000000002</v>
      </c>
      <c r="F28" s="308">
        <f ca="1">IFERROR(__xludf.DUMMYFUNCTION("""COMPUTED_VALUE"""),131095)</f>
        <v>131095</v>
      </c>
      <c r="G28" s="340">
        <f ca="1">IFERROR(__xludf.DUMMYFUNCTION("""COMPUTED_VALUE"""),0.4219)</f>
        <v>0.4219</v>
      </c>
      <c r="H28" s="308">
        <f ca="1">IFERROR(__xludf.DUMMYFUNCTION("""COMPUTED_VALUE"""),5304)</f>
        <v>5304</v>
      </c>
      <c r="I28" s="308">
        <f ca="1">IFERROR(__xludf.DUMMYFUNCTION("""COMPUTED_VALUE"""),136399)</f>
        <v>136399</v>
      </c>
      <c r="J28" s="308">
        <f ca="1">IFERROR(__xludf.DUMMYFUNCTION("""COMPUTED_VALUE"""),120822)</f>
        <v>120822</v>
      </c>
      <c r="K28" s="346">
        <f ca="1">IFERROR(__xludf.DUMMYFUNCTION("""COMPUTED_VALUE"""),4.66)</f>
        <v>4.66</v>
      </c>
      <c r="L28" s="344"/>
      <c r="P28" s="4" t="str">
        <f t="shared" ca="1" si="1"/>
        <v>111.2Q</v>
      </c>
      <c r="Q28" s="5">
        <f t="shared" ca="1" si="2"/>
        <v>0.59060000000000001</v>
      </c>
      <c r="R28" s="5">
        <f t="shared" ref="R28:X28" ca="1" si="18">R27</f>
        <v>0.43519150897531123</v>
      </c>
      <c r="S28" s="5">
        <f t="shared" ca="1" si="18"/>
        <v>0.48144513296766783</v>
      </c>
      <c r="T28" s="5">
        <f t="shared" ca="1" si="18"/>
        <v>0.52769875696002444</v>
      </c>
      <c r="U28" s="5">
        <f t="shared" ca="1" si="18"/>
        <v>0.57395238095238099</v>
      </c>
      <c r="V28" s="5">
        <f t="shared" ca="1" si="18"/>
        <v>0.62020600494473754</v>
      </c>
      <c r="W28" s="5">
        <f t="shared" ca="1" si="18"/>
        <v>0.6664596289370941</v>
      </c>
      <c r="X28" s="5">
        <f t="shared" ca="1" si="18"/>
        <v>0.71271325292945076</v>
      </c>
    </row>
    <row r="29" spans="1:24" ht="15.75" customHeight="1">
      <c r="A29" s="311" t="str">
        <f ca="1">IFERROR(__xludf.DUMMYFUNCTION("""COMPUTED_VALUE"""),"109.1Q")</f>
        <v>109.1Q</v>
      </c>
      <c r="B29" s="308">
        <f ca="1">IFERROR(__xludf.DUMMYFUNCTION("""COMPUTED_VALUE"""),310597)</f>
        <v>310597</v>
      </c>
      <c r="C29" s="308">
        <f ca="1">IFERROR(__xludf.DUMMYFUNCTION("""COMPUTED_VALUE"""),149813)</f>
        <v>149813</v>
      </c>
      <c r="D29" s="308">
        <f ca="1">IFERROR(__xludf.DUMMYFUNCTION("""COMPUTED_VALUE"""),160784)</f>
        <v>160784</v>
      </c>
      <c r="E29" s="340">
        <f ca="1">IFERROR(__xludf.DUMMYFUNCTION("""COMPUTED_VALUE"""),0.5177)</f>
        <v>0.51770000000000005</v>
      </c>
      <c r="F29" s="308">
        <f ca="1">IFERROR(__xludf.DUMMYFUNCTION("""COMPUTED_VALUE"""),128522)</f>
        <v>128522</v>
      </c>
      <c r="G29" s="340">
        <f ca="1">IFERROR(__xludf.DUMMYFUNCTION("""COMPUTED_VALUE"""),0.4138)</f>
        <v>0.4138</v>
      </c>
      <c r="H29" s="308">
        <f ca="1">IFERROR(__xludf.DUMMYFUNCTION("""COMPUTED_VALUE"""),3626)</f>
        <v>3626</v>
      </c>
      <c r="I29" s="308">
        <f ca="1">IFERROR(__xludf.DUMMYFUNCTION("""COMPUTED_VALUE"""),132147)</f>
        <v>132147</v>
      </c>
      <c r="J29" s="308">
        <f ca="1">IFERROR(__xludf.DUMMYFUNCTION("""COMPUTED_VALUE"""),116987)</f>
        <v>116987</v>
      </c>
      <c r="K29" s="346">
        <f ca="1">IFERROR(__xludf.DUMMYFUNCTION("""COMPUTED_VALUE"""),4.51)</f>
        <v>4.51</v>
      </c>
      <c r="L29" s="344"/>
      <c r="P29" s="4" t="str">
        <f t="shared" ca="1" si="1"/>
        <v>111.1Q</v>
      </c>
      <c r="Q29" s="5">
        <f t="shared" ca="1" si="2"/>
        <v>0.55630000000000002</v>
      </c>
      <c r="R29" s="5">
        <f t="shared" ref="R29:X29" ca="1" si="19">R28</f>
        <v>0.43519150897531123</v>
      </c>
      <c r="S29" s="5">
        <f t="shared" ca="1" si="19"/>
        <v>0.48144513296766783</v>
      </c>
      <c r="T29" s="5">
        <f t="shared" ca="1" si="19"/>
        <v>0.52769875696002444</v>
      </c>
      <c r="U29" s="5">
        <f t="shared" ca="1" si="19"/>
        <v>0.57395238095238099</v>
      </c>
      <c r="V29" s="5">
        <f t="shared" ca="1" si="19"/>
        <v>0.62020600494473754</v>
      </c>
      <c r="W29" s="5">
        <f t="shared" ca="1" si="19"/>
        <v>0.6664596289370941</v>
      </c>
      <c r="X29" s="5">
        <f t="shared" ca="1" si="19"/>
        <v>0.71271325292945076</v>
      </c>
    </row>
    <row r="30" spans="1:24" ht="15.75" customHeight="1">
      <c r="A30" s="311" t="str">
        <f ca="1">IFERROR(__xludf.DUMMYFUNCTION("""COMPUTED_VALUE"""),"108.4Q")</f>
        <v>108.4Q</v>
      </c>
      <c r="B30" s="308">
        <f ca="1">IFERROR(__xludf.DUMMYFUNCTION("""COMPUTED_VALUE"""),317237)</f>
        <v>317237</v>
      </c>
      <c r="C30" s="308">
        <f ca="1">IFERROR(__xludf.DUMMYFUNCTION("""COMPUTED_VALUE"""),157996)</f>
        <v>157996</v>
      </c>
      <c r="D30" s="308">
        <f ca="1">IFERROR(__xludf.DUMMYFUNCTION("""COMPUTED_VALUE"""),159241)</f>
        <v>159241</v>
      </c>
      <c r="E30" s="340">
        <f ca="1">IFERROR(__xludf.DUMMYFUNCTION("""COMPUTED_VALUE"""),0.502)</f>
        <v>0.502</v>
      </c>
      <c r="F30" s="308">
        <f ca="1">IFERROR(__xludf.DUMMYFUNCTION("""COMPUTED_VALUE"""),124244)</f>
        <v>124244</v>
      </c>
      <c r="G30" s="340">
        <f ca="1">IFERROR(__xludf.DUMMYFUNCTION("""COMPUTED_VALUE"""),0.3916)</f>
        <v>0.3916</v>
      </c>
      <c r="H30" s="308">
        <f ca="1">IFERROR(__xludf.DUMMYFUNCTION("""COMPUTED_VALUE"""),4538)</f>
        <v>4538</v>
      </c>
      <c r="I30" s="308">
        <f ca="1">IFERROR(__xludf.DUMMYFUNCTION("""COMPUTED_VALUE"""),128782)</f>
        <v>128782</v>
      </c>
      <c r="J30" s="308">
        <f ca="1">IFERROR(__xludf.DUMMYFUNCTION("""COMPUTED_VALUE"""),116035)</f>
        <v>116035</v>
      </c>
      <c r="K30" s="346">
        <f ca="1">IFERROR(__xludf.DUMMYFUNCTION("""COMPUTED_VALUE"""),4.47)</f>
        <v>4.47</v>
      </c>
      <c r="L30" s="344"/>
      <c r="P30" s="4" t="str">
        <f t="shared" ca="1" si="1"/>
        <v>110.4Q</v>
      </c>
      <c r="Q30" s="5">
        <f t="shared" ca="1" si="2"/>
        <v>0.52659999999999996</v>
      </c>
      <c r="R30" s="5">
        <f t="shared" ref="R30:X30" ca="1" si="20">R29</f>
        <v>0.43519150897531123</v>
      </c>
      <c r="S30" s="5">
        <f t="shared" ca="1" si="20"/>
        <v>0.48144513296766783</v>
      </c>
      <c r="T30" s="5">
        <f t="shared" ca="1" si="20"/>
        <v>0.52769875696002444</v>
      </c>
      <c r="U30" s="5">
        <f t="shared" ca="1" si="20"/>
        <v>0.57395238095238099</v>
      </c>
      <c r="V30" s="5">
        <f t="shared" ca="1" si="20"/>
        <v>0.62020600494473754</v>
      </c>
      <c r="W30" s="5">
        <f t="shared" ca="1" si="20"/>
        <v>0.6664596289370941</v>
      </c>
      <c r="X30" s="5">
        <f t="shared" ca="1" si="20"/>
        <v>0.71271325292945076</v>
      </c>
    </row>
    <row r="31" spans="1:24" ht="15.75" customHeight="1">
      <c r="A31" s="311" t="str">
        <f ca="1">IFERROR(__xludf.DUMMYFUNCTION("""COMPUTED_VALUE"""),"108.3Q")</f>
        <v>108.3Q</v>
      </c>
      <c r="B31" s="308">
        <f ca="1">IFERROR(__xludf.DUMMYFUNCTION("""COMPUTED_VALUE"""),293045)</f>
        <v>293045</v>
      </c>
      <c r="C31" s="308">
        <f ca="1">IFERROR(__xludf.DUMMYFUNCTION("""COMPUTED_VALUE"""),153613)</f>
        <v>153613</v>
      </c>
      <c r="D31" s="308">
        <f ca="1">IFERROR(__xludf.DUMMYFUNCTION("""COMPUTED_VALUE"""),139432)</f>
        <v>139432</v>
      </c>
      <c r="E31" s="340">
        <f ca="1">IFERROR(__xludf.DUMMYFUNCTION("""COMPUTED_VALUE"""),0.4758)</f>
        <v>0.4758</v>
      </c>
      <c r="F31" s="308">
        <f ca="1">IFERROR(__xludf.DUMMYFUNCTION("""COMPUTED_VALUE"""),107887)</f>
        <v>107887</v>
      </c>
      <c r="G31" s="340">
        <f ca="1">IFERROR(__xludf.DUMMYFUNCTION("""COMPUTED_VALUE"""),0.3682)</f>
        <v>0.36820000000000003</v>
      </c>
      <c r="H31" s="308">
        <f ca="1">IFERROR(__xludf.DUMMYFUNCTION("""COMPUTED_VALUE"""),4449)</f>
        <v>4449</v>
      </c>
      <c r="I31" s="308">
        <f ca="1">IFERROR(__xludf.DUMMYFUNCTION("""COMPUTED_VALUE"""),112336)</f>
        <v>112336</v>
      </c>
      <c r="J31" s="308">
        <f ca="1">IFERROR(__xludf.DUMMYFUNCTION("""COMPUTED_VALUE"""),101070)</f>
        <v>101070</v>
      </c>
      <c r="K31" s="346">
        <f ca="1">IFERROR(__xludf.DUMMYFUNCTION("""COMPUTED_VALUE"""),3.9)</f>
        <v>3.9</v>
      </c>
      <c r="L31" s="344"/>
      <c r="P31" s="4" t="str">
        <f t="shared" ca="1" si="1"/>
        <v>110.3Q</v>
      </c>
      <c r="Q31" s="5">
        <f t="shared" ca="1" si="2"/>
        <v>0.51300000000000001</v>
      </c>
      <c r="R31" s="5">
        <f t="shared" ref="R31:X31" ca="1" si="21">R30</f>
        <v>0.43519150897531123</v>
      </c>
      <c r="S31" s="5">
        <f t="shared" ca="1" si="21"/>
        <v>0.48144513296766783</v>
      </c>
      <c r="T31" s="5">
        <f t="shared" ca="1" si="21"/>
        <v>0.52769875696002444</v>
      </c>
      <c r="U31" s="5">
        <f t="shared" ca="1" si="21"/>
        <v>0.57395238095238099</v>
      </c>
      <c r="V31" s="5">
        <f t="shared" ca="1" si="21"/>
        <v>0.62020600494473754</v>
      </c>
      <c r="W31" s="5">
        <f t="shared" ca="1" si="21"/>
        <v>0.6664596289370941</v>
      </c>
      <c r="X31" s="5">
        <f t="shared" ca="1" si="21"/>
        <v>0.71271325292945076</v>
      </c>
    </row>
    <row r="32" spans="1:24" ht="15.75" customHeight="1">
      <c r="A32" s="311" t="str">
        <f ca="1">IFERROR(__xludf.DUMMYFUNCTION("""COMPUTED_VALUE"""),"108.2Q")</f>
        <v>108.2Q</v>
      </c>
      <c r="B32" s="308">
        <f ca="1">IFERROR(__xludf.DUMMYFUNCTION("""COMPUTED_VALUE"""),240998)</f>
        <v>240998</v>
      </c>
      <c r="C32" s="308">
        <f ca="1">IFERROR(__xludf.DUMMYFUNCTION("""COMPUTED_VALUE"""),137325)</f>
        <v>137325</v>
      </c>
      <c r="D32" s="308">
        <f ca="1">IFERROR(__xludf.DUMMYFUNCTION("""COMPUTED_VALUE"""),103673)</f>
        <v>103673</v>
      </c>
      <c r="E32" s="340">
        <f ca="1">IFERROR(__xludf.DUMMYFUNCTION("""COMPUTED_VALUE"""),0.4302)</f>
        <v>0.43020000000000003</v>
      </c>
      <c r="F32" s="308">
        <f ca="1">IFERROR(__xludf.DUMMYFUNCTION("""COMPUTED_VALUE"""),76304)</f>
        <v>76304</v>
      </c>
      <c r="G32" s="340">
        <f ca="1">IFERROR(__xludf.DUMMYFUNCTION("""COMPUTED_VALUE"""),0.3166)</f>
        <v>0.31659999999999999</v>
      </c>
      <c r="H32" s="308">
        <f ca="1">IFERROR(__xludf.DUMMYFUNCTION("""COMPUTED_VALUE"""),4241)</f>
        <v>4241</v>
      </c>
      <c r="I32" s="308">
        <f ca="1">IFERROR(__xludf.DUMMYFUNCTION("""COMPUTED_VALUE"""),80545)</f>
        <v>80545</v>
      </c>
      <c r="J32" s="308">
        <f ca="1">IFERROR(__xludf.DUMMYFUNCTION("""COMPUTED_VALUE"""),66765)</f>
        <v>66765</v>
      </c>
      <c r="K32" s="346">
        <f ca="1">IFERROR(__xludf.DUMMYFUNCTION("""COMPUTED_VALUE"""),2.57)</f>
        <v>2.57</v>
      </c>
      <c r="L32" s="344"/>
      <c r="P32" s="4" t="str">
        <f t="shared" ca="1" si="1"/>
        <v>110.2Q</v>
      </c>
      <c r="Q32" s="5">
        <f t="shared" ca="1" si="2"/>
        <v>0.50029999999999997</v>
      </c>
      <c r="R32" s="5">
        <f t="shared" ref="R32:X32" ca="1" si="22">R31</f>
        <v>0.43519150897531123</v>
      </c>
      <c r="S32" s="5">
        <f t="shared" ca="1" si="22"/>
        <v>0.48144513296766783</v>
      </c>
      <c r="T32" s="5">
        <f t="shared" ca="1" si="22"/>
        <v>0.52769875696002444</v>
      </c>
      <c r="U32" s="5">
        <f t="shared" ca="1" si="22"/>
        <v>0.57395238095238099</v>
      </c>
      <c r="V32" s="5">
        <f t="shared" ca="1" si="22"/>
        <v>0.62020600494473754</v>
      </c>
      <c r="W32" s="5">
        <f t="shared" ca="1" si="22"/>
        <v>0.6664596289370941</v>
      </c>
      <c r="X32" s="5">
        <f t="shared" ca="1" si="22"/>
        <v>0.71271325292945076</v>
      </c>
    </row>
    <row r="33" spans="1:12" ht="15.75" customHeight="1">
      <c r="A33" s="311" t="str">
        <f ca="1">IFERROR(__xludf.DUMMYFUNCTION("""COMPUTED_VALUE"""),"108.1Q")</f>
        <v>108.1Q</v>
      </c>
      <c r="B33" s="308">
        <f ca="1">IFERROR(__xludf.DUMMYFUNCTION("""COMPUTED_VALUE"""),218704)</f>
        <v>218704</v>
      </c>
      <c r="C33" s="308">
        <f ca="1">IFERROR(__xludf.DUMMYFUNCTION("""COMPUTED_VALUE"""),128352)</f>
        <v>128352</v>
      </c>
      <c r="D33" s="308">
        <f ca="1">IFERROR(__xludf.DUMMYFUNCTION("""COMPUTED_VALUE"""),90352)</f>
        <v>90352</v>
      </c>
      <c r="E33" s="340">
        <f ca="1">IFERROR(__xludf.DUMMYFUNCTION("""COMPUTED_VALUE"""),0.4131)</f>
        <v>0.41310000000000002</v>
      </c>
      <c r="F33" s="308">
        <f ca="1">IFERROR(__xludf.DUMMYFUNCTION("""COMPUTED_VALUE"""),64266)</f>
        <v>64266</v>
      </c>
      <c r="G33" s="340">
        <f ca="1">IFERROR(__xludf.DUMMYFUNCTION("""COMPUTED_VALUE"""),0.2938)</f>
        <v>0.29380000000000001</v>
      </c>
      <c r="H33" s="308">
        <f ca="1">IFERROR(__xludf.DUMMYFUNCTION("""COMPUTED_VALUE"""),3916)</f>
        <v>3916</v>
      </c>
      <c r="I33" s="308">
        <f ca="1">IFERROR(__xludf.DUMMYFUNCTION("""COMPUTED_VALUE"""),68182)</f>
        <v>68182</v>
      </c>
      <c r="J33" s="308">
        <f ca="1">IFERROR(__xludf.DUMMYFUNCTION("""COMPUTED_VALUE"""),61394)</f>
        <v>61394</v>
      </c>
      <c r="K33" s="346">
        <f ca="1">IFERROR(__xludf.DUMMYFUNCTION("""COMPUTED_VALUE"""),2.37)</f>
        <v>2.37</v>
      </c>
      <c r="L33" s="344"/>
    </row>
    <row r="34" spans="1:12" ht="15.75" customHeight="1">
      <c r="A34" s="311" t="str">
        <f ca="1">IFERROR(__xludf.DUMMYFUNCTION("""COMPUTED_VALUE"""),"107.4Q")</f>
        <v>107.4Q</v>
      </c>
      <c r="B34" s="308">
        <f ca="1">IFERROR(__xludf.DUMMYFUNCTION("""COMPUTED_VALUE"""),289770)</f>
        <v>289770</v>
      </c>
      <c r="C34" s="308">
        <f ca="1">IFERROR(__xludf.DUMMYFUNCTION("""COMPUTED_VALUE"""),151728)</f>
        <v>151728</v>
      </c>
      <c r="D34" s="308">
        <f ca="1">IFERROR(__xludf.DUMMYFUNCTION("""COMPUTED_VALUE"""),138042)</f>
        <v>138042</v>
      </c>
      <c r="E34" s="340">
        <f ca="1">IFERROR(__xludf.DUMMYFUNCTION("""COMPUTED_VALUE"""),0.4764)</f>
        <v>0.47639999999999999</v>
      </c>
      <c r="F34" s="308">
        <f ca="1">IFERROR(__xludf.DUMMYFUNCTION("""COMPUTED_VALUE"""),107123)</f>
        <v>107123</v>
      </c>
      <c r="G34" s="340">
        <f ca="1">IFERROR(__xludf.DUMMYFUNCTION("""COMPUTED_VALUE"""),0.3697)</f>
        <v>0.36969999999999997</v>
      </c>
      <c r="H34" s="308">
        <f ca="1">IFERROR(__xludf.DUMMYFUNCTION("""COMPUTED_VALUE"""),3959)</f>
        <v>3959</v>
      </c>
      <c r="I34" s="308">
        <f ca="1">IFERROR(__xludf.DUMMYFUNCTION("""COMPUTED_VALUE"""),111082)</f>
        <v>111082</v>
      </c>
      <c r="J34" s="308">
        <f ca="1">IFERROR(__xludf.DUMMYFUNCTION("""COMPUTED_VALUE"""),99984)</f>
        <v>99984</v>
      </c>
      <c r="K34" s="346">
        <f ca="1">IFERROR(__xludf.DUMMYFUNCTION("""COMPUTED_VALUE"""),3.86)</f>
        <v>3.86</v>
      </c>
      <c r="L34" s="344"/>
    </row>
    <row r="35" spans="1:12" ht="15.75" customHeight="1">
      <c r="A35" s="311" t="str">
        <f ca="1">IFERROR(__xludf.DUMMYFUNCTION("""COMPUTED_VALUE"""),"107.3Q")</f>
        <v>107.3Q</v>
      </c>
      <c r="B35" s="308">
        <f ca="1">IFERROR(__xludf.DUMMYFUNCTION("""COMPUTED_VALUE"""),260348)</f>
        <v>260348</v>
      </c>
      <c r="C35" s="308">
        <f ca="1">IFERROR(__xludf.DUMMYFUNCTION("""COMPUTED_VALUE"""),136967)</f>
        <v>136967</v>
      </c>
      <c r="D35" s="308">
        <f ca="1">IFERROR(__xludf.DUMMYFUNCTION("""COMPUTED_VALUE"""),123381)</f>
        <v>123381</v>
      </c>
      <c r="E35" s="340">
        <f ca="1">IFERROR(__xludf.DUMMYFUNCTION("""COMPUTED_VALUE"""),0.4739)</f>
        <v>0.47389999999999999</v>
      </c>
      <c r="F35" s="308">
        <f ca="1">IFERROR(__xludf.DUMMYFUNCTION("""COMPUTED_VALUE"""),95245)</f>
        <v>95245</v>
      </c>
      <c r="G35" s="340">
        <f ca="1">IFERROR(__xludf.DUMMYFUNCTION("""COMPUTED_VALUE"""),0.3658)</f>
        <v>0.36580000000000001</v>
      </c>
      <c r="H35" s="308">
        <f ca="1">IFERROR(__xludf.DUMMYFUNCTION("""COMPUTED_VALUE"""),3652)</f>
        <v>3652</v>
      </c>
      <c r="I35" s="308">
        <f ca="1">IFERROR(__xludf.DUMMYFUNCTION("""COMPUTED_VALUE"""),98897)</f>
        <v>98897</v>
      </c>
      <c r="J35" s="308">
        <f ca="1">IFERROR(__xludf.DUMMYFUNCTION("""COMPUTED_VALUE"""),89072)</f>
        <v>89072</v>
      </c>
      <c r="K35" s="346">
        <f ca="1">IFERROR(__xludf.DUMMYFUNCTION("""COMPUTED_VALUE"""),3.44)</f>
        <v>3.44</v>
      </c>
      <c r="L35" s="344"/>
    </row>
    <row r="36" spans="1:12" ht="15.75" customHeight="1">
      <c r="A36" s="311" t="str">
        <f ca="1">IFERROR(__xludf.DUMMYFUNCTION("""COMPUTED_VALUE"""),"107.2Q")</f>
        <v>107.2Q</v>
      </c>
      <c r="B36" s="308">
        <f ca="1">IFERROR(__xludf.DUMMYFUNCTION("""COMPUTED_VALUE"""),233277)</f>
        <v>233277</v>
      </c>
      <c r="C36" s="308">
        <f ca="1">IFERROR(__xludf.DUMMYFUNCTION("""COMPUTED_VALUE"""),121689)</f>
        <v>121689</v>
      </c>
      <c r="D36" s="308">
        <f ca="1">IFERROR(__xludf.DUMMYFUNCTION("""COMPUTED_VALUE"""),111588)</f>
        <v>111588</v>
      </c>
      <c r="E36" s="340">
        <f ca="1">IFERROR(__xludf.DUMMYFUNCTION("""COMPUTED_VALUE"""),0.4784)</f>
        <v>0.47839999999999999</v>
      </c>
      <c r="F36" s="308">
        <f ca="1">IFERROR(__xludf.DUMMYFUNCTION("""COMPUTED_VALUE"""),84428)</f>
        <v>84428</v>
      </c>
      <c r="G36" s="340">
        <f ca="1">IFERROR(__xludf.DUMMYFUNCTION("""COMPUTED_VALUE"""),0.3619)</f>
        <v>0.3619</v>
      </c>
      <c r="H36" s="308">
        <f ca="1">IFERROR(__xludf.DUMMYFUNCTION("""COMPUTED_VALUE"""),3159)</f>
        <v>3159</v>
      </c>
      <c r="I36" s="308">
        <f ca="1">IFERROR(__xludf.DUMMYFUNCTION("""COMPUTED_VALUE"""),87588)</f>
        <v>87588</v>
      </c>
      <c r="J36" s="308">
        <f ca="1">IFERROR(__xludf.DUMMYFUNCTION("""COMPUTED_VALUE"""),72291)</f>
        <v>72291</v>
      </c>
      <c r="K36" s="346">
        <f ca="1">IFERROR(__xludf.DUMMYFUNCTION("""COMPUTED_VALUE"""),2.79)</f>
        <v>2.79</v>
      </c>
      <c r="L36" s="344"/>
    </row>
    <row r="37" spans="1:12" ht="15.75" customHeight="1">
      <c r="A37" s="311" t="str">
        <f ca="1">IFERROR(__xludf.DUMMYFUNCTION("""COMPUTED_VALUE"""),"107.1Q")</f>
        <v>107.1Q</v>
      </c>
      <c r="B37" s="308">
        <f ca="1">IFERROR(__xludf.DUMMYFUNCTION("""COMPUTED_VALUE"""),248079)</f>
        <v>248079</v>
      </c>
      <c r="C37" s="308">
        <f ca="1">IFERROR(__xludf.DUMMYFUNCTION("""COMPUTED_VALUE"""),123104)</f>
        <v>123104</v>
      </c>
      <c r="D37" s="308">
        <f ca="1">IFERROR(__xludf.DUMMYFUNCTION("""COMPUTED_VALUE"""),124975)</f>
        <v>124975</v>
      </c>
      <c r="E37" s="340">
        <f ca="1">IFERROR(__xludf.DUMMYFUNCTION("""COMPUTED_VALUE"""),0.5038)</f>
        <v>0.50380000000000003</v>
      </c>
      <c r="F37" s="308">
        <f ca="1">IFERROR(__xludf.DUMMYFUNCTION("""COMPUTED_VALUE"""),96827)</f>
        <v>96827</v>
      </c>
      <c r="G37" s="340">
        <f ca="1">IFERROR(__xludf.DUMMYFUNCTION("""COMPUTED_VALUE"""),0.3903)</f>
        <v>0.39029999999999998</v>
      </c>
      <c r="H37" s="308">
        <f ca="1">IFERROR(__xludf.DUMMYFUNCTION("""COMPUTED_VALUE"""),3117)</f>
        <v>3117</v>
      </c>
      <c r="I37" s="308">
        <f ca="1">IFERROR(__xludf.DUMMYFUNCTION("""COMPUTED_VALUE"""),99944)</f>
        <v>99944</v>
      </c>
      <c r="J37" s="308">
        <f ca="1">IFERROR(__xludf.DUMMYFUNCTION("""COMPUTED_VALUE"""),89785)</f>
        <v>89785</v>
      </c>
      <c r="K37" s="346">
        <f ca="1">IFERROR(__xludf.DUMMYFUNCTION("""COMPUTED_VALUE"""),3.46)</f>
        <v>3.46</v>
      </c>
      <c r="L37" s="344"/>
    </row>
    <row r="38" spans="1:12" ht="15.75" customHeight="1">
      <c r="A38" s="311" t="str">
        <f ca="1">IFERROR(__xludf.DUMMYFUNCTION("""COMPUTED_VALUE"""),"106.4Q")</f>
        <v>106.4Q</v>
      </c>
      <c r="B38" s="308">
        <f ca="1">IFERROR(__xludf.DUMMYFUNCTION("""COMPUTED_VALUE"""),277570)</f>
        <v>277570</v>
      </c>
      <c r="C38" s="308">
        <f ca="1">IFERROR(__xludf.DUMMYFUNCTION("""COMPUTED_VALUE"""),138855)</f>
        <v>138855</v>
      </c>
      <c r="D38" s="308">
        <f ca="1">IFERROR(__xludf.DUMMYFUNCTION("""COMPUTED_VALUE"""),138715)</f>
        <v>138715</v>
      </c>
      <c r="E38" s="340">
        <f ca="1">IFERROR(__xludf.DUMMYFUNCTION("""COMPUTED_VALUE"""),0.4997)</f>
        <v>0.49969999999999998</v>
      </c>
      <c r="F38" s="308">
        <f ca="1">IFERROR(__xludf.DUMMYFUNCTION("""COMPUTED_VALUE"""),108895)</f>
        <v>108895</v>
      </c>
      <c r="G38" s="340">
        <f ca="1">IFERROR(__xludf.DUMMYFUNCTION("""COMPUTED_VALUE"""),0.3923)</f>
        <v>0.39229999999999998</v>
      </c>
      <c r="H38" s="308">
        <f ca="1">IFERROR(__xludf.DUMMYFUNCTION("""COMPUTED_VALUE"""),2780)</f>
        <v>2780</v>
      </c>
      <c r="I38" s="308">
        <f ca="1">IFERROR(__xludf.DUMMYFUNCTION("""COMPUTED_VALUE"""),111675)</f>
        <v>111675</v>
      </c>
      <c r="J38" s="308">
        <f ca="1">IFERROR(__xludf.DUMMYFUNCTION("""COMPUTED_VALUE"""),99286)</f>
        <v>99286</v>
      </c>
      <c r="K38" s="346">
        <f ca="1">IFERROR(__xludf.DUMMYFUNCTION("""COMPUTED_VALUE"""),3.83)</f>
        <v>3.83</v>
      </c>
      <c r="L38" s="344"/>
    </row>
    <row r="39" spans="1:12" ht="15.75" customHeight="1">
      <c r="A39" s="311" t="str">
        <f ca="1">IFERROR(__xludf.DUMMYFUNCTION("""COMPUTED_VALUE"""),"106.3Q")</f>
        <v>106.3Q</v>
      </c>
      <c r="B39" s="308">
        <f ca="1">IFERROR(__xludf.DUMMYFUNCTION("""COMPUTED_VALUE"""),252107)</f>
        <v>252107</v>
      </c>
      <c r="C39" s="308">
        <f ca="1">IFERROR(__xludf.DUMMYFUNCTION("""COMPUTED_VALUE"""),126231)</f>
        <v>126231</v>
      </c>
      <c r="D39" s="308">
        <f ca="1">IFERROR(__xludf.DUMMYFUNCTION("""COMPUTED_VALUE"""),125877)</f>
        <v>125877</v>
      </c>
      <c r="E39" s="340">
        <f ca="1">IFERROR(__xludf.DUMMYFUNCTION("""COMPUTED_VALUE"""),0.4993)</f>
        <v>0.49930000000000002</v>
      </c>
      <c r="F39" s="308">
        <f ca="1">IFERROR(__xludf.DUMMYFUNCTION("""COMPUTED_VALUE"""),98056)</f>
        <v>98056</v>
      </c>
      <c r="G39" s="340">
        <f ca="1">IFERROR(__xludf.DUMMYFUNCTION("""COMPUTED_VALUE"""),0.3889)</f>
        <v>0.38890000000000002</v>
      </c>
      <c r="H39" s="308">
        <f ca="1">IFERROR(__xludf.DUMMYFUNCTION("""COMPUTED_VALUE"""),2462)</f>
        <v>2462</v>
      </c>
      <c r="I39" s="308">
        <f ca="1">IFERROR(__xludf.DUMMYFUNCTION("""COMPUTED_VALUE"""),100518)</f>
        <v>100518</v>
      </c>
      <c r="J39" s="308">
        <f ca="1">IFERROR(__xludf.DUMMYFUNCTION("""COMPUTED_VALUE"""),89925)</f>
        <v>89925</v>
      </c>
      <c r="K39" s="346">
        <f ca="1">IFERROR(__xludf.DUMMYFUNCTION("""COMPUTED_VALUE"""),3.47)</f>
        <v>3.47</v>
      </c>
      <c r="L39" s="344"/>
    </row>
    <row r="40" spans="1:12" ht="15.75" customHeight="1" thickBot="1">
      <c r="A40" s="314" t="str">
        <f ca="1">IFERROR(__xludf.DUMMYFUNCTION("""COMPUTED_VALUE"""),"106.2Q")</f>
        <v>106.2Q</v>
      </c>
      <c r="B40" s="315">
        <f ca="1">IFERROR(__xludf.DUMMYFUNCTION("""COMPUTED_VALUE"""),213855)</f>
        <v>213855</v>
      </c>
      <c r="C40" s="315">
        <f ca="1">IFERROR(__xludf.DUMMYFUNCTION("""COMPUTED_VALUE"""),105102)</f>
        <v>105102</v>
      </c>
      <c r="D40" s="315">
        <f ca="1">IFERROR(__xludf.DUMMYFUNCTION("""COMPUTED_VALUE"""),108753)</f>
        <v>108753</v>
      </c>
      <c r="E40" s="341">
        <f ca="1">IFERROR(__xludf.DUMMYFUNCTION("""COMPUTED_VALUE"""),0.5085)</f>
        <v>0.50849999999999995</v>
      </c>
      <c r="F40" s="315">
        <f ca="1">IFERROR(__xludf.DUMMYFUNCTION("""COMPUTED_VALUE"""),83255)</f>
        <v>83255</v>
      </c>
      <c r="G40" s="341">
        <f ca="1">IFERROR(__xludf.DUMMYFUNCTION("""COMPUTED_VALUE"""),0.3893)</f>
        <v>0.38929999999999998</v>
      </c>
      <c r="H40" s="315">
        <f ca="1">IFERROR(__xludf.DUMMYFUNCTION("""COMPUTED_VALUE"""),2862)</f>
        <v>2862</v>
      </c>
      <c r="I40" s="315">
        <f ca="1">IFERROR(__xludf.DUMMYFUNCTION("""COMPUTED_VALUE"""),86117)</f>
        <v>86117</v>
      </c>
      <c r="J40" s="315">
        <f ca="1">IFERROR(__xludf.DUMMYFUNCTION("""COMPUTED_VALUE"""),66271)</f>
        <v>66271</v>
      </c>
      <c r="K40" s="347">
        <f ca="1">IFERROR(__xludf.DUMMYFUNCTION("""COMPUTED_VALUE"""),2.56)</f>
        <v>2.56</v>
      </c>
      <c r="L40" s="345"/>
    </row>
    <row r="41" spans="1:12" ht="15.75" customHeight="1" thickTop="1">
      <c r="A41" s="4" t="str">
        <f ca="1">IFERROR(__xludf.DUMMYFUNCTION("""COMPUTED_VALUE"""),"106.1Q")</f>
        <v>106.1Q</v>
      </c>
      <c r="B41" s="9">
        <f ca="1">IFERROR(__xludf.DUMMYFUNCTION("""COMPUTED_VALUE"""),233914)</f>
        <v>233914</v>
      </c>
      <c r="C41" s="9">
        <f ca="1">IFERROR(__xludf.DUMMYFUNCTION("""COMPUTED_VALUE"""),112429)</f>
        <v>112429</v>
      </c>
      <c r="D41" s="9">
        <f ca="1">IFERROR(__xludf.DUMMYFUNCTION("""COMPUTED_VALUE"""),121486)</f>
        <v>121486</v>
      </c>
      <c r="E41" s="5">
        <f ca="1">IFERROR(__xludf.DUMMYFUNCTION("""COMPUTED_VALUE"""),0.5194)</f>
        <v>0.51939999999999997</v>
      </c>
      <c r="F41" s="9">
        <f ca="1">IFERROR(__xludf.DUMMYFUNCTION("""COMPUTED_VALUE"""),95352)</f>
        <v>95352</v>
      </c>
      <c r="G41" s="5">
        <f ca="1">IFERROR(__xludf.DUMMYFUNCTION("""COMPUTED_VALUE"""),0.4076)</f>
        <v>0.40760000000000002</v>
      </c>
      <c r="H41" s="9">
        <f ca="1">IFERROR(__xludf.DUMMYFUNCTION("""COMPUTED_VALUE"""),2470)</f>
        <v>2470</v>
      </c>
      <c r="I41" s="9">
        <f ca="1">IFERROR(__xludf.DUMMYFUNCTION("""COMPUTED_VALUE"""),97822)</f>
        <v>97822</v>
      </c>
      <c r="J41" s="9">
        <f ca="1">IFERROR(__xludf.DUMMYFUNCTION("""COMPUTED_VALUE"""),87629)</f>
        <v>87629</v>
      </c>
      <c r="K41" s="4">
        <f ca="1">IFERROR(__xludf.DUMMYFUNCTION("""COMPUTED_VALUE"""),3.38)</f>
        <v>3.38</v>
      </c>
    </row>
    <row r="42" spans="1:12" ht="15.75" customHeight="1">
      <c r="A42" s="4" t="str">
        <f ca="1">IFERROR(__xludf.DUMMYFUNCTION("""COMPUTED_VALUE"""),"105.4Q")</f>
        <v>105.4Q</v>
      </c>
      <c r="B42" s="9">
        <f ca="1">IFERROR(__xludf.DUMMYFUNCTION("""COMPUTED_VALUE"""),262227)</f>
        <v>262227</v>
      </c>
      <c r="C42" s="9">
        <f ca="1">IFERROR(__xludf.DUMMYFUNCTION("""COMPUTED_VALUE"""),125117)</f>
        <v>125117</v>
      </c>
      <c r="D42" s="9">
        <f ca="1">IFERROR(__xludf.DUMMYFUNCTION("""COMPUTED_VALUE"""),137110)</f>
        <v>137110</v>
      </c>
      <c r="E42" s="5">
        <f ca="1">IFERROR(__xludf.DUMMYFUNCTION("""COMPUTED_VALUE"""),0.5229)</f>
        <v>0.52290000000000003</v>
      </c>
      <c r="F42" s="9">
        <f ca="1">IFERROR(__xludf.DUMMYFUNCTION("""COMPUTED_VALUE"""),109907)</f>
        <v>109907</v>
      </c>
      <c r="G42" s="5">
        <f ca="1">IFERROR(__xludf.DUMMYFUNCTION("""COMPUTED_VALUE"""),0.4191)</f>
        <v>0.41909999999999997</v>
      </c>
      <c r="H42" s="9">
        <f ca="1">IFERROR(__xludf.DUMMYFUNCTION("""COMPUTED_VALUE"""),2140)</f>
        <v>2140</v>
      </c>
      <c r="I42" s="9">
        <f ca="1">IFERROR(__xludf.DUMMYFUNCTION("""COMPUTED_VALUE"""),112047)</f>
        <v>112047</v>
      </c>
      <c r="J42" s="9">
        <f ca="1">IFERROR(__xludf.DUMMYFUNCTION("""COMPUTED_VALUE"""),100200)</f>
        <v>100200</v>
      </c>
      <c r="K42" s="4">
        <f ca="1">IFERROR(__xludf.DUMMYFUNCTION("""COMPUTED_VALUE"""),3.86)</f>
        <v>3.86</v>
      </c>
    </row>
    <row r="43" spans="1:12" ht="15.75" customHeight="1">
      <c r="A43" s="4" t="str">
        <f ca="1">IFERROR(__xludf.DUMMYFUNCTION("""COMPUTED_VALUE"""),"105.3Q")</f>
        <v>105.3Q</v>
      </c>
      <c r="B43" s="9">
        <f ca="1">IFERROR(__xludf.DUMMYFUNCTION("""COMPUTED_VALUE"""),260406)</f>
        <v>260406</v>
      </c>
      <c r="C43" s="9">
        <f ca="1">IFERROR(__xludf.DUMMYFUNCTION("""COMPUTED_VALUE"""),128367)</f>
        <v>128367</v>
      </c>
      <c r="D43" s="9">
        <f ca="1">IFERROR(__xludf.DUMMYFUNCTION("""COMPUTED_VALUE"""),132039)</f>
        <v>132039</v>
      </c>
      <c r="E43" s="5">
        <f ca="1">IFERROR(__xludf.DUMMYFUNCTION("""COMPUTED_VALUE"""),0.5071)</f>
        <v>0.5071</v>
      </c>
      <c r="F43" s="9">
        <f ca="1">IFERROR(__xludf.DUMMYFUNCTION("""COMPUTED_VALUE"""),106262)</f>
        <v>106262</v>
      </c>
      <c r="G43" s="5">
        <f ca="1">IFERROR(__xludf.DUMMYFUNCTION("""COMPUTED_VALUE"""),0.4081)</f>
        <v>0.40810000000000002</v>
      </c>
      <c r="H43" s="9">
        <f ca="1">IFERROR(__xludf.DUMMYFUNCTION("""COMPUTED_VALUE"""),1987)</f>
        <v>1987</v>
      </c>
      <c r="I43" s="9">
        <f ca="1">IFERROR(__xludf.DUMMYFUNCTION("""COMPUTED_VALUE"""),108250)</f>
        <v>108250</v>
      </c>
      <c r="J43" s="9">
        <f ca="1">IFERROR(__xludf.DUMMYFUNCTION("""COMPUTED_VALUE"""),96759)</f>
        <v>96759</v>
      </c>
      <c r="K43" s="4">
        <f ca="1">IFERROR(__xludf.DUMMYFUNCTION("""COMPUTED_VALUE"""),3.73)</f>
        <v>3.73</v>
      </c>
    </row>
    <row r="44" spans="1:12" ht="15.75" customHeight="1">
      <c r="A44" s="4" t="str">
        <f ca="1">IFERROR(__xludf.DUMMYFUNCTION("""COMPUTED_VALUE"""),"105.2Q")</f>
        <v>105.2Q</v>
      </c>
      <c r="B44" s="9">
        <f ca="1">IFERROR(__xludf.DUMMYFUNCTION("""COMPUTED_VALUE"""),221810)</f>
        <v>221810</v>
      </c>
      <c r="C44" s="9">
        <f ca="1">IFERROR(__xludf.DUMMYFUNCTION("""COMPUTED_VALUE"""),107469)</f>
        <v>107469</v>
      </c>
      <c r="D44" s="9">
        <f ca="1">IFERROR(__xludf.DUMMYFUNCTION("""COMPUTED_VALUE"""),114341)</f>
        <v>114341</v>
      </c>
      <c r="E44" s="5">
        <f ca="1">IFERROR(__xludf.DUMMYFUNCTION("""COMPUTED_VALUE"""),0.5155)</f>
        <v>0.51549999999999996</v>
      </c>
      <c r="F44" s="9">
        <f ca="1">IFERROR(__xludf.DUMMYFUNCTION("""COMPUTED_VALUE"""),91321)</f>
        <v>91321</v>
      </c>
      <c r="G44" s="5">
        <f ca="1">IFERROR(__xludf.DUMMYFUNCTION("""COMPUTED_VALUE"""),0.4117)</f>
        <v>0.41170000000000001</v>
      </c>
      <c r="H44" s="9">
        <f ca="1">IFERROR(__xludf.DUMMYFUNCTION("""COMPUTED_VALUE"""),2085)</f>
        <v>2085</v>
      </c>
      <c r="I44" s="9">
        <f ca="1">IFERROR(__xludf.DUMMYFUNCTION("""COMPUTED_VALUE"""),93406)</f>
        <v>93406</v>
      </c>
      <c r="J44" s="9">
        <f ca="1">IFERROR(__xludf.DUMMYFUNCTION("""COMPUTED_VALUE"""),72506)</f>
        <v>72506</v>
      </c>
      <c r="K44" s="4">
        <f ca="1">IFERROR(__xludf.DUMMYFUNCTION("""COMPUTED_VALUE"""),2.8)</f>
        <v>2.8</v>
      </c>
    </row>
    <row r="45" spans="1:12" ht="15.75" customHeight="1">
      <c r="A45" s="4" t="str">
        <f ca="1">IFERROR(__xludf.DUMMYFUNCTION("""COMPUTED_VALUE"""),"105.1Q")</f>
        <v>105.1Q</v>
      </c>
      <c r="B45" s="9">
        <f ca="1">IFERROR(__xludf.DUMMYFUNCTION("""COMPUTED_VALUE"""),203495)</f>
        <v>203495</v>
      </c>
      <c r="C45" s="9">
        <f ca="1">IFERROR(__xludf.DUMMYFUNCTION("""COMPUTED_VALUE"""),112125)</f>
        <v>112125</v>
      </c>
      <c r="D45" s="9">
        <f ca="1">IFERROR(__xludf.DUMMYFUNCTION("""COMPUTED_VALUE"""),91370)</f>
        <v>91370</v>
      </c>
      <c r="E45" s="5">
        <f ca="1">IFERROR(__xludf.DUMMYFUNCTION("""COMPUTED_VALUE"""),0.449)</f>
        <v>0.44900000000000001</v>
      </c>
      <c r="F45" s="9">
        <f ca="1">IFERROR(__xludf.DUMMYFUNCTION("""COMPUTED_VALUE"""),70467)</f>
        <v>70467</v>
      </c>
      <c r="G45" s="5">
        <f ca="1">IFERROR(__xludf.DUMMYFUNCTION("""COMPUTED_VALUE"""),0.3463)</f>
        <v>0.3463</v>
      </c>
      <c r="H45" s="9">
        <f ca="1">IFERROR(__xludf.DUMMYFUNCTION("""COMPUTED_VALUE"""),1789)</f>
        <v>1789</v>
      </c>
      <c r="I45" s="9">
        <f ca="1">IFERROR(__xludf.DUMMYFUNCTION("""COMPUTED_VALUE"""),72256)</f>
        <v>72256</v>
      </c>
      <c r="J45" s="9">
        <f ca="1">IFERROR(__xludf.DUMMYFUNCTION("""COMPUTED_VALUE"""),64781)</f>
        <v>64781</v>
      </c>
      <c r="K45" s="4">
        <f ca="1">IFERROR(__xludf.DUMMYFUNCTION("""COMPUTED_VALUE"""),2.5)</f>
        <v>2.5</v>
      </c>
    </row>
    <row r="46" spans="1:12" ht="15.75" customHeight="1">
      <c r="A46" s="4" t="str">
        <f ca="1">IFERROR(__xludf.DUMMYFUNCTION("""COMPUTED_VALUE"""),"104.4Q")</f>
        <v>104.4Q</v>
      </c>
      <c r="B46" s="9">
        <f ca="1">IFERROR(__xludf.DUMMYFUNCTION("""COMPUTED_VALUE"""),203519)</f>
        <v>203519</v>
      </c>
      <c r="C46" s="9">
        <f ca="1">IFERROR(__xludf.DUMMYFUNCTION("""COMPUTED_VALUE"""),104608)</f>
        <v>104608</v>
      </c>
      <c r="D46" s="9">
        <f ca="1">IFERROR(__xludf.DUMMYFUNCTION("""COMPUTED_VALUE"""),98911)</f>
        <v>98911</v>
      </c>
      <c r="E46" s="5">
        <f ca="1">IFERROR(__xludf.DUMMYFUNCTION("""COMPUTED_VALUE"""),0.486)</f>
        <v>0.48599999999999999</v>
      </c>
      <c r="F46" s="9">
        <f ca="1">IFERROR(__xludf.DUMMYFUNCTION("""COMPUTED_VALUE"""),77964)</f>
        <v>77964</v>
      </c>
      <c r="G46" s="5">
        <f ca="1">IFERROR(__xludf.DUMMYFUNCTION("""COMPUTED_VALUE"""),0.3831)</f>
        <v>0.3831</v>
      </c>
      <c r="H46" s="9">
        <f ca="1">IFERROR(__xludf.DUMMYFUNCTION("""COMPUTED_VALUE"""),2680)</f>
        <v>2680</v>
      </c>
      <c r="I46" s="9">
        <f ca="1">IFERROR(__xludf.DUMMYFUNCTION("""COMPUTED_VALUE"""),80644)</f>
        <v>80644</v>
      </c>
      <c r="J46" s="9">
        <f ca="1">IFERROR(__xludf.DUMMYFUNCTION("""COMPUTED_VALUE"""),72837)</f>
        <v>72837</v>
      </c>
      <c r="K46" s="4">
        <f ca="1">IFERROR(__xludf.DUMMYFUNCTION("""COMPUTED_VALUE"""),2.81)</f>
        <v>2.81</v>
      </c>
    </row>
    <row r="47" spans="1:12" ht="15.75" customHeight="1">
      <c r="A47" s="4" t="str">
        <f ca="1">IFERROR(__xludf.DUMMYFUNCTION("""COMPUTED_VALUE"""),"104.3Q")</f>
        <v>104.3Q</v>
      </c>
      <c r="B47" s="9">
        <f ca="1">IFERROR(__xludf.DUMMYFUNCTION("""COMPUTED_VALUE"""),212505)</f>
        <v>212505</v>
      </c>
      <c r="C47" s="9">
        <f ca="1">IFERROR(__xludf.DUMMYFUNCTION("""COMPUTED_VALUE"""),110188)</f>
        <v>110188</v>
      </c>
      <c r="D47" s="9">
        <f ca="1">IFERROR(__xludf.DUMMYFUNCTION("""COMPUTED_VALUE"""),102316)</f>
        <v>102316</v>
      </c>
      <c r="E47" s="5">
        <f ca="1">IFERROR(__xludf.DUMMYFUNCTION("""COMPUTED_VALUE"""),0.4815)</f>
        <v>0.48149999999999998</v>
      </c>
      <c r="F47" s="9">
        <f ca="1">IFERROR(__xludf.DUMMYFUNCTION("""COMPUTED_VALUE"""),78389)</f>
        <v>78389</v>
      </c>
      <c r="G47" s="5">
        <f ca="1">IFERROR(__xludf.DUMMYFUNCTION("""COMPUTED_VALUE"""),0.3689)</f>
        <v>0.36890000000000001</v>
      </c>
      <c r="H47" s="9">
        <f ca="1">IFERROR(__xludf.DUMMYFUNCTION("""COMPUTED_VALUE"""),5006)</f>
        <v>5006</v>
      </c>
      <c r="I47" s="9">
        <f ca="1">IFERROR(__xludf.DUMMYFUNCTION("""COMPUTED_VALUE"""),83395)</f>
        <v>83395</v>
      </c>
      <c r="J47" s="9">
        <f ca="1">IFERROR(__xludf.DUMMYFUNCTION("""COMPUTED_VALUE"""),75329)</f>
        <v>75329</v>
      </c>
      <c r="K47" s="4">
        <f ca="1">IFERROR(__xludf.DUMMYFUNCTION("""COMPUTED_VALUE"""),2.91)</f>
        <v>2.91</v>
      </c>
    </row>
    <row r="48" spans="1:12" ht="15.75" customHeight="1">
      <c r="A48" s="4" t="str">
        <f ca="1">IFERROR(__xludf.DUMMYFUNCTION("""COMPUTED_VALUE"""),"104.2Q")</f>
        <v>104.2Q</v>
      </c>
      <c r="B48" s="9">
        <f ca="1">IFERROR(__xludf.DUMMYFUNCTION("""COMPUTED_VALUE"""),205440)</f>
        <v>205440</v>
      </c>
      <c r="C48" s="9">
        <f ca="1">IFERROR(__xludf.DUMMYFUNCTION("""COMPUTED_VALUE"""),105736)</f>
        <v>105736</v>
      </c>
      <c r="D48" s="9">
        <f ca="1">IFERROR(__xludf.DUMMYFUNCTION("""COMPUTED_VALUE"""),99704)</f>
        <v>99704</v>
      </c>
      <c r="E48" s="5">
        <f ca="1">IFERROR(__xludf.DUMMYFUNCTION("""COMPUTED_VALUE"""),0.4853)</f>
        <v>0.48530000000000001</v>
      </c>
      <c r="F48" s="9">
        <f ca="1">IFERROR(__xludf.DUMMYFUNCTION("""COMPUTED_VALUE"""),77069)</f>
        <v>77069</v>
      </c>
      <c r="G48" s="5">
        <f ca="1">IFERROR(__xludf.DUMMYFUNCTION("""COMPUTED_VALUE"""),0.3751)</f>
        <v>0.37509999999999999</v>
      </c>
      <c r="H48" s="9">
        <f ca="1">IFERROR(__xludf.DUMMYFUNCTION("""COMPUTED_VALUE"""),21063)</f>
        <v>21063</v>
      </c>
      <c r="I48" s="9">
        <f ca="1">IFERROR(__xludf.DUMMYFUNCTION("""COMPUTED_VALUE"""),98132)</f>
        <v>98132</v>
      </c>
      <c r="J48" s="9">
        <f ca="1">IFERROR(__xludf.DUMMYFUNCTION("""COMPUTED_VALUE"""),79418)</f>
        <v>79418</v>
      </c>
      <c r="K48" s="4">
        <f ca="1">IFERROR(__xludf.DUMMYFUNCTION("""COMPUTED_VALUE"""),3.06)</f>
        <v>3.06</v>
      </c>
    </row>
    <row r="49" spans="1:11" ht="15.75" customHeight="1">
      <c r="A49" s="4" t="str">
        <f ca="1">IFERROR(__xludf.DUMMYFUNCTION("""COMPUTED_VALUE"""),"104.1Q")</f>
        <v>104.1Q</v>
      </c>
      <c r="B49" s="9">
        <f ca="1">IFERROR(__xludf.DUMMYFUNCTION("""COMPUTED_VALUE"""),222034)</f>
        <v>222034</v>
      </c>
      <c r="C49" s="9">
        <f ca="1">IFERROR(__xludf.DUMMYFUNCTION("""COMPUTED_VALUE"""),112585)</f>
        <v>112585</v>
      </c>
      <c r="D49" s="9">
        <f ca="1">IFERROR(__xludf.DUMMYFUNCTION("""COMPUTED_VALUE"""),109449)</f>
        <v>109449</v>
      </c>
      <c r="E49" s="5">
        <f ca="1">IFERROR(__xludf.DUMMYFUNCTION("""COMPUTED_VALUE"""),0.4929)</f>
        <v>0.4929</v>
      </c>
      <c r="F49" s="9">
        <f ca="1">IFERROR(__xludf.DUMMYFUNCTION("""COMPUTED_VALUE"""),86626)</f>
        <v>86626</v>
      </c>
      <c r="G49" s="5">
        <f ca="1">IFERROR(__xludf.DUMMYFUNCTION("""COMPUTED_VALUE"""),0.3901)</f>
        <v>0.3901</v>
      </c>
      <c r="H49" s="9">
        <f ca="1">IFERROR(__xludf.DUMMYFUNCTION("""COMPUTED_VALUE"""),1633)</f>
        <v>1633</v>
      </c>
      <c r="I49" s="9">
        <f ca="1">IFERROR(__xludf.DUMMYFUNCTION("""COMPUTED_VALUE"""),88259)</f>
        <v>88259</v>
      </c>
      <c r="J49" s="9">
        <f ca="1">IFERROR(__xludf.DUMMYFUNCTION("""COMPUTED_VALUE"""),78990)</f>
        <v>78990</v>
      </c>
      <c r="K49" s="4">
        <f ca="1">IFERROR(__xludf.DUMMYFUNCTION("""COMPUTED_VALUE"""),3.05)</f>
        <v>3.05</v>
      </c>
    </row>
    <row r="50" spans="1:11" ht="15.75" customHeight="1">
      <c r="A50" s="4" t="str">
        <f ca="1">IFERROR(__xludf.DUMMYFUNCTION("""COMPUTED_VALUE"""),"103.4Q")</f>
        <v>103.4Q</v>
      </c>
      <c r="B50" s="9">
        <f ca="1">IFERROR(__xludf.DUMMYFUNCTION("""COMPUTED_VALUE"""),222521)</f>
        <v>222521</v>
      </c>
      <c r="C50" s="9">
        <f ca="1">IFERROR(__xludf.DUMMYFUNCTION("""COMPUTED_VALUE"""),111976)</f>
        <v>111976</v>
      </c>
      <c r="D50" s="9">
        <f ca="1">IFERROR(__xludf.DUMMYFUNCTION("""COMPUTED_VALUE"""),110545)</f>
        <v>110545</v>
      </c>
      <c r="E50" s="5">
        <f ca="1">IFERROR(__xludf.DUMMYFUNCTION("""COMPUTED_VALUE"""),0.4968)</f>
        <v>0.49680000000000002</v>
      </c>
      <c r="F50" s="9">
        <f ca="1">IFERROR(__xludf.DUMMYFUNCTION("""COMPUTED_VALUE"""),88216)</f>
        <v>88216</v>
      </c>
      <c r="G50" s="5">
        <f ca="1">IFERROR(__xludf.DUMMYFUNCTION("""COMPUTED_VALUE"""),0.3964)</f>
        <v>0.39639999999999997</v>
      </c>
      <c r="H50" s="9">
        <f ca="1">IFERROR(__xludf.DUMMYFUNCTION("""COMPUTED_VALUE"""),1095)</f>
        <v>1095</v>
      </c>
      <c r="I50" s="9">
        <f ca="1">IFERROR(__xludf.DUMMYFUNCTION("""COMPUTED_VALUE"""),89311)</f>
        <v>89311</v>
      </c>
      <c r="J50" s="9">
        <f ca="1">IFERROR(__xludf.DUMMYFUNCTION("""COMPUTED_VALUE"""),79985)</f>
        <v>79985</v>
      </c>
      <c r="K50" s="4">
        <f ca="1">IFERROR(__xludf.DUMMYFUNCTION("""COMPUTED_VALUE"""),3.08)</f>
        <v>3.08</v>
      </c>
    </row>
    <row r="51" spans="1:11" ht="15.75" customHeight="1">
      <c r="A51" s="4" t="str">
        <f ca="1">IFERROR(__xludf.DUMMYFUNCTION("""COMPUTED_VALUE"""),"103.3Q")</f>
        <v>103.3Q</v>
      </c>
      <c r="B51" s="9">
        <f ca="1">IFERROR(__xludf.DUMMYFUNCTION("""COMPUTED_VALUE"""),209050)</f>
        <v>209050</v>
      </c>
      <c r="C51" s="9">
        <f ca="1">IFERROR(__xludf.DUMMYFUNCTION("""COMPUTED_VALUE"""),103471)</f>
        <v>103471</v>
      </c>
      <c r="D51" s="9">
        <f ca="1">IFERROR(__xludf.DUMMYFUNCTION("""COMPUTED_VALUE"""),105578)</f>
        <v>105578</v>
      </c>
      <c r="E51" s="5">
        <f ca="1">IFERROR(__xludf.DUMMYFUNCTION("""COMPUTED_VALUE"""),0.505)</f>
        <v>0.505</v>
      </c>
      <c r="F51" s="9">
        <f ca="1">IFERROR(__xludf.DUMMYFUNCTION("""COMPUTED_VALUE"""),84427)</f>
        <v>84427</v>
      </c>
      <c r="G51" s="5">
        <f ca="1">IFERROR(__xludf.DUMMYFUNCTION("""COMPUTED_VALUE"""),0.4039)</f>
        <v>0.40389999999999998</v>
      </c>
      <c r="H51" s="4">
        <f ca="1">IFERROR(__xludf.DUMMYFUNCTION("""COMPUTED_VALUE"""),949)</f>
        <v>949</v>
      </c>
      <c r="I51" s="9">
        <f ca="1">IFERROR(__xludf.DUMMYFUNCTION("""COMPUTED_VALUE"""),85377)</f>
        <v>85377</v>
      </c>
      <c r="J51" s="9">
        <f ca="1">IFERROR(__xludf.DUMMYFUNCTION("""COMPUTED_VALUE"""),76331)</f>
        <v>76331</v>
      </c>
      <c r="K51" s="4">
        <f ca="1">IFERROR(__xludf.DUMMYFUNCTION("""COMPUTED_VALUE"""),2.94)</f>
        <v>2.94</v>
      </c>
    </row>
    <row r="52" spans="1:11" ht="15.75" customHeight="1">
      <c r="A52" s="4" t="str">
        <f ca="1">IFERROR(__xludf.DUMMYFUNCTION("""COMPUTED_VALUE"""),"103.2Q")</f>
        <v>103.2Q</v>
      </c>
      <c r="B52" s="9">
        <f ca="1">IFERROR(__xludf.DUMMYFUNCTION("""COMPUTED_VALUE"""),183020)</f>
        <v>183020</v>
      </c>
      <c r="C52" s="9">
        <f ca="1">IFERROR(__xludf.DUMMYFUNCTION("""COMPUTED_VALUE"""),91826)</f>
        <v>91826</v>
      </c>
      <c r="D52" s="9">
        <f ca="1">IFERROR(__xludf.DUMMYFUNCTION("""COMPUTED_VALUE"""),91194)</f>
        <v>91194</v>
      </c>
      <c r="E52" s="5">
        <f ca="1">IFERROR(__xludf.DUMMYFUNCTION("""COMPUTED_VALUE"""),0.4983)</f>
        <v>0.49830000000000002</v>
      </c>
      <c r="F52" s="9">
        <f ca="1">IFERROR(__xludf.DUMMYFUNCTION("""COMPUTED_VALUE"""),70709)</f>
        <v>70709</v>
      </c>
      <c r="G52" s="5">
        <f ca="1">IFERROR(__xludf.DUMMYFUNCTION("""COMPUTED_VALUE"""),0.3863)</f>
        <v>0.38629999999999998</v>
      </c>
      <c r="H52" s="9">
        <f ca="1">IFERROR(__xludf.DUMMYFUNCTION("""COMPUTED_VALUE"""),3384)</f>
        <v>3384</v>
      </c>
      <c r="I52" s="9">
        <f ca="1">IFERROR(__xludf.DUMMYFUNCTION("""COMPUTED_VALUE"""),74094)</f>
        <v>74094</v>
      </c>
      <c r="J52" s="9">
        <f ca="1">IFERROR(__xludf.DUMMYFUNCTION("""COMPUTED_VALUE"""),59698)</f>
        <v>59698</v>
      </c>
      <c r="K52" s="4">
        <f ca="1">IFERROR(__xludf.DUMMYFUNCTION("""COMPUTED_VALUE"""),2.3)</f>
        <v>2.2999999999999998</v>
      </c>
    </row>
    <row r="53" spans="1:11" ht="15.75" customHeight="1">
      <c r="A53" s="4" t="str">
        <f ca="1">IFERROR(__xludf.DUMMYFUNCTION("""COMPUTED_VALUE"""),"103.1Q")</f>
        <v>103.1Q</v>
      </c>
      <c r="B53" s="9">
        <f ca="1">IFERROR(__xludf.DUMMYFUNCTION("""COMPUTED_VALUE"""),148215)</f>
        <v>148215</v>
      </c>
      <c r="C53" s="9">
        <f ca="1">IFERROR(__xludf.DUMMYFUNCTION("""COMPUTED_VALUE"""),77839)</f>
        <v>77839</v>
      </c>
      <c r="D53" s="9">
        <f ca="1">IFERROR(__xludf.DUMMYFUNCTION("""COMPUTED_VALUE"""),70376)</f>
        <v>70376</v>
      </c>
      <c r="E53" s="5">
        <f ca="1">IFERROR(__xludf.DUMMYFUNCTION("""COMPUTED_VALUE"""),0.4748)</f>
        <v>0.4748</v>
      </c>
      <c r="F53" s="9">
        <f ca="1">IFERROR(__xludf.DUMMYFUNCTION("""COMPUTED_VALUE"""),52518)</f>
        <v>52518</v>
      </c>
      <c r="G53" s="5">
        <f ca="1">IFERROR(__xludf.DUMMYFUNCTION("""COMPUTED_VALUE"""),0.3543)</f>
        <v>0.3543</v>
      </c>
      <c r="H53" s="4">
        <f ca="1">IFERROR(__xludf.DUMMYFUNCTION("""COMPUTED_VALUE"""),780)</f>
        <v>780</v>
      </c>
      <c r="I53" s="9">
        <f ca="1">IFERROR(__xludf.DUMMYFUNCTION("""COMPUTED_VALUE"""),53297)</f>
        <v>53297</v>
      </c>
      <c r="J53" s="9">
        <f ca="1">IFERROR(__xludf.DUMMYFUNCTION("""COMPUTED_VALUE"""),47867)</f>
        <v>47867</v>
      </c>
      <c r="K53" s="4">
        <f ca="1">IFERROR(__xludf.DUMMYFUNCTION("""COMPUTED_VALUE"""),1.85)</f>
        <v>1.85</v>
      </c>
    </row>
    <row r="54" spans="1:11" ht="15.75" customHeight="1">
      <c r="A54" s="4" t="str">
        <f ca="1">IFERROR(__xludf.DUMMYFUNCTION("""COMPUTED_VALUE"""),"102.4Q")</f>
        <v>102.4Q</v>
      </c>
      <c r="B54" s="9">
        <f ca="1">IFERROR(__xludf.DUMMYFUNCTION("""COMPUTED_VALUE"""),145806)</f>
        <v>145806</v>
      </c>
      <c r="C54" s="9">
        <f ca="1">IFERROR(__xludf.DUMMYFUNCTION("""COMPUTED_VALUE"""),80965)</f>
        <v>80965</v>
      </c>
      <c r="D54" s="9">
        <f ca="1">IFERROR(__xludf.DUMMYFUNCTION("""COMPUTED_VALUE"""),64841)</f>
        <v>64841</v>
      </c>
      <c r="E54" s="5">
        <f ca="1">IFERROR(__xludf.DUMMYFUNCTION("""COMPUTED_VALUE"""),0.4447)</f>
        <v>0.44469999999999998</v>
      </c>
      <c r="F54" s="9">
        <f ca="1">IFERROR(__xludf.DUMMYFUNCTION("""COMPUTED_VALUE"""),47754)</f>
        <v>47754</v>
      </c>
      <c r="G54" s="5">
        <f ca="1">IFERROR(__xludf.DUMMYFUNCTION("""COMPUTED_VALUE"""),0.3275)</f>
        <v>0.32750000000000001</v>
      </c>
      <c r="H54" s="9">
        <f ca="1">IFERROR(__xludf.DUMMYFUNCTION("""COMPUTED_VALUE"""),2618)</f>
        <v>2618</v>
      </c>
      <c r="I54" s="9">
        <f ca="1">IFERROR(__xludf.DUMMYFUNCTION("""COMPUTED_VALUE"""),50373)</f>
        <v>50373</v>
      </c>
      <c r="J54" s="9">
        <f ca="1">IFERROR(__xludf.DUMMYFUNCTION("""COMPUTED_VALUE"""),44810)</f>
        <v>44810</v>
      </c>
      <c r="K54" s="4">
        <f ca="1">IFERROR(__xludf.DUMMYFUNCTION("""COMPUTED_VALUE"""),1.73)</f>
        <v>1.73</v>
      </c>
    </row>
    <row r="55" spans="1:11" ht="15.75" customHeight="1">
      <c r="A55" s="4" t="str">
        <f ca="1">IFERROR(__xludf.DUMMYFUNCTION("""COMPUTED_VALUE"""),"102.3Q")</f>
        <v>102.3Q</v>
      </c>
      <c r="B55" s="9">
        <f ca="1">IFERROR(__xludf.DUMMYFUNCTION("""COMPUTED_VALUE"""),162577)</f>
        <v>162577</v>
      </c>
      <c r="C55" s="9">
        <f ca="1">IFERROR(__xludf.DUMMYFUNCTION("""COMPUTED_VALUE"""),83636)</f>
        <v>83636</v>
      </c>
      <c r="D55" s="9">
        <f ca="1">IFERROR(__xludf.DUMMYFUNCTION("""COMPUTED_VALUE"""),78941)</f>
        <v>78941</v>
      </c>
      <c r="E55" s="5">
        <f ca="1">IFERROR(__xludf.DUMMYFUNCTION("""COMPUTED_VALUE"""),0.4856)</f>
        <v>0.48559999999999998</v>
      </c>
      <c r="F55" s="9">
        <f ca="1">IFERROR(__xludf.DUMMYFUNCTION("""COMPUTED_VALUE"""),59618)</f>
        <v>59618</v>
      </c>
      <c r="G55" s="5">
        <f ca="1">IFERROR(__xludf.DUMMYFUNCTION("""COMPUTED_VALUE"""),0.3667)</f>
        <v>0.36670000000000003</v>
      </c>
      <c r="H55" s="4">
        <f ca="1">IFERROR(__xludf.DUMMYFUNCTION("""COMPUTED_VALUE"""),-268)</f>
        <v>-268</v>
      </c>
      <c r="I55" s="9">
        <f ca="1">IFERROR(__xludf.DUMMYFUNCTION("""COMPUTED_VALUE"""),59350)</f>
        <v>59350</v>
      </c>
      <c r="J55" s="9">
        <f ca="1">IFERROR(__xludf.DUMMYFUNCTION("""COMPUTED_VALUE"""),51952)</f>
        <v>51952</v>
      </c>
      <c r="K55" s="4">
        <f ca="1">IFERROR(__xludf.DUMMYFUNCTION("""COMPUTED_VALUE"""),2)</f>
        <v>2</v>
      </c>
    </row>
    <row r="56" spans="1:11" ht="12.5">
      <c r="A56" s="4" t="str">
        <f ca="1">IFERROR(__xludf.DUMMYFUNCTION("""COMPUTED_VALUE"""),"102.2Q")</f>
        <v>102.2Q</v>
      </c>
      <c r="B56" s="9">
        <f ca="1">IFERROR(__xludf.DUMMYFUNCTION("""COMPUTED_VALUE"""),155886)</f>
        <v>155886</v>
      </c>
      <c r="C56" s="9">
        <f ca="1">IFERROR(__xludf.DUMMYFUNCTION("""COMPUTED_VALUE"""),79468)</f>
        <v>79468</v>
      </c>
      <c r="D56" s="9">
        <f ca="1">IFERROR(__xludf.DUMMYFUNCTION("""COMPUTED_VALUE"""),76419)</f>
        <v>76419</v>
      </c>
      <c r="E56" s="5">
        <f ca="1">IFERROR(__xludf.DUMMYFUNCTION("""COMPUTED_VALUE"""),0.4902)</f>
        <v>0.49020000000000002</v>
      </c>
      <c r="F56" s="9">
        <f ca="1">IFERROR(__xludf.DUMMYFUNCTION("""COMPUTED_VALUE"""),57629)</f>
        <v>57629</v>
      </c>
      <c r="G56" s="5">
        <f ca="1">IFERROR(__xludf.DUMMYFUNCTION("""COMPUTED_VALUE"""),0.3697)</f>
        <v>0.36969999999999997</v>
      </c>
      <c r="H56" s="9">
        <f ca="1">IFERROR(__xludf.DUMMYFUNCTION("""COMPUTED_VALUE"""),2388)</f>
        <v>2388</v>
      </c>
      <c r="I56" s="9">
        <f ca="1">IFERROR(__xludf.DUMMYFUNCTION("""COMPUTED_VALUE"""),60017)</f>
        <v>60017</v>
      </c>
      <c r="J56" s="9">
        <f ca="1">IFERROR(__xludf.DUMMYFUNCTION("""COMPUTED_VALUE"""),51808)</f>
        <v>51808</v>
      </c>
      <c r="K56" s="4">
        <f ca="1">IFERROR(__xludf.DUMMYFUNCTION("""COMPUTED_VALUE"""),2)</f>
        <v>2</v>
      </c>
    </row>
    <row r="57" spans="1:11" ht="12.5">
      <c r="A57" s="4" t="str">
        <f ca="1">IFERROR(__xludf.DUMMYFUNCTION("""COMPUTED_VALUE"""),"102.1Q")</f>
        <v>102.1Q</v>
      </c>
      <c r="B57" s="9">
        <f ca="1">IFERROR(__xludf.DUMMYFUNCTION("""COMPUTED_VALUE"""),132755)</f>
        <v>132755</v>
      </c>
      <c r="C57" s="9">
        <f ca="1">IFERROR(__xludf.DUMMYFUNCTION("""COMPUTED_VALUE"""),71989)</f>
        <v>71989</v>
      </c>
      <c r="D57" s="9">
        <f ca="1">IFERROR(__xludf.DUMMYFUNCTION("""COMPUTED_VALUE"""),60766)</f>
        <v>60766</v>
      </c>
      <c r="E57" s="5">
        <f ca="1">IFERROR(__xludf.DUMMYFUNCTION("""COMPUTED_VALUE"""),0.4577)</f>
        <v>0.4577</v>
      </c>
      <c r="F57" s="9">
        <f ca="1">IFERROR(__xludf.DUMMYFUNCTION("""COMPUTED_VALUE"""),44428)</f>
        <v>44428</v>
      </c>
      <c r="G57" s="5">
        <f ca="1">IFERROR(__xludf.DUMMYFUNCTION("""COMPUTED_VALUE"""),0.3347)</f>
        <v>0.3347</v>
      </c>
      <c r="H57" s="9">
        <f ca="1">IFERROR(__xludf.DUMMYFUNCTION("""COMPUTED_VALUE"""),1320)</f>
        <v>1320</v>
      </c>
      <c r="I57" s="9">
        <f ca="1">IFERROR(__xludf.DUMMYFUNCTION("""COMPUTED_VALUE"""),45748)</f>
        <v>45748</v>
      </c>
      <c r="J57" s="9">
        <f ca="1">IFERROR(__xludf.DUMMYFUNCTION("""COMPUTED_VALUE"""),39577)</f>
        <v>39577</v>
      </c>
      <c r="K57" s="4">
        <f ca="1">IFERROR(__xludf.DUMMYFUNCTION("""COMPUTED_VALUE"""),1.53)</f>
        <v>1.53</v>
      </c>
    </row>
    <row r="58" spans="1:11" ht="12.5">
      <c r="A58" s="4" t="str">
        <f ca="1">IFERROR(__xludf.DUMMYFUNCTION("""COMPUTED_VALUE"""),"101.4Q")</f>
        <v>101.4Q</v>
      </c>
      <c r="B58" s="9">
        <f ca="1">IFERROR(__xludf.DUMMYFUNCTION("""COMPUTED_VALUE"""),131445)</f>
        <v>131445</v>
      </c>
      <c r="C58" s="9">
        <f ca="1">IFERROR(__xludf.DUMMYFUNCTION("""COMPUTED_VALUE"""),69449)</f>
        <v>69449</v>
      </c>
      <c r="D58" s="9">
        <f ca="1">IFERROR(__xludf.DUMMYFUNCTION("""COMPUTED_VALUE"""),61996)</f>
        <v>61996</v>
      </c>
      <c r="E58" s="5">
        <f ca="1">IFERROR(__xludf.DUMMYFUNCTION("""COMPUTED_VALUE"""),0.4716)</f>
        <v>0.47160000000000002</v>
      </c>
      <c r="F58" s="9">
        <f ca="1">IFERROR(__xludf.DUMMYFUNCTION("""COMPUTED_VALUE"""),46389)</f>
        <v>46389</v>
      </c>
      <c r="G58" s="5">
        <f ca="1">IFERROR(__xludf.DUMMYFUNCTION("""COMPUTED_VALUE"""),0.3529)</f>
        <v>0.35289999999999999</v>
      </c>
      <c r="H58" s="4">
        <f ca="1">IFERROR(__xludf.DUMMYFUNCTION("""COMPUTED_VALUE"""),-105)</f>
        <v>-105</v>
      </c>
      <c r="I58" s="9">
        <f ca="1">IFERROR(__xludf.DUMMYFUNCTION("""COMPUTED_VALUE"""),46284)</f>
        <v>46284</v>
      </c>
      <c r="J58" s="9">
        <f ca="1">IFERROR(__xludf.DUMMYFUNCTION("""COMPUTED_VALUE"""),41604)</f>
        <v>41604</v>
      </c>
      <c r="K58" s="4">
        <f ca="1">IFERROR(__xludf.DUMMYFUNCTION("""COMPUTED_VALUE"""),1.61)</f>
        <v>1.61</v>
      </c>
    </row>
    <row r="59" spans="1:11" ht="12.5">
      <c r="A59" s="4" t="str">
        <f ca="1">IFERROR(__xludf.DUMMYFUNCTION("""COMPUTED_VALUE"""),"101.3Q")</f>
        <v>101.3Q</v>
      </c>
      <c r="B59" s="9">
        <f ca="1">IFERROR(__xludf.DUMMYFUNCTION("""COMPUTED_VALUE"""),141499)</f>
        <v>141499</v>
      </c>
      <c r="C59" s="9">
        <f ca="1">IFERROR(__xludf.DUMMYFUNCTION("""COMPUTED_VALUE"""),72345)</f>
        <v>72345</v>
      </c>
      <c r="D59" s="9">
        <f ca="1">IFERROR(__xludf.DUMMYFUNCTION("""COMPUTED_VALUE"""),69155)</f>
        <v>69155</v>
      </c>
      <c r="E59" s="5">
        <f ca="1">IFERROR(__xludf.DUMMYFUNCTION("""COMPUTED_VALUE"""),0.4887)</f>
        <v>0.48870000000000002</v>
      </c>
      <c r="F59" s="9">
        <f ca="1">IFERROR(__xludf.DUMMYFUNCTION("""COMPUTED_VALUE"""),52798)</f>
        <v>52798</v>
      </c>
      <c r="G59" s="5">
        <f ca="1">IFERROR(__xludf.DUMMYFUNCTION("""COMPUTED_VALUE"""),0.3731)</f>
        <v>0.37309999999999999</v>
      </c>
      <c r="H59" s="4">
        <f ca="1">IFERROR(__xludf.DUMMYFUNCTION("""COMPUTED_VALUE"""),964)</f>
        <v>964</v>
      </c>
      <c r="I59" s="9">
        <f ca="1">IFERROR(__xludf.DUMMYFUNCTION("""COMPUTED_VALUE"""),53762)</f>
        <v>53762</v>
      </c>
      <c r="J59" s="9">
        <f ca="1">IFERROR(__xludf.DUMMYFUNCTION("""COMPUTED_VALUE"""),49380)</f>
        <v>49380</v>
      </c>
      <c r="K59" s="4">
        <f ca="1">IFERROR(__xludf.DUMMYFUNCTION("""COMPUTED_VALUE"""),1.91)</f>
        <v>1.91</v>
      </c>
    </row>
    <row r="60" spans="1:11" ht="12.5">
      <c r="A60" s="4" t="str">
        <f ca="1">IFERROR(__xludf.DUMMYFUNCTION("""COMPUTED_VALUE"""),"101.2Q")</f>
        <v>101.2Q</v>
      </c>
      <c r="B60" s="9">
        <f ca="1">IFERROR(__xludf.DUMMYFUNCTION("""COMPUTED_VALUE"""),128186)</f>
        <v>128186</v>
      </c>
      <c r="C60" s="9">
        <f ca="1">IFERROR(__xludf.DUMMYFUNCTION("""COMPUTED_VALUE"""),65579)</f>
        <v>65579</v>
      </c>
      <c r="D60" s="9">
        <f ca="1">IFERROR(__xludf.DUMMYFUNCTION("""COMPUTED_VALUE"""),62607)</f>
        <v>62607</v>
      </c>
      <c r="E60" s="5">
        <f ca="1">IFERROR(__xludf.DUMMYFUNCTION("""COMPUTED_VALUE"""),0.4884)</f>
        <v>0.4884</v>
      </c>
      <c r="F60" s="9">
        <f ca="1">IFERROR(__xludf.DUMMYFUNCTION("""COMPUTED_VALUE"""),46872)</f>
        <v>46872</v>
      </c>
      <c r="G60" s="5">
        <f ca="1">IFERROR(__xludf.DUMMYFUNCTION("""COMPUTED_VALUE"""),0.3657)</f>
        <v>0.36570000000000003</v>
      </c>
      <c r="H60" s="4">
        <f ca="1">IFERROR(__xludf.DUMMYFUNCTION("""COMPUTED_VALUE"""),-915)</f>
        <v>-915</v>
      </c>
      <c r="I60" s="9">
        <f ca="1">IFERROR(__xludf.DUMMYFUNCTION("""COMPUTED_VALUE"""),45957)</f>
        <v>45957</v>
      </c>
      <c r="J60" s="9">
        <f ca="1">IFERROR(__xludf.DUMMYFUNCTION("""COMPUTED_VALUE"""),41843)</f>
        <v>41843</v>
      </c>
      <c r="K60" s="4">
        <f ca="1">IFERROR(__xludf.DUMMYFUNCTION("""COMPUTED_VALUE"""),1.61)</f>
        <v>1.61</v>
      </c>
    </row>
    <row r="61" spans="1:11" ht="12.5">
      <c r="A61" s="4" t="str">
        <f ca="1">IFERROR(__xludf.DUMMYFUNCTION("""COMPUTED_VALUE"""),"101.1Q")</f>
        <v>101.1Q</v>
      </c>
      <c r="B61" s="9">
        <f ca="1">IFERROR(__xludf.DUMMYFUNCTION("""COMPUTED_VALUE"""),105615)</f>
        <v>105615</v>
      </c>
      <c r="C61" s="9">
        <f ca="1">IFERROR(__xludf.DUMMYFUNCTION("""COMPUTED_VALUE"""),55210)</f>
        <v>55210</v>
      </c>
      <c r="D61" s="9">
        <f ca="1">IFERROR(__xludf.DUMMYFUNCTION("""COMPUTED_VALUE"""),50404)</f>
        <v>50404</v>
      </c>
      <c r="E61" s="5">
        <f ca="1">IFERROR(__xludf.DUMMYFUNCTION("""COMPUTED_VALUE"""),0.4772)</f>
        <v>0.47720000000000001</v>
      </c>
      <c r="F61" s="9">
        <f ca="1">IFERROR(__xludf.DUMMYFUNCTION("""COMPUTED_VALUE"""),35117)</f>
        <v>35117</v>
      </c>
      <c r="G61" s="5">
        <f ca="1">IFERROR(__xludf.DUMMYFUNCTION("""COMPUTED_VALUE"""),0.3325)</f>
        <v>0.33250000000000002</v>
      </c>
      <c r="H61" s="4">
        <f ca="1">IFERROR(__xludf.DUMMYFUNCTION("""COMPUTED_VALUE"""),556)</f>
        <v>556</v>
      </c>
      <c r="I61" s="9">
        <f ca="1">IFERROR(__xludf.DUMMYFUNCTION("""COMPUTED_VALUE"""),35673)</f>
        <v>35673</v>
      </c>
      <c r="J61" s="9">
        <f ca="1">IFERROR(__xludf.DUMMYFUNCTION("""COMPUTED_VALUE"""),33492)</f>
        <v>33492</v>
      </c>
      <c r="K61" s="4">
        <f ca="1">IFERROR(__xludf.DUMMYFUNCTION("""COMPUTED_VALUE"""),1.29)</f>
        <v>1.29</v>
      </c>
    </row>
    <row r="62" spans="1:11" ht="12.5">
      <c r="A62" s="4" t="str">
        <f ca="1">IFERROR(__xludf.DUMMYFUNCTION("""COMPUTED_VALUE"""),"100.4Q")</f>
        <v>100.4Q</v>
      </c>
      <c r="B62" s="9">
        <f ca="1">IFERROR(__xludf.DUMMYFUNCTION("""COMPUTED_VALUE"""),104711)</f>
        <v>104711</v>
      </c>
      <c r="C62" s="9">
        <f ca="1">IFERROR(__xludf.DUMMYFUNCTION("""COMPUTED_VALUE"""),57865)</f>
        <v>57865</v>
      </c>
      <c r="D62" s="9">
        <f ca="1">IFERROR(__xludf.DUMMYFUNCTION("""COMPUTED_VALUE"""),46846)</f>
        <v>46846</v>
      </c>
      <c r="E62" s="5">
        <f ca="1">IFERROR(__xludf.DUMMYFUNCTION("""COMPUTED_VALUE"""),0.4474)</f>
        <v>0.44740000000000002</v>
      </c>
      <c r="F62" s="9">
        <f ca="1">IFERROR(__xludf.DUMMYFUNCTION("""COMPUTED_VALUE"""),32930)</f>
        <v>32930</v>
      </c>
      <c r="G62" s="5">
        <f ca="1">IFERROR(__xludf.DUMMYFUNCTION("""COMPUTED_VALUE"""),0.3145)</f>
        <v>0.3145</v>
      </c>
      <c r="H62" s="4">
        <f ca="1">IFERROR(__xludf.DUMMYFUNCTION("""COMPUTED_VALUE"""),691)</f>
        <v>691</v>
      </c>
      <c r="I62" s="9">
        <f ca="1">IFERROR(__xludf.DUMMYFUNCTION("""COMPUTED_VALUE"""),33621)</f>
        <v>33621</v>
      </c>
      <c r="J62" s="9">
        <f ca="1">IFERROR(__xludf.DUMMYFUNCTION("""COMPUTED_VALUE"""),31579)</f>
        <v>31579</v>
      </c>
      <c r="K62" s="4">
        <f ca="1">IFERROR(__xludf.DUMMYFUNCTION("""COMPUTED_VALUE"""),1.22)</f>
        <v>1.22</v>
      </c>
    </row>
    <row r="63" spans="1:11" ht="12.5">
      <c r="A63" s="4" t="str">
        <f ca="1">IFERROR(__xludf.DUMMYFUNCTION("""COMPUTED_VALUE"""),"100.3Q")</f>
        <v>100.3Q</v>
      </c>
      <c r="B63" s="9">
        <f ca="1">IFERROR(__xludf.DUMMYFUNCTION("""COMPUTED_VALUE"""),106484)</f>
        <v>106484</v>
      </c>
      <c r="C63" s="9">
        <f ca="1">IFERROR(__xludf.DUMMYFUNCTION("""COMPUTED_VALUE"""),61713)</f>
        <v>61713</v>
      </c>
      <c r="D63" s="9">
        <f ca="1">IFERROR(__xludf.DUMMYFUNCTION("""COMPUTED_VALUE"""),44771)</f>
        <v>44771</v>
      </c>
      <c r="E63" s="5">
        <f ca="1">IFERROR(__xludf.DUMMYFUNCTION("""COMPUTED_VALUE"""),0.4204)</f>
        <v>0.4204</v>
      </c>
      <c r="F63" s="9">
        <f ca="1">IFERROR(__xludf.DUMMYFUNCTION("""COMPUTED_VALUE"""),31598)</f>
        <v>31598</v>
      </c>
      <c r="G63" s="5">
        <f ca="1">IFERROR(__xludf.DUMMYFUNCTION("""COMPUTED_VALUE"""),0.2967)</f>
        <v>0.29670000000000002</v>
      </c>
      <c r="H63" s="4">
        <f ca="1">IFERROR(__xludf.DUMMYFUNCTION("""COMPUTED_VALUE"""),562)</f>
        <v>562</v>
      </c>
      <c r="I63" s="9">
        <f ca="1">IFERROR(__xludf.DUMMYFUNCTION("""COMPUTED_VALUE"""),32160)</f>
        <v>32160</v>
      </c>
      <c r="J63" s="9">
        <f ca="1">IFERROR(__xludf.DUMMYFUNCTION("""COMPUTED_VALUE"""),30395)</f>
        <v>30395</v>
      </c>
      <c r="K63" s="4">
        <f ca="1">IFERROR(__xludf.DUMMYFUNCTION("""COMPUTED_VALUE"""),1.17)</f>
        <v>1.17</v>
      </c>
    </row>
    <row r="64" spans="1:11" ht="12.5">
      <c r="A64" s="4" t="str">
        <f ca="1">IFERROR(__xludf.DUMMYFUNCTION("""COMPUTED_VALUE"""),"100.2Q")</f>
        <v>100.2Q</v>
      </c>
      <c r="B64" s="9">
        <f ca="1">IFERROR(__xludf.DUMMYFUNCTION("""COMPUTED_VALUE"""),110508)</f>
        <v>110508</v>
      </c>
      <c r="C64" s="9">
        <f ca="1">IFERROR(__xludf.DUMMYFUNCTION("""COMPUTED_VALUE"""),59652)</f>
        <v>59652</v>
      </c>
      <c r="D64" s="9">
        <f ca="1">IFERROR(__xludf.DUMMYFUNCTION("""COMPUTED_VALUE"""),50856)</f>
        <v>50856</v>
      </c>
      <c r="E64" s="5">
        <f ca="1">IFERROR(__xludf.DUMMYFUNCTION("""COMPUTED_VALUE"""),0.4602)</f>
        <v>0.4602</v>
      </c>
      <c r="F64" s="9">
        <f ca="1">IFERROR(__xludf.DUMMYFUNCTION("""COMPUTED_VALUE"""),37866)</f>
        <v>37866</v>
      </c>
      <c r="G64" s="5">
        <f ca="1">IFERROR(__xludf.DUMMYFUNCTION("""COMPUTED_VALUE"""),0.3427)</f>
        <v>0.3427</v>
      </c>
      <c r="H64" s="9">
        <f ca="1">IFERROR(__xludf.DUMMYFUNCTION("""COMPUTED_VALUE"""),1188)</f>
        <v>1188</v>
      </c>
      <c r="I64" s="9">
        <f ca="1">IFERROR(__xludf.DUMMYFUNCTION("""COMPUTED_VALUE"""),39055)</f>
        <v>39055</v>
      </c>
      <c r="J64" s="9">
        <f ca="1">IFERROR(__xludf.DUMMYFUNCTION("""COMPUTED_VALUE"""),35950)</f>
        <v>35950</v>
      </c>
      <c r="K64" s="4">
        <f ca="1">IFERROR(__xludf.DUMMYFUNCTION("""COMPUTED_VALUE"""),1.39)</f>
        <v>1.39</v>
      </c>
    </row>
    <row r="65" spans="1:11" ht="12.5">
      <c r="A65" s="4" t="str">
        <f ca="1">IFERROR(__xludf.DUMMYFUNCTION("""COMPUTED_VALUE"""),"100.1Q")</f>
        <v>100.1Q</v>
      </c>
      <c r="B65" s="9">
        <f ca="1">IFERROR(__xludf.DUMMYFUNCTION("""COMPUTED_VALUE"""),105377)</f>
        <v>105377</v>
      </c>
      <c r="C65" s="9">
        <f ca="1">IFERROR(__xludf.DUMMYFUNCTION("""COMPUTED_VALUE"""),53707)</f>
        <v>53707</v>
      </c>
      <c r="D65" s="9">
        <f ca="1">IFERROR(__xludf.DUMMYFUNCTION("""COMPUTED_VALUE"""),51671)</f>
        <v>51671</v>
      </c>
      <c r="E65" s="5">
        <f ca="1">IFERROR(__xludf.DUMMYFUNCTION("""COMPUTED_VALUE"""),0.4903)</f>
        <v>0.49030000000000001</v>
      </c>
      <c r="F65" s="9">
        <f ca="1">IFERROR(__xludf.DUMMYFUNCTION("""COMPUTED_VALUE"""),39163)</f>
        <v>39163</v>
      </c>
      <c r="G65" s="5">
        <f ca="1">IFERROR(__xludf.DUMMYFUNCTION("""COMPUTED_VALUE"""),0.3716)</f>
        <v>0.37159999999999999</v>
      </c>
      <c r="H65" s="9">
        <f ca="1">IFERROR(__xludf.DUMMYFUNCTION("""COMPUTED_VALUE"""),1149)</f>
        <v>1149</v>
      </c>
      <c r="I65" s="9">
        <f ca="1">IFERROR(__xludf.DUMMYFUNCTION("""COMPUTED_VALUE"""),40312)</f>
        <v>40312</v>
      </c>
      <c r="J65" s="9">
        <f ca="1">IFERROR(__xludf.DUMMYFUNCTION("""COMPUTED_VALUE"""),36278)</f>
        <v>36278</v>
      </c>
      <c r="K65" s="4">
        <f ca="1">IFERROR(__xludf.DUMMYFUNCTION("""COMPUTED_VALUE"""),1.4)</f>
        <v>1.4</v>
      </c>
    </row>
    <row r="66" spans="1:11" ht="12.5">
      <c r="A66" s="4" t="str">
        <f ca="1">IFERROR(__xludf.DUMMYFUNCTION("""COMPUTED_VALUE"""),"99.4Q")</f>
        <v>99.4Q</v>
      </c>
      <c r="B66" s="9">
        <f ca="1">IFERROR(__xludf.DUMMYFUNCTION("""COMPUTED_VALUE"""),110142)</f>
        <v>110142</v>
      </c>
      <c r="C66" s="9">
        <f ca="1">IFERROR(__xludf.DUMMYFUNCTION("""COMPUTED_VALUE"""),55325)</f>
        <v>55325</v>
      </c>
      <c r="D66" s="9">
        <f ca="1">IFERROR(__xludf.DUMMYFUNCTION("""COMPUTED_VALUE"""),54817)</f>
        <v>54817</v>
      </c>
      <c r="E66" s="5">
        <f ca="1">IFERROR(__xludf.DUMMYFUNCTION("""COMPUTED_VALUE"""),0.4977)</f>
        <v>0.49769999999999998</v>
      </c>
      <c r="F66" s="9">
        <f ca="1">IFERROR(__xludf.DUMMYFUNCTION("""COMPUTED_VALUE"""),41513)</f>
        <v>41513</v>
      </c>
      <c r="G66" s="5">
        <f ca="1">IFERROR(__xludf.DUMMYFUNCTION("""COMPUTED_VALUE"""),0.3769)</f>
        <v>0.37690000000000001</v>
      </c>
      <c r="H66" s="9">
        <f ca="1">IFERROR(__xludf.DUMMYFUNCTION("""COMPUTED_VALUE"""),1369)</f>
        <v>1369</v>
      </c>
      <c r="I66" s="9">
        <f ca="1">IFERROR(__xludf.DUMMYFUNCTION("""COMPUTED_VALUE"""),42882)</f>
        <v>42882</v>
      </c>
      <c r="J66" s="9">
        <f ca="1">IFERROR(__xludf.DUMMYFUNCTION("""COMPUTED_VALUE"""),40720)</f>
        <v>40720</v>
      </c>
      <c r="K66" s="4">
        <f ca="1">IFERROR(__xludf.DUMMYFUNCTION("""COMPUTED_VALUE"""),1.57)</f>
        <v>1.57</v>
      </c>
    </row>
    <row r="67" spans="1:11" ht="12.5">
      <c r="A67" s="4" t="str">
        <f ca="1">IFERROR(__xludf.DUMMYFUNCTION("""COMPUTED_VALUE"""),"99.3Q")</f>
        <v>99.3Q</v>
      </c>
      <c r="B67" s="9">
        <f ca="1">IFERROR(__xludf.DUMMYFUNCTION("""COMPUTED_VALUE"""),112247)</f>
        <v>112247</v>
      </c>
      <c r="C67" s="9">
        <f ca="1">IFERROR(__xludf.DUMMYFUNCTION("""COMPUTED_VALUE"""),56122)</f>
        <v>56122</v>
      </c>
      <c r="D67" s="9">
        <f ca="1">IFERROR(__xludf.DUMMYFUNCTION("""COMPUTED_VALUE"""),56125)</f>
        <v>56125</v>
      </c>
      <c r="E67" s="5">
        <f ca="1">IFERROR(__xludf.DUMMYFUNCTION("""COMPUTED_VALUE"""),0.5)</f>
        <v>0.5</v>
      </c>
      <c r="F67" s="9">
        <f ca="1">IFERROR(__xludf.DUMMYFUNCTION("""COMPUTED_VALUE"""),43066)</f>
        <v>43066</v>
      </c>
      <c r="G67" s="5">
        <f ca="1">IFERROR(__xludf.DUMMYFUNCTION("""COMPUTED_VALUE"""),0.3837)</f>
        <v>0.38369999999999999</v>
      </c>
      <c r="H67" s="9">
        <f ca="1">IFERROR(__xludf.DUMMYFUNCTION("""COMPUTED_VALUE"""),6610)</f>
        <v>6610</v>
      </c>
      <c r="I67" s="9">
        <f ca="1">IFERROR(__xludf.DUMMYFUNCTION("""COMPUTED_VALUE"""),49675)</f>
        <v>49675</v>
      </c>
      <c r="J67" s="9">
        <f ca="1">IFERROR(__xludf.DUMMYFUNCTION("""COMPUTED_VALUE"""),46940)</f>
        <v>46940</v>
      </c>
      <c r="K67" s="4">
        <f ca="1">IFERROR(__xludf.DUMMYFUNCTION("""COMPUTED_VALUE"""),1.81)</f>
        <v>1.81</v>
      </c>
    </row>
    <row r="68" spans="1:11" ht="12.5">
      <c r="A68" s="4" t="str">
        <f ca="1">IFERROR(__xludf.DUMMYFUNCTION("""COMPUTED_VALUE"""),"99.2Q")</f>
        <v>99.2Q</v>
      </c>
      <c r="B68" s="9">
        <f ca="1">IFERROR(__xludf.DUMMYFUNCTION("""COMPUTED_VALUE"""),104962)</f>
        <v>104962</v>
      </c>
      <c r="C68" s="9">
        <f ca="1">IFERROR(__xludf.DUMMYFUNCTION("""COMPUTED_VALUE"""),53036)</f>
        <v>53036</v>
      </c>
      <c r="D68" s="9">
        <f ca="1">IFERROR(__xludf.DUMMYFUNCTION("""COMPUTED_VALUE"""),51926)</f>
        <v>51926</v>
      </c>
      <c r="E68" s="5">
        <f ca="1">IFERROR(__xludf.DUMMYFUNCTION("""COMPUTED_VALUE"""),0.4947)</f>
        <v>0.49469999999999997</v>
      </c>
      <c r="F68" s="9">
        <f ca="1">IFERROR(__xludf.DUMMYFUNCTION("""COMPUTED_VALUE"""),40469)</f>
        <v>40469</v>
      </c>
      <c r="G68" s="5">
        <f ca="1">IFERROR(__xludf.DUMMYFUNCTION("""COMPUTED_VALUE"""),0.3856)</f>
        <v>0.3856</v>
      </c>
      <c r="H68" s="9">
        <f ca="1">IFERROR(__xludf.DUMMYFUNCTION("""COMPUTED_VALUE"""),1941)</f>
        <v>1941</v>
      </c>
      <c r="I68" s="9">
        <f ca="1">IFERROR(__xludf.DUMMYFUNCTION("""COMPUTED_VALUE"""),42410)</f>
        <v>42410</v>
      </c>
      <c r="J68" s="9">
        <f ca="1">IFERROR(__xludf.DUMMYFUNCTION("""COMPUTED_VALUE"""),40282)</f>
        <v>40282</v>
      </c>
      <c r="K68" s="4">
        <f ca="1">IFERROR(__xludf.DUMMYFUNCTION("""COMPUTED_VALUE"""),1.56)</f>
        <v>1.56</v>
      </c>
    </row>
    <row r="69" spans="1:11" ht="12.5">
      <c r="A69" s="4" t="str">
        <f ca="1">IFERROR(__xludf.DUMMYFUNCTION("""COMPUTED_VALUE"""),"99.1Q")</f>
        <v>99.1Q</v>
      </c>
      <c r="B69" s="9">
        <f ca="1">IFERROR(__xludf.DUMMYFUNCTION("""COMPUTED_VALUE"""),92187)</f>
        <v>92187</v>
      </c>
      <c r="C69" s="9">
        <f ca="1">IFERROR(__xludf.DUMMYFUNCTION("""COMPUTED_VALUE"""),48001)</f>
        <v>48001</v>
      </c>
      <c r="D69" s="9">
        <f ca="1">IFERROR(__xludf.DUMMYFUNCTION("""COMPUTED_VALUE"""),44185)</f>
        <v>44185</v>
      </c>
      <c r="E69" s="5">
        <f ca="1">IFERROR(__xludf.DUMMYFUNCTION("""COMPUTED_VALUE"""),0.4793)</f>
        <v>0.4793</v>
      </c>
      <c r="F69" s="9">
        <f ca="1">IFERROR(__xludf.DUMMYFUNCTION("""COMPUTED_VALUE"""),34128)</f>
        <v>34128</v>
      </c>
      <c r="G69" s="5">
        <f ca="1">IFERROR(__xludf.DUMMYFUNCTION("""COMPUTED_VALUE"""),0.3702)</f>
        <v>0.37019999999999997</v>
      </c>
      <c r="H69" s="9">
        <f ca="1">IFERROR(__xludf.DUMMYFUNCTION("""COMPUTED_VALUE"""),1175)</f>
        <v>1175</v>
      </c>
      <c r="I69" s="9">
        <f ca="1">IFERROR(__xludf.DUMMYFUNCTION("""COMPUTED_VALUE"""),35303)</f>
        <v>35303</v>
      </c>
      <c r="J69" s="9">
        <f ca="1">IFERROR(__xludf.DUMMYFUNCTION("""COMPUTED_VALUE"""),33663)</f>
        <v>33663</v>
      </c>
      <c r="K69" s="4">
        <f ca="1">IFERROR(__xludf.DUMMYFUNCTION("""COMPUTED_VALUE"""),1.3)</f>
        <v>1.3</v>
      </c>
    </row>
    <row r="70" spans="1:11" ht="12.5">
      <c r="A70" s="4" t="str">
        <f ca="1">IFERROR(__xludf.DUMMYFUNCTION("""COMPUTED_VALUE"""),"98.4Q")</f>
        <v>98.4Q</v>
      </c>
      <c r="B70" s="9">
        <f ca="1">IFERROR(__xludf.DUMMYFUNCTION("""COMPUTED_VALUE"""),92094)</f>
        <v>92094</v>
      </c>
      <c r="C70" s="9">
        <f ca="1">IFERROR(__xludf.DUMMYFUNCTION("""COMPUTED_VALUE"""),47400)</f>
        <v>47400</v>
      </c>
      <c r="D70" s="9">
        <f ca="1">IFERROR(__xludf.DUMMYFUNCTION("""COMPUTED_VALUE"""),44695)</f>
        <v>44695</v>
      </c>
      <c r="E70" s="5">
        <f ca="1">IFERROR(__xludf.DUMMYFUNCTION("""COMPUTED_VALUE"""),0.4853)</f>
        <v>0.48530000000000001</v>
      </c>
      <c r="F70" s="9">
        <f ca="1">IFERROR(__xludf.DUMMYFUNCTION("""COMPUTED_VALUE"""),33642)</f>
        <v>33642</v>
      </c>
      <c r="G70" s="5">
        <f ca="1">IFERROR(__xludf.DUMMYFUNCTION("""COMPUTED_VALUE"""),0.3653)</f>
        <v>0.36530000000000001</v>
      </c>
      <c r="H70" s="9">
        <f ca="1">IFERROR(__xludf.DUMMYFUNCTION("""COMPUTED_VALUE"""),1726)</f>
        <v>1726</v>
      </c>
      <c r="I70" s="9">
        <f ca="1">IFERROR(__xludf.DUMMYFUNCTION("""COMPUTED_VALUE"""),35368)</f>
        <v>35368</v>
      </c>
      <c r="J70" s="9">
        <f ca="1">IFERROR(__xludf.DUMMYFUNCTION("""COMPUTED_VALUE"""),32666)</f>
        <v>32666</v>
      </c>
      <c r="K70" s="4">
        <f ca="1">IFERROR(__xludf.DUMMYFUNCTION("""COMPUTED_VALUE"""),1.26)</f>
        <v>1.26</v>
      </c>
    </row>
    <row r="71" spans="1:11" ht="12.5">
      <c r="A71" s="4" t="str">
        <f ca="1">IFERROR(__xludf.DUMMYFUNCTION("""COMPUTED_VALUE"""),"98.3Q")</f>
        <v>98.3Q</v>
      </c>
      <c r="B71" s="9">
        <f ca="1">IFERROR(__xludf.DUMMYFUNCTION("""COMPUTED_VALUE"""),89936)</f>
        <v>89936</v>
      </c>
      <c r="C71" s="9">
        <f ca="1">IFERROR(__xludf.DUMMYFUNCTION("""COMPUTED_VALUE"""),47078)</f>
        <v>47078</v>
      </c>
      <c r="D71" s="9">
        <f ca="1">IFERROR(__xludf.DUMMYFUNCTION("""COMPUTED_VALUE"""),42858)</f>
        <v>42858</v>
      </c>
      <c r="E71" s="5">
        <f ca="1">IFERROR(__xludf.DUMMYFUNCTION("""COMPUTED_VALUE"""),0.4765)</f>
        <v>0.47649999999999998</v>
      </c>
      <c r="F71" s="9">
        <f ca="1">IFERROR(__xludf.DUMMYFUNCTION("""COMPUTED_VALUE"""),31984)</f>
        <v>31984</v>
      </c>
      <c r="G71" s="5">
        <f ca="1">IFERROR(__xludf.DUMMYFUNCTION("""COMPUTED_VALUE"""),0.3556)</f>
        <v>0.35560000000000003</v>
      </c>
      <c r="H71" s="4">
        <f ca="1">IFERROR(__xludf.DUMMYFUNCTION("""COMPUTED_VALUE"""),973)</f>
        <v>973</v>
      </c>
      <c r="I71" s="9">
        <f ca="1">IFERROR(__xludf.DUMMYFUNCTION("""COMPUTED_VALUE"""),32957)</f>
        <v>32957</v>
      </c>
      <c r="J71" s="9">
        <f ca="1">IFERROR(__xludf.DUMMYFUNCTION("""COMPUTED_VALUE"""),30551)</f>
        <v>30551</v>
      </c>
      <c r="K71" s="4">
        <f ca="1">IFERROR(__xludf.DUMMYFUNCTION("""COMPUTED_VALUE"""),1.18)</f>
        <v>1.18</v>
      </c>
    </row>
    <row r="72" spans="1:11" ht="12.5">
      <c r="A72" s="4" t="str">
        <f ca="1">IFERROR(__xludf.DUMMYFUNCTION("""COMPUTED_VALUE"""),"98.2Q")</f>
        <v>98.2Q</v>
      </c>
      <c r="B72" s="9">
        <f ca="1">IFERROR(__xludf.DUMMYFUNCTION("""COMPUTED_VALUE"""),74212)</f>
        <v>74212</v>
      </c>
      <c r="C72" s="9">
        <f ca="1">IFERROR(__xludf.DUMMYFUNCTION("""COMPUTED_VALUE"""),39916)</f>
        <v>39916</v>
      </c>
      <c r="D72" s="9">
        <f ca="1">IFERROR(__xludf.DUMMYFUNCTION("""COMPUTED_VALUE"""),34296)</f>
        <v>34296</v>
      </c>
      <c r="E72" s="5">
        <f ca="1">IFERROR(__xludf.DUMMYFUNCTION("""COMPUTED_VALUE"""),0.4621)</f>
        <v>0.46210000000000001</v>
      </c>
      <c r="F72" s="9">
        <f ca="1">IFERROR(__xludf.DUMMYFUNCTION("""COMPUTED_VALUE"""),25127)</f>
        <v>25127</v>
      </c>
      <c r="G72" s="5">
        <f ca="1">IFERROR(__xludf.DUMMYFUNCTION("""COMPUTED_VALUE"""),0.3386)</f>
        <v>0.33860000000000001</v>
      </c>
      <c r="H72" s="9">
        <f ca="1">IFERROR(__xludf.DUMMYFUNCTION("""COMPUTED_VALUE"""),1262)</f>
        <v>1262</v>
      </c>
      <c r="I72" s="9">
        <f ca="1">IFERROR(__xludf.DUMMYFUNCTION("""COMPUTED_VALUE"""),26389)</f>
        <v>26389</v>
      </c>
      <c r="J72" s="9">
        <f ca="1">IFERROR(__xludf.DUMMYFUNCTION("""COMPUTED_VALUE"""),24442)</f>
        <v>24442</v>
      </c>
      <c r="K72" s="4">
        <f ca="1">IFERROR(__xludf.DUMMYFUNCTION("""COMPUTED_VALUE"""),0.95)</f>
        <v>0.95</v>
      </c>
    </row>
    <row r="73" spans="1:11" ht="12.5">
      <c r="A73" s="4" t="str">
        <f ca="1">IFERROR(__xludf.DUMMYFUNCTION("""COMPUTED_VALUE"""),"98.1Q")</f>
        <v>98.1Q</v>
      </c>
      <c r="B73" s="9">
        <f ca="1">IFERROR(__xludf.DUMMYFUNCTION("""COMPUTED_VALUE"""),39500)</f>
        <v>39500</v>
      </c>
      <c r="C73" s="9">
        <f ca="1">IFERROR(__xludf.DUMMYFUNCTION("""COMPUTED_VALUE"""),32020)</f>
        <v>32020</v>
      </c>
      <c r="D73" s="9">
        <f ca="1">IFERROR(__xludf.DUMMYFUNCTION("""COMPUTED_VALUE"""),7480)</f>
        <v>7480</v>
      </c>
      <c r="E73" s="5">
        <f ca="1">IFERROR(__xludf.DUMMYFUNCTION("""COMPUTED_VALUE"""),0.1894)</f>
        <v>0.18940000000000001</v>
      </c>
      <c r="F73" s="9">
        <f ca="1">IFERROR(__xludf.DUMMYFUNCTION("""COMPUTED_VALUE"""),1209)</f>
        <v>1209</v>
      </c>
      <c r="G73" s="5">
        <f ca="1">IFERROR(__xludf.DUMMYFUNCTION("""COMPUTED_VALUE"""),0.0306)</f>
        <v>3.0599999999999999E-2</v>
      </c>
      <c r="H73" s="4">
        <f ca="1">IFERROR(__xludf.DUMMYFUNCTION("""COMPUTED_VALUE"""),-461)</f>
        <v>-461</v>
      </c>
      <c r="I73" s="4">
        <f ca="1">IFERROR(__xludf.DUMMYFUNCTION("""COMPUTED_VALUE"""),748)</f>
        <v>748</v>
      </c>
      <c r="J73" s="9">
        <f ca="1">IFERROR(__xludf.DUMMYFUNCTION("""COMPUTED_VALUE"""),1559)</f>
        <v>1559</v>
      </c>
      <c r="K73" s="4">
        <f ca="1">IFERROR(__xludf.DUMMYFUNCTION("""COMPUTED_VALUE"""),0.06)</f>
        <v>0.06</v>
      </c>
    </row>
    <row r="74" spans="1:11" ht="12.5">
      <c r="A74" s="4" t="str">
        <f ca="1">IFERROR(__xludf.DUMMYFUNCTION("""COMPUTED_VALUE"""),"97.4Q")</f>
        <v>97.4Q</v>
      </c>
      <c r="B74" s="9">
        <f ca="1">IFERROR(__xludf.DUMMYFUNCTION("""COMPUTED_VALUE"""),64562)</f>
        <v>64562</v>
      </c>
      <c r="C74" s="9">
        <f ca="1">IFERROR(__xludf.DUMMYFUNCTION("""COMPUTED_VALUE"""),44367)</f>
        <v>44367</v>
      </c>
      <c r="D74" s="9">
        <f ca="1">IFERROR(__xludf.DUMMYFUNCTION("""COMPUTED_VALUE"""),20195)</f>
        <v>20195</v>
      </c>
      <c r="E74" s="5">
        <f ca="1">IFERROR(__xludf.DUMMYFUNCTION("""COMPUTED_VALUE"""),0.3128)</f>
        <v>0.31280000000000002</v>
      </c>
      <c r="F74" s="9">
        <f ca="1">IFERROR(__xludf.DUMMYFUNCTION("""COMPUTED_VALUE"""),12022)</f>
        <v>12022</v>
      </c>
      <c r="G74" s="5">
        <f ca="1">IFERROR(__xludf.DUMMYFUNCTION("""COMPUTED_VALUE"""),0.1862)</f>
        <v>0.1862</v>
      </c>
      <c r="H74" s="9">
        <f ca="1">IFERROR(__xludf.DUMMYFUNCTION("""COMPUTED_VALUE"""),1072)</f>
        <v>1072</v>
      </c>
      <c r="I74" s="9">
        <f ca="1">IFERROR(__xludf.DUMMYFUNCTION("""COMPUTED_VALUE"""),13094)</f>
        <v>13094</v>
      </c>
      <c r="J74" s="9">
        <f ca="1">IFERROR(__xludf.DUMMYFUNCTION("""COMPUTED_VALUE"""),12446)</f>
        <v>12446</v>
      </c>
      <c r="K74" s="4">
        <f ca="1">IFERROR(__xludf.DUMMYFUNCTION("""COMPUTED_VALUE"""),0.48)</f>
        <v>0.48</v>
      </c>
    </row>
    <row r="75" spans="1:11" ht="12.5">
      <c r="A75" s="4" t="str">
        <f ca="1">IFERROR(__xludf.DUMMYFUNCTION("""COMPUTED_VALUE"""),"97.3Q")</f>
        <v>97.3Q</v>
      </c>
      <c r="B75" s="9">
        <f ca="1">IFERROR(__xludf.DUMMYFUNCTION("""COMPUTED_VALUE"""),92979)</f>
        <v>92979</v>
      </c>
      <c r="C75" s="9">
        <f ca="1">IFERROR(__xludf.DUMMYFUNCTION("""COMPUTED_VALUE"""),49885)</f>
        <v>49885</v>
      </c>
      <c r="D75" s="9">
        <f ca="1">IFERROR(__xludf.DUMMYFUNCTION("""COMPUTED_VALUE"""),43094)</f>
        <v>43094</v>
      </c>
      <c r="E75" s="5">
        <f ca="1">IFERROR(__xludf.DUMMYFUNCTION("""COMPUTED_VALUE"""),0.4635)</f>
        <v>0.46350000000000002</v>
      </c>
      <c r="F75" s="9">
        <f ca="1">IFERROR(__xludf.DUMMYFUNCTION("""COMPUTED_VALUE"""),32917)</f>
        <v>32917</v>
      </c>
      <c r="G75" s="5">
        <f ca="1">IFERROR(__xludf.DUMMYFUNCTION("""COMPUTED_VALUE"""),0.354)</f>
        <v>0.35399999999999998</v>
      </c>
      <c r="H75" s="9">
        <f ca="1">IFERROR(__xludf.DUMMYFUNCTION("""COMPUTED_VALUE"""),1513)</f>
        <v>1513</v>
      </c>
      <c r="I75" s="9">
        <f ca="1">IFERROR(__xludf.DUMMYFUNCTION("""COMPUTED_VALUE"""),34430)</f>
        <v>34430</v>
      </c>
      <c r="J75" s="9">
        <f ca="1">IFERROR(__xludf.DUMMYFUNCTION("""COMPUTED_VALUE"""),30574)</f>
        <v>30574</v>
      </c>
      <c r="K75" s="4">
        <f ca="1">IFERROR(__xludf.DUMMYFUNCTION("""COMPUTED_VALUE"""),1.18)</f>
        <v>1.18</v>
      </c>
    </row>
    <row r="76" spans="1:11" ht="12.5">
      <c r="A76" s="4" t="str">
        <f ca="1">IFERROR(__xludf.DUMMYFUNCTION("""COMPUTED_VALUE"""),"97.2Q")</f>
        <v>97.2Q</v>
      </c>
      <c r="B76" s="9">
        <f ca="1">IFERROR(__xludf.DUMMYFUNCTION("""COMPUTED_VALUE"""),88137)</f>
        <v>88137</v>
      </c>
      <c r="C76" s="9">
        <f ca="1">IFERROR(__xludf.DUMMYFUNCTION("""COMPUTED_VALUE"""),47915)</f>
        <v>47915</v>
      </c>
      <c r="D76" s="9">
        <f ca="1">IFERROR(__xludf.DUMMYFUNCTION("""COMPUTED_VALUE"""),40221)</f>
        <v>40221</v>
      </c>
      <c r="E76" s="5">
        <f ca="1">IFERROR(__xludf.DUMMYFUNCTION("""COMPUTED_VALUE"""),0.4564)</f>
        <v>0.45639999999999997</v>
      </c>
      <c r="F76" s="9">
        <f ca="1">IFERROR(__xludf.DUMMYFUNCTION("""COMPUTED_VALUE"""),30373)</f>
        <v>30373</v>
      </c>
      <c r="G76" s="5">
        <f ca="1">IFERROR(__xludf.DUMMYFUNCTION("""COMPUTED_VALUE"""),0.3446)</f>
        <v>0.34460000000000002</v>
      </c>
      <c r="H76" s="9">
        <f ca="1">IFERROR(__xludf.DUMMYFUNCTION("""COMPUTED_VALUE"""),2004)</f>
        <v>2004</v>
      </c>
      <c r="I76" s="9">
        <f ca="1">IFERROR(__xludf.DUMMYFUNCTION("""COMPUTED_VALUE"""),32377)</f>
        <v>32377</v>
      </c>
      <c r="J76" s="9">
        <f ca="1">IFERROR(__xludf.DUMMYFUNCTION("""COMPUTED_VALUE"""),28771)</f>
        <v>28771</v>
      </c>
      <c r="K76" s="4">
        <f ca="1">IFERROR(__xludf.DUMMYFUNCTION("""COMPUTED_VALUE"""),1.12)</f>
        <v>1.1200000000000001</v>
      </c>
    </row>
    <row r="77" spans="1:11" ht="12.5">
      <c r="A77" s="4" t="str">
        <f ca="1">IFERROR(__xludf.DUMMYFUNCTION("""COMPUTED_VALUE"""),"97.1Q")</f>
        <v>97.1Q</v>
      </c>
      <c r="B77" s="9">
        <f ca="1">IFERROR(__xludf.DUMMYFUNCTION("""COMPUTED_VALUE"""),87480)</f>
        <v>87480</v>
      </c>
      <c r="C77" s="9">
        <f ca="1">IFERROR(__xludf.DUMMYFUNCTION("""COMPUTED_VALUE"""),49241)</f>
        <v>49241</v>
      </c>
      <c r="D77" s="9">
        <f ca="1">IFERROR(__xludf.DUMMYFUNCTION("""COMPUTED_VALUE"""),38239)</f>
        <v>38239</v>
      </c>
      <c r="E77" s="5">
        <f ca="1">IFERROR(__xludf.DUMMYFUNCTION("""COMPUTED_VALUE"""),0.4371)</f>
        <v>0.43709999999999999</v>
      </c>
      <c r="F77" s="9">
        <f ca="1">IFERROR(__xludf.DUMMYFUNCTION("""COMPUTED_VALUE"""),29123)</f>
        <v>29123</v>
      </c>
      <c r="G77" s="5">
        <f ca="1">IFERROR(__xludf.DUMMYFUNCTION("""COMPUTED_VALUE"""),0.3329)</f>
        <v>0.33289999999999997</v>
      </c>
      <c r="H77" s="9">
        <f ca="1">IFERROR(__xludf.DUMMYFUNCTION("""COMPUTED_VALUE"""),2449)</f>
        <v>2449</v>
      </c>
      <c r="I77" s="9">
        <f ca="1">IFERROR(__xludf.DUMMYFUNCTION("""COMPUTED_VALUE"""),31572)</f>
        <v>31572</v>
      </c>
      <c r="J77" s="9">
        <f ca="1">IFERROR(__xludf.DUMMYFUNCTION("""COMPUTED_VALUE"""),28143)</f>
        <v>28143</v>
      </c>
      <c r="K77" s="4">
        <f ca="1">IFERROR(__xludf.DUMMYFUNCTION("""COMPUTED_VALUE"""),1.1)</f>
        <v>1.1000000000000001</v>
      </c>
    </row>
    <row r="78" spans="1:11" ht="12.5">
      <c r="A78" s="4" t="str">
        <f ca="1">IFERROR(__xludf.DUMMYFUNCTION("""COMPUTED_VALUE"""),"96.4Q")</f>
        <v>96.4Q</v>
      </c>
      <c r="B78" s="9">
        <f ca="1">IFERROR(__xludf.DUMMYFUNCTION("""COMPUTED_VALUE"""),93860)</f>
        <v>93860</v>
      </c>
      <c r="C78" s="9">
        <f ca="1">IFERROR(__xludf.DUMMYFUNCTION("""COMPUTED_VALUE"""),49024)</f>
        <v>49024</v>
      </c>
      <c r="D78" s="9">
        <f ca="1">IFERROR(__xludf.DUMMYFUNCTION("""COMPUTED_VALUE"""),44836)</f>
        <v>44836</v>
      </c>
      <c r="E78" s="5">
        <f ca="1">IFERROR(__xludf.DUMMYFUNCTION("""COMPUTED_VALUE"""),0.4777)</f>
        <v>0.47770000000000001</v>
      </c>
      <c r="F78" s="9">
        <f ca="1">IFERROR(__xludf.DUMMYFUNCTION("""COMPUTED_VALUE"""),36758)</f>
        <v>36758</v>
      </c>
      <c r="G78" s="5">
        <f ca="1">IFERROR(__xludf.DUMMYFUNCTION("""COMPUTED_VALUE"""),0.3916)</f>
        <v>0.3916</v>
      </c>
      <c r="H78" s="4"/>
      <c r="I78" s="9">
        <f ca="1">IFERROR(__xludf.DUMMYFUNCTION("""COMPUTED_VALUE"""),39332)</f>
        <v>39332</v>
      </c>
      <c r="J78" s="9">
        <f ca="1">IFERROR(__xludf.DUMMYFUNCTION("""COMPUTED_VALUE"""),34485)</f>
        <v>34485</v>
      </c>
      <c r="K78" s="4">
        <f ca="1">IFERROR(__xludf.DUMMYFUNCTION("""COMPUTED_VALUE"""),1.31)</f>
        <v>1.31</v>
      </c>
    </row>
    <row r="79" spans="1:11" ht="12.5">
      <c r="A79" s="4" t="str">
        <f ca="1">IFERROR(__xludf.DUMMYFUNCTION("""COMPUTED_VALUE"""),"96.3Q")</f>
        <v>96.3Q</v>
      </c>
      <c r="B79" s="9">
        <f ca="1">IFERROR(__xludf.DUMMYFUNCTION("""COMPUTED_VALUE"""),88955)</f>
        <v>88955</v>
      </c>
      <c r="C79" s="9">
        <f ca="1">IFERROR(__xludf.DUMMYFUNCTION("""COMPUTED_VALUE"""),48231)</f>
        <v>48231</v>
      </c>
      <c r="D79" s="9">
        <f ca="1">IFERROR(__xludf.DUMMYFUNCTION("""COMPUTED_VALUE"""),40724)</f>
        <v>40724</v>
      </c>
      <c r="E79" s="5">
        <f ca="1">IFERROR(__xludf.DUMMYFUNCTION("""COMPUTED_VALUE"""),0.4578)</f>
        <v>0.45779999999999998</v>
      </c>
      <c r="F79" s="9">
        <f ca="1">IFERROR(__xludf.DUMMYFUNCTION("""COMPUTED_VALUE"""),32353)</f>
        <v>32353</v>
      </c>
      <c r="G79" s="5">
        <f ca="1">IFERROR(__xludf.DUMMYFUNCTION("""COMPUTED_VALUE"""),0.3637)</f>
        <v>0.36370000000000002</v>
      </c>
      <c r="H79" s="4"/>
      <c r="I79" s="9">
        <f ca="1">IFERROR(__xludf.DUMMYFUNCTION("""COMPUTED_VALUE"""),34218)</f>
        <v>34218</v>
      </c>
      <c r="J79" s="9">
        <f ca="1">IFERROR(__xludf.DUMMYFUNCTION("""COMPUTED_VALUE"""),30370)</f>
        <v>30370</v>
      </c>
      <c r="K79" s="4">
        <f ca="1">IFERROR(__xludf.DUMMYFUNCTION("""COMPUTED_VALUE"""),1.15)</f>
        <v>1.1499999999999999</v>
      </c>
    </row>
    <row r="80" spans="1:11" ht="12.5">
      <c r="A80" s="4" t="str">
        <f ca="1">IFERROR(__xludf.DUMMYFUNCTION("""COMPUTED_VALUE"""),"96.2Q")</f>
        <v>96.2Q</v>
      </c>
      <c r="B80" s="9">
        <f ca="1">IFERROR(__xludf.DUMMYFUNCTION("""COMPUTED_VALUE"""),74918)</f>
        <v>74918</v>
      </c>
      <c r="C80" s="9">
        <f ca="1">IFERROR(__xludf.DUMMYFUNCTION("""COMPUTED_VALUE"""),42738)</f>
        <v>42738</v>
      </c>
      <c r="D80" s="9">
        <f ca="1">IFERROR(__xludf.DUMMYFUNCTION("""COMPUTED_VALUE"""),32180)</f>
        <v>32180</v>
      </c>
      <c r="E80" s="5">
        <f ca="1">IFERROR(__xludf.DUMMYFUNCTION("""COMPUTED_VALUE"""),0.4295)</f>
        <v>0.42949999999999999</v>
      </c>
      <c r="F80" s="9">
        <f ca="1">IFERROR(__xludf.DUMMYFUNCTION("""COMPUTED_VALUE"""),24734)</f>
        <v>24734</v>
      </c>
      <c r="G80" s="5">
        <f ca="1">IFERROR(__xludf.DUMMYFUNCTION("""COMPUTED_VALUE"""),0.3301)</f>
        <v>0.3301</v>
      </c>
      <c r="H80" s="4"/>
      <c r="I80" s="9">
        <f ca="1">IFERROR(__xludf.DUMMYFUNCTION("""COMPUTED_VALUE"""),28024)</f>
        <v>28024</v>
      </c>
      <c r="J80" s="9">
        <f ca="1">IFERROR(__xludf.DUMMYFUNCTION("""COMPUTED_VALUE"""),25484)</f>
        <v>25484</v>
      </c>
      <c r="K80" s="4">
        <f ca="1">IFERROR(__xludf.DUMMYFUNCTION("""COMPUTED_VALUE"""),0.97)</f>
        <v>0.97</v>
      </c>
    </row>
    <row r="81" spans="1:11" ht="12.5">
      <c r="A81" s="4" t="str">
        <f ca="1">IFERROR(__xludf.DUMMYFUNCTION("""COMPUTED_VALUE"""),"96.1Q")</f>
        <v>96.1Q</v>
      </c>
      <c r="B81" s="9">
        <f ca="1">IFERROR(__xludf.DUMMYFUNCTION("""COMPUTED_VALUE"""),64897)</f>
        <v>64897</v>
      </c>
      <c r="C81" s="9">
        <f ca="1">IFERROR(__xludf.DUMMYFUNCTION("""COMPUTED_VALUE"""),40287)</f>
        <v>40287</v>
      </c>
      <c r="D81" s="9">
        <f ca="1">IFERROR(__xludf.DUMMYFUNCTION("""COMPUTED_VALUE"""),24610)</f>
        <v>24610</v>
      </c>
      <c r="E81" s="5">
        <f ca="1">IFERROR(__xludf.DUMMYFUNCTION("""COMPUTED_VALUE"""),0.3792)</f>
        <v>0.37919999999999998</v>
      </c>
      <c r="F81" s="9">
        <f ca="1">IFERROR(__xludf.DUMMYFUNCTION("""COMPUTED_VALUE"""),17877)</f>
        <v>17877</v>
      </c>
      <c r="G81" s="5">
        <f ca="1">IFERROR(__xludf.DUMMYFUNCTION("""COMPUTED_VALUE"""),0.2755)</f>
        <v>0.27550000000000002</v>
      </c>
      <c r="H81" s="4"/>
      <c r="I81" s="9">
        <f ca="1">IFERROR(__xludf.DUMMYFUNCTION("""COMPUTED_VALUE"""),20068)</f>
        <v>20068</v>
      </c>
      <c r="J81" s="9">
        <f ca="1">IFERROR(__xludf.DUMMYFUNCTION("""COMPUTED_VALUE"""),18839)</f>
        <v>18839</v>
      </c>
      <c r="K81" s="4">
        <f ca="1">IFERROR(__xludf.DUMMYFUNCTION("""COMPUTED_VALUE"""),0.73)</f>
        <v>0.73</v>
      </c>
    </row>
    <row r="82" spans="1:11" ht="12.5">
      <c r="A82" s="4" t="str">
        <f ca="1">IFERROR(__xludf.DUMMYFUNCTION("""COMPUTED_VALUE"""),"95.4Q")</f>
        <v>95.4Q</v>
      </c>
      <c r="B82" s="9">
        <f ca="1">IFERROR(__xludf.DUMMYFUNCTION("""COMPUTED_VALUE"""),74963)</f>
        <v>74963</v>
      </c>
      <c r="C82" s="9">
        <f ca="1">IFERROR(__xludf.DUMMYFUNCTION("""COMPUTED_VALUE"""),40510)</f>
        <v>40510</v>
      </c>
      <c r="D82" s="9">
        <f ca="1">IFERROR(__xludf.DUMMYFUNCTION("""COMPUTED_VALUE"""),34453)</f>
        <v>34453</v>
      </c>
      <c r="E82" s="5">
        <f ca="1">IFERROR(__xludf.DUMMYFUNCTION("""COMPUTED_VALUE"""),0.4596)</f>
        <v>0.45960000000000001</v>
      </c>
      <c r="F82" s="9">
        <f ca="1">IFERROR(__xludf.DUMMYFUNCTION("""COMPUTED_VALUE"""),27408)</f>
        <v>27408</v>
      </c>
      <c r="G82" s="5">
        <f ca="1">IFERROR(__xludf.DUMMYFUNCTION("""COMPUTED_VALUE"""),0.3656)</f>
        <v>0.36559999999999998</v>
      </c>
      <c r="H82" s="4"/>
      <c r="I82" s="9">
        <f ca="1">IFERROR(__xludf.DUMMYFUNCTION("""COMPUTED_VALUE"""),29508)</f>
        <v>29508</v>
      </c>
      <c r="J82" s="9">
        <f ca="1">IFERROR(__xludf.DUMMYFUNCTION("""COMPUTED_VALUE"""),27912)</f>
        <v>27912</v>
      </c>
      <c r="K82" s="4">
        <f ca="1">IFERROR(__xludf.DUMMYFUNCTION("""COMPUTED_VALUE"""),1.08)</f>
        <v>1.08</v>
      </c>
    </row>
    <row r="83" spans="1:11" ht="12.5">
      <c r="A83" s="4" t="str">
        <f ca="1">IFERROR(__xludf.DUMMYFUNCTION("""COMPUTED_VALUE"""),"95.3Q")</f>
        <v>95.3Q</v>
      </c>
      <c r="B83" s="9">
        <f ca="1">IFERROR(__xludf.DUMMYFUNCTION("""COMPUTED_VALUE"""),82476)</f>
        <v>82476</v>
      </c>
      <c r="C83" s="9">
        <f ca="1">IFERROR(__xludf.DUMMYFUNCTION("""COMPUTED_VALUE"""),41344)</f>
        <v>41344</v>
      </c>
      <c r="D83" s="9">
        <f ca="1">IFERROR(__xludf.DUMMYFUNCTION("""COMPUTED_VALUE"""),41132)</f>
        <v>41132</v>
      </c>
      <c r="E83" s="5">
        <f ca="1">IFERROR(__xludf.DUMMYFUNCTION("""COMPUTED_VALUE"""),0.4987)</f>
        <v>0.49869999999999998</v>
      </c>
      <c r="F83" s="9">
        <f ca="1">IFERROR(__xludf.DUMMYFUNCTION("""COMPUTED_VALUE"""),33632)</f>
        <v>33632</v>
      </c>
      <c r="G83" s="5">
        <f ca="1">IFERROR(__xludf.DUMMYFUNCTION("""COMPUTED_VALUE"""),0.4078)</f>
        <v>0.4078</v>
      </c>
      <c r="H83" s="4"/>
      <c r="I83" s="9">
        <f ca="1">IFERROR(__xludf.DUMMYFUNCTION("""COMPUTED_VALUE"""),34663)</f>
        <v>34663</v>
      </c>
      <c r="J83" s="9">
        <f ca="1">IFERROR(__xludf.DUMMYFUNCTION("""COMPUTED_VALUE"""),32489)</f>
        <v>32489</v>
      </c>
      <c r="K83" s="4">
        <f ca="1">IFERROR(__xludf.DUMMYFUNCTION("""COMPUTED_VALUE"""),1.26)</f>
        <v>1.26</v>
      </c>
    </row>
    <row r="84" spans="1:11" ht="12.5">
      <c r="A84" s="4" t="str">
        <f ca="1">IFERROR(__xludf.DUMMYFUNCTION("""COMPUTED_VALUE"""),"95.2Q")</f>
        <v>95.2Q</v>
      </c>
      <c r="B84" s="9">
        <f ca="1">IFERROR(__xludf.DUMMYFUNCTION("""COMPUTED_VALUE"""),82118)</f>
        <v>82118</v>
      </c>
      <c r="C84" s="9">
        <f ca="1">IFERROR(__xludf.DUMMYFUNCTION("""COMPUTED_VALUE"""),39619)</f>
        <v>39619</v>
      </c>
      <c r="D84" s="9">
        <f ca="1">IFERROR(__xludf.DUMMYFUNCTION("""COMPUTED_VALUE"""),42498)</f>
        <v>42498</v>
      </c>
      <c r="E84" s="5">
        <f ca="1">IFERROR(__xludf.DUMMYFUNCTION("""COMPUTED_VALUE"""),0.5175)</f>
        <v>0.51749999999999996</v>
      </c>
      <c r="F84" s="9">
        <f ca="1">IFERROR(__xludf.DUMMYFUNCTION("""COMPUTED_VALUE"""),35323)</f>
        <v>35323</v>
      </c>
      <c r="G84" s="5">
        <f ca="1">IFERROR(__xludf.DUMMYFUNCTION("""COMPUTED_VALUE"""),0.4301)</f>
        <v>0.43009999999999998</v>
      </c>
      <c r="H84" s="4"/>
      <c r="I84" s="9">
        <f ca="1">IFERROR(__xludf.DUMMYFUNCTION("""COMPUTED_VALUE"""),36272)</f>
        <v>36272</v>
      </c>
      <c r="J84" s="9">
        <f ca="1">IFERROR(__xludf.DUMMYFUNCTION("""COMPUTED_VALUE"""),34002)</f>
        <v>34002</v>
      </c>
      <c r="K84" s="4">
        <f ca="1">IFERROR(__xludf.DUMMYFUNCTION("""COMPUTED_VALUE"""),1.32)</f>
        <v>1.32</v>
      </c>
    </row>
    <row r="85" spans="1:11" ht="12.5">
      <c r="A85" s="4" t="str">
        <f ca="1">IFERROR(__xludf.DUMMYFUNCTION("""COMPUTED_VALUE"""),"95.1Q")</f>
        <v>95.1Q</v>
      </c>
      <c r="B85" s="9">
        <f ca="1">IFERROR(__xludf.DUMMYFUNCTION("""COMPUTED_VALUE"""),77850)</f>
        <v>77850</v>
      </c>
      <c r="C85" s="9">
        <f ca="1">IFERROR(__xludf.DUMMYFUNCTION("""COMPUTED_VALUE"""),40124)</f>
        <v>40124</v>
      </c>
      <c r="D85" s="9">
        <f ca="1">IFERROR(__xludf.DUMMYFUNCTION("""COMPUTED_VALUE"""),37727)</f>
        <v>37727</v>
      </c>
      <c r="E85" s="5">
        <f ca="1">IFERROR(__xludf.DUMMYFUNCTION("""COMPUTED_VALUE"""),0.4846)</f>
        <v>0.48459999999999998</v>
      </c>
      <c r="F85" s="9">
        <f ca="1">IFERROR(__xludf.DUMMYFUNCTION("""COMPUTED_VALUE"""),30902)</f>
        <v>30902</v>
      </c>
      <c r="G85" s="5">
        <f ca="1">IFERROR(__xludf.DUMMYFUNCTION("""COMPUTED_VALUE"""),0.3969)</f>
        <v>0.39689999999999998</v>
      </c>
      <c r="H85" s="4"/>
      <c r="I85" s="9">
        <f ca="1">IFERROR(__xludf.DUMMYFUNCTION("""COMPUTED_VALUE"""),32919)</f>
        <v>32919</v>
      </c>
      <c r="J85" s="9">
        <f ca="1">IFERROR(__xludf.DUMMYFUNCTION("""COMPUTED_VALUE"""),32607)</f>
        <v>32607</v>
      </c>
      <c r="K85" s="4">
        <f ca="1">IFERROR(__xludf.DUMMYFUNCTION("""COMPUTED_VALUE"""),1.32)</f>
        <v>1.32</v>
      </c>
    </row>
    <row r="86" spans="1:11" ht="12.5">
      <c r="A86" s="4" t="str">
        <f ca="1">IFERROR(__xludf.DUMMYFUNCTION("""COMPUTED_VALUE"""),"94.4Q")</f>
        <v>94.4Q</v>
      </c>
      <c r="B86" s="9">
        <f ca="1">IFERROR(__xludf.DUMMYFUNCTION("""COMPUTED_VALUE"""),79228)</f>
        <v>79228</v>
      </c>
      <c r="C86" s="9">
        <f ca="1">IFERROR(__xludf.DUMMYFUNCTION("""COMPUTED_VALUE"""),37914)</f>
        <v>37914</v>
      </c>
      <c r="D86" s="9">
        <f ca="1">IFERROR(__xludf.DUMMYFUNCTION("""COMPUTED_VALUE"""),41314)</f>
        <v>41314</v>
      </c>
      <c r="E86" s="5">
        <f ca="1">IFERROR(__xludf.DUMMYFUNCTION("""COMPUTED_VALUE"""),0.5215)</f>
        <v>0.52149999999999996</v>
      </c>
      <c r="F86" s="9">
        <f ca="1">IFERROR(__xludf.DUMMYFUNCTION("""COMPUTED_VALUE"""),34410)</f>
        <v>34410</v>
      </c>
      <c r="G86" s="5">
        <f ca="1">IFERROR(__xludf.DUMMYFUNCTION("""COMPUTED_VALUE"""),0.4343)</f>
        <v>0.43430000000000002</v>
      </c>
      <c r="H86" s="4"/>
      <c r="I86" s="9">
        <f ca="1">IFERROR(__xludf.DUMMYFUNCTION("""COMPUTED_VALUE"""),35588)</f>
        <v>35588</v>
      </c>
      <c r="J86" s="9">
        <f ca="1">IFERROR(__xludf.DUMMYFUNCTION("""COMPUTED_VALUE"""),33900)</f>
        <v>33900</v>
      </c>
      <c r="K86" s="4">
        <f ca="1">IFERROR(__xludf.DUMMYFUNCTION("""COMPUTED_VALUE"""),1.37)</f>
        <v>1.37</v>
      </c>
    </row>
    <row r="87" spans="1:11" ht="12.5">
      <c r="A87" s="4" t="str">
        <f ca="1">IFERROR(__xludf.DUMMYFUNCTION("""COMPUTED_VALUE"""),"94.3Q")</f>
        <v>94.3Q</v>
      </c>
      <c r="B87" s="9">
        <f ca="1">IFERROR(__xludf.DUMMYFUNCTION("""COMPUTED_VALUE"""),70501)</f>
        <v>70501</v>
      </c>
      <c r="C87" s="9">
        <f ca="1">IFERROR(__xludf.DUMMYFUNCTION("""COMPUTED_VALUE"""),39544)</f>
        <v>39544</v>
      </c>
      <c r="D87" s="9">
        <f ca="1">IFERROR(__xludf.DUMMYFUNCTION("""COMPUTED_VALUE"""),30957)</f>
        <v>30957</v>
      </c>
      <c r="E87" s="5">
        <f ca="1">IFERROR(__xludf.DUMMYFUNCTION("""COMPUTED_VALUE"""),0.4391)</f>
        <v>0.43909999999999999</v>
      </c>
      <c r="F87" s="9">
        <f ca="1">IFERROR(__xludf.DUMMYFUNCTION("""COMPUTED_VALUE"""),24177)</f>
        <v>24177</v>
      </c>
      <c r="G87" s="5">
        <f ca="1">IFERROR(__xludf.DUMMYFUNCTION("""COMPUTED_VALUE"""),0.3429)</f>
        <v>0.34289999999999998</v>
      </c>
      <c r="H87" s="4"/>
      <c r="I87" s="9">
        <f ca="1">IFERROR(__xludf.DUMMYFUNCTION("""COMPUTED_VALUE"""),24467)</f>
        <v>24467</v>
      </c>
      <c r="J87" s="9">
        <f ca="1">IFERROR(__xludf.DUMMYFUNCTION("""COMPUTED_VALUE"""),24488)</f>
        <v>24488</v>
      </c>
      <c r="K87" s="4">
        <f ca="1">IFERROR(__xludf.DUMMYFUNCTION("""COMPUTED_VALUE"""),0.99)</f>
        <v>0.99</v>
      </c>
    </row>
    <row r="101" spans="1:5" ht="12.5">
      <c r="A101" s="4" t="str">
        <f ca="1">IFERROR(__xludf.DUMMYFUNCTION("IMPORTHTML(SUBSTITUTE(""https://histock.tw/stock/股票代碼/%E5%88%A9%E6%BD%A4%E6%AF%94%E7%8E%87"", ""股票代碼"",'股價預估'!E1),""table"",0)"),"年度/季別")</f>
        <v>年度/季別</v>
      </c>
      <c r="B101" s="4" t="str">
        <f ca="1">IFERROR(__xludf.DUMMYFUNCTION("""COMPUTED_VALUE"""),"毛利率")</f>
        <v>毛利率</v>
      </c>
      <c r="C101" s="4" t="str">
        <f ca="1">IFERROR(__xludf.DUMMYFUNCTION("""COMPUTED_VALUE"""),"營業利益率")</f>
        <v>營業利益率</v>
      </c>
      <c r="D101" s="4" t="str">
        <f ca="1">IFERROR(__xludf.DUMMYFUNCTION("""COMPUTED_VALUE"""),"稅前淨利率")</f>
        <v>稅前淨利率</v>
      </c>
      <c r="E101" s="4" t="str">
        <f ca="1">IFERROR(__xludf.DUMMYFUNCTION("""COMPUTED_VALUE"""),"稅後淨利率")</f>
        <v>稅後淨利率</v>
      </c>
    </row>
    <row r="102" spans="1:5" ht="12.5">
      <c r="A102" s="4" t="str">
        <f ca="1">IFERROR(__xludf.DUMMYFUNCTION("""COMPUTED_VALUE"""),"2026Q1")</f>
        <v>2026Q1</v>
      </c>
      <c r="B102" s="5">
        <f ca="1">IFERROR(__xludf.DUMMYFUNCTION("""COMPUTED_VALUE"""),0.6625)</f>
        <v>0.66249999999999998</v>
      </c>
      <c r="C102" s="5">
        <f ca="1">IFERROR(__xludf.DUMMYFUNCTION("""COMPUTED_VALUE"""),0.581)</f>
        <v>0.58099999999999996</v>
      </c>
      <c r="D102" s="5">
        <f ca="1">IFERROR(__xludf.DUMMYFUNCTION("""COMPUTED_VALUE"""),0.6065)</f>
        <v>0.60650000000000004</v>
      </c>
      <c r="E102" s="5">
        <f ca="1">IFERROR(__xludf.DUMMYFUNCTION("""COMPUTED_VALUE"""),0.5051)</f>
        <v>0.50509999999999999</v>
      </c>
    </row>
    <row r="103" spans="1:5" ht="12.5">
      <c r="A103" s="4" t="str">
        <f ca="1">IFERROR(__xludf.DUMMYFUNCTION("""COMPUTED_VALUE"""),"2025Q4")</f>
        <v>2025Q4</v>
      </c>
      <c r="B103" s="5">
        <f ca="1">IFERROR(__xludf.DUMMYFUNCTION("""COMPUTED_VALUE"""),0.6233)</f>
        <v>0.62329999999999997</v>
      </c>
      <c r="C103" s="5">
        <f ca="1">IFERROR(__xludf.DUMMYFUNCTION("""COMPUTED_VALUE"""),0.54)</f>
        <v>0.54</v>
      </c>
      <c r="D103" s="5">
        <f ca="1">IFERROR(__xludf.DUMMYFUNCTION("""COMPUTED_VALUE"""),0.5663)</f>
        <v>0.56630000000000003</v>
      </c>
      <c r="E103" s="5">
        <f ca="1">IFERROR(__xludf.DUMMYFUNCTION("""COMPUTED_VALUE"""),0.4831)</f>
        <v>0.48309999999999997</v>
      </c>
    </row>
    <row r="104" spans="1:5" ht="12.5">
      <c r="A104" s="4" t="str">
        <f ca="1">IFERROR(__xludf.DUMMYFUNCTION("""COMPUTED_VALUE"""),"2025Q3")</f>
        <v>2025Q3</v>
      </c>
      <c r="B104" s="5">
        <f ca="1">IFERROR(__xludf.DUMMYFUNCTION("""COMPUTED_VALUE"""),0.5945)</f>
        <v>0.59450000000000003</v>
      </c>
      <c r="C104" s="5">
        <f ca="1">IFERROR(__xludf.DUMMYFUNCTION("""COMPUTED_VALUE"""),0.5058)</f>
        <v>0.50580000000000003</v>
      </c>
      <c r="D104" s="5">
        <f ca="1">IFERROR(__xludf.DUMMYFUNCTION("""COMPUTED_VALUE"""),0.5307)</f>
        <v>0.53069999999999995</v>
      </c>
      <c r="E104" s="5">
        <f ca="1">IFERROR(__xludf.DUMMYFUNCTION("""COMPUTED_VALUE"""),0.4564)</f>
        <v>0.45639999999999997</v>
      </c>
    </row>
    <row r="105" spans="1:5" ht="12.5">
      <c r="A105" s="4" t="str">
        <f ca="1">IFERROR(__xludf.DUMMYFUNCTION("""COMPUTED_VALUE"""),"2025Q2")</f>
        <v>2025Q2</v>
      </c>
      <c r="B105" s="5">
        <f ca="1">IFERROR(__xludf.DUMMYFUNCTION("""COMPUTED_VALUE"""),0.5862)</f>
        <v>0.58620000000000005</v>
      </c>
      <c r="C105" s="5">
        <f ca="1">IFERROR(__xludf.DUMMYFUNCTION("""COMPUTED_VALUE"""),0.4963)</f>
        <v>0.49630000000000002</v>
      </c>
      <c r="D105" s="5">
        <f ca="1">IFERROR(__xludf.DUMMYFUNCTION("""COMPUTED_VALUE"""),0.528)</f>
        <v>0.52800000000000002</v>
      </c>
      <c r="E105" s="5">
        <f ca="1">IFERROR(__xludf.DUMMYFUNCTION("""COMPUTED_VALUE"""),0.4257)</f>
        <v>0.42570000000000002</v>
      </c>
    </row>
    <row r="106" spans="1:5" ht="12.5">
      <c r="A106" s="4" t="str">
        <f ca="1">IFERROR(__xludf.DUMMYFUNCTION("""COMPUTED_VALUE"""),"2025Q1")</f>
        <v>2025Q1</v>
      </c>
      <c r="B106" s="5">
        <f ca="1">IFERROR(__xludf.DUMMYFUNCTION("""COMPUTED_VALUE"""),0.5879)</f>
        <v>0.58789999999999998</v>
      </c>
      <c r="C106" s="5">
        <f ca="1">IFERROR(__xludf.DUMMYFUNCTION("""COMPUTED_VALUE"""),0.4851)</f>
        <v>0.48509999999999998</v>
      </c>
      <c r="D106" s="5">
        <f ca="1">IFERROR(__xludf.DUMMYFUNCTION("""COMPUTED_VALUE"""),0.5134)</f>
        <v>0.51339999999999997</v>
      </c>
      <c r="E106" s="5">
        <f ca="1">IFERROR(__xludf.DUMMYFUNCTION("""COMPUTED_VALUE"""),0.4298)</f>
        <v>0.42980000000000002</v>
      </c>
    </row>
    <row r="107" spans="1:5" ht="12.5">
      <c r="A107" s="4" t="str">
        <f ca="1">IFERROR(__xludf.DUMMYFUNCTION("""COMPUTED_VALUE"""),"2024Q4")</f>
        <v>2024Q4</v>
      </c>
      <c r="B107" s="5">
        <f ca="1">IFERROR(__xludf.DUMMYFUNCTION("""COMPUTED_VALUE"""),0.59)</f>
        <v>0.59</v>
      </c>
      <c r="C107" s="5">
        <f ca="1">IFERROR(__xludf.DUMMYFUNCTION("""COMPUTED_VALUE"""),0.4902)</f>
        <v>0.49020000000000002</v>
      </c>
      <c r="D107" s="5">
        <f ca="1">IFERROR(__xludf.DUMMYFUNCTION("""COMPUTED_VALUE"""),0.5168)</f>
        <v>0.51680000000000004</v>
      </c>
      <c r="E107" s="5">
        <f ca="1">IFERROR(__xludf.DUMMYFUNCTION("""COMPUTED_VALUE"""),0.4312)</f>
        <v>0.43120000000000003</v>
      </c>
    </row>
    <row r="108" spans="1:5" ht="12.5">
      <c r="A108" s="4" t="str">
        <f ca="1">IFERROR(__xludf.DUMMYFUNCTION("""COMPUTED_VALUE"""),"2024Q3")</f>
        <v>2024Q3</v>
      </c>
      <c r="B108" s="5">
        <f ca="1">IFERROR(__xludf.DUMMYFUNCTION("""COMPUTED_VALUE"""),0.5783)</f>
        <v>0.57830000000000004</v>
      </c>
      <c r="C108" s="5">
        <f ca="1">IFERROR(__xludf.DUMMYFUNCTION("""COMPUTED_VALUE"""),0.4749)</f>
        <v>0.47489999999999999</v>
      </c>
      <c r="D108" s="5">
        <f ca="1">IFERROR(__xludf.DUMMYFUNCTION("""COMPUTED_VALUE"""),0.5057)</f>
        <v>0.50570000000000004</v>
      </c>
      <c r="E108" s="5">
        <f ca="1">IFERROR(__xludf.DUMMYFUNCTION("""COMPUTED_VALUE"""),0.4279)</f>
        <v>0.4279</v>
      </c>
    </row>
    <row r="109" spans="1:5" ht="12.5">
      <c r="A109" s="4" t="str">
        <f ca="1">IFERROR(__xludf.DUMMYFUNCTION("""COMPUTED_VALUE"""),"2024Q2")</f>
        <v>2024Q2</v>
      </c>
      <c r="B109" s="5">
        <f ca="1">IFERROR(__xludf.DUMMYFUNCTION("""COMPUTED_VALUE"""),0.5317)</f>
        <v>0.53169999999999995</v>
      </c>
      <c r="C109" s="5">
        <f ca="1">IFERROR(__xludf.DUMMYFUNCTION("""COMPUTED_VALUE"""),0.4255)</f>
        <v>0.42549999999999999</v>
      </c>
      <c r="D109" s="5">
        <f ca="1">IFERROR(__xludf.DUMMYFUNCTION("""COMPUTED_VALUE"""),0.4548)</f>
        <v>0.45479999999999998</v>
      </c>
      <c r="E109" s="5">
        <f ca="1">IFERROR(__xludf.DUMMYFUNCTION("""COMPUTED_VALUE"""),0.3677)</f>
        <v>0.36770000000000003</v>
      </c>
    </row>
    <row r="110" spans="1:5" ht="12.5">
      <c r="A110" s="4" t="str">
        <f ca="1">IFERROR(__xludf.DUMMYFUNCTION("""COMPUTED_VALUE"""),"2024Q1")</f>
        <v>2024Q1</v>
      </c>
      <c r="B110" s="5">
        <f ca="1">IFERROR(__xludf.DUMMYFUNCTION("""COMPUTED_VALUE"""),0.5307)</f>
        <v>0.53069999999999995</v>
      </c>
      <c r="C110" s="5">
        <f ca="1">IFERROR(__xludf.DUMMYFUNCTION("""COMPUTED_VALUE"""),0.4202)</f>
        <v>0.42020000000000002</v>
      </c>
      <c r="D110" s="5">
        <f ca="1">IFERROR(__xludf.DUMMYFUNCTION("""COMPUTED_VALUE"""),0.4498)</f>
        <v>0.44979999999999998</v>
      </c>
      <c r="E110" s="5">
        <f ca="1">IFERROR(__xludf.DUMMYFUNCTION("""COMPUTED_VALUE"""),0.38)</f>
        <v>0.38</v>
      </c>
    </row>
    <row r="111" spans="1:5" ht="12.5">
      <c r="A111" s="4" t="str">
        <f ca="1">IFERROR(__xludf.DUMMYFUNCTION("""COMPUTED_VALUE"""),"2023Q4")</f>
        <v>2023Q4</v>
      </c>
      <c r="B111" s="5">
        <f ca="1">IFERROR(__xludf.DUMMYFUNCTION("""COMPUTED_VALUE"""),0.5304)</f>
        <v>0.53039999999999998</v>
      </c>
      <c r="C111" s="5">
        <f ca="1">IFERROR(__xludf.DUMMYFUNCTION("""COMPUTED_VALUE"""),0.416)</f>
        <v>0.41599999999999998</v>
      </c>
      <c r="D111" s="5">
        <f ca="1">IFERROR(__xludf.DUMMYFUNCTION("""COMPUTED_VALUE"""),0.4449)</f>
        <v>0.44490000000000002</v>
      </c>
      <c r="E111" s="5">
        <f ca="1">IFERROR(__xludf.DUMMYFUNCTION("""COMPUTED_VALUE"""),0.381)</f>
        <v>0.38100000000000001</v>
      </c>
    </row>
    <row r="112" spans="1:5" ht="12.5">
      <c r="A112" s="4" t="str">
        <f ca="1">IFERROR(__xludf.DUMMYFUNCTION("""COMPUTED_VALUE"""),"2023Q3")</f>
        <v>2023Q3</v>
      </c>
      <c r="B112" s="5">
        <f ca="1">IFERROR(__xludf.DUMMYFUNCTION("""COMPUTED_VALUE"""),0.5426)</f>
        <v>0.54259999999999997</v>
      </c>
      <c r="C112" s="5">
        <f ca="1">IFERROR(__xludf.DUMMYFUNCTION("""COMPUTED_VALUE"""),0.4171)</f>
        <v>0.41710000000000003</v>
      </c>
      <c r="D112" s="5">
        <f ca="1">IFERROR(__xludf.DUMMYFUNCTION("""COMPUTED_VALUE"""),0.4425)</f>
        <v>0.4425</v>
      </c>
      <c r="E112" s="5">
        <f ca="1">IFERROR(__xludf.DUMMYFUNCTION("""COMPUTED_VALUE"""),0.3856)</f>
        <v>0.3856</v>
      </c>
    </row>
    <row r="113" spans="1:5" ht="12.5">
      <c r="A113" s="4" t="str">
        <f ca="1">IFERROR(__xludf.DUMMYFUNCTION("""COMPUTED_VALUE"""),"2023Q2")</f>
        <v>2023Q2</v>
      </c>
      <c r="B113" s="5">
        <f ca="1">IFERROR(__xludf.DUMMYFUNCTION("""COMPUTED_VALUE"""),0.5411)</f>
        <v>0.54110000000000003</v>
      </c>
      <c r="C113" s="5">
        <f ca="1">IFERROR(__xludf.DUMMYFUNCTION("""COMPUTED_VALUE"""),0.42)</f>
        <v>0.42</v>
      </c>
      <c r="D113" s="5">
        <f ca="1">IFERROR(__xludf.DUMMYFUNCTION("""COMPUTED_VALUE"""),0.4465)</f>
        <v>0.44650000000000001</v>
      </c>
      <c r="E113" s="5">
        <f ca="1">IFERROR(__xludf.DUMMYFUNCTION("""COMPUTED_VALUE"""),0.3779)</f>
        <v>0.37790000000000001</v>
      </c>
    </row>
    <row r="114" spans="1:5" ht="12.5">
      <c r="A114" s="4" t="str">
        <f ca="1">IFERROR(__xludf.DUMMYFUNCTION("""COMPUTED_VALUE"""),"2023Q1")</f>
        <v>2023Q1</v>
      </c>
      <c r="B114" s="5">
        <f ca="1">IFERROR(__xludf.DUMMYFUNCTION("""COMPUTED_VALUE"""),0.5633)</f>
        <v>0.56330000000000002</v>
      </c>
      <c r="C114" s="5">
        <f ca="1">IFERROR(__xludf.DUMMYFUNCTION("""COMPUTED_VALUE"""),0.4546)</f>
        <v>0.4546</v>
      </c>
      <c r="D114" s="5">
        <f ca="1">IFERROR(__xludf.DUMMYFUNCTION("""COMPUTED_VALUE"""),0.4803)</f>
        <v>0.4803</v>
      </c>
      <c r="E114" s="5">
        <f ca="1">IFERROR(__xludf.DUMMYFUNCTION("""COMPUTED_VALUE"""),0.4069)</f>
        <v>0.40689999999999998</v>
      </c>
    </row>
    <row r="115" spans="1:5" ht="12.5">
      <c r="A115" s="4" t="str">
        <f ca="1">IFERROR(__xludf.DUMMYFUNCTION("""COMPUTED_VALUE"""),"2022Q4")</f>
        <v>2022Q4</v>
      </c>
      <c r="B115" s="5">
        <f ca="1">IFERROR(__xludf.DUMMYFUNCTION("""COMPUTED_VALUE"""),0.6222)</f>
        <v>0.62219999999999998</v>
      </c>
      <c r="C115" s="5">
        <f ca="1">IFERROR(__xludf.DUMMYFUNCTION("""COMPUTED_VALUE"""),0.5196)</f>
        <v>0.51959999999999995</v>
      </c>
      <c r="D115" s="5">
        <f ca="1">IFERROR(__xludf.DUMMYFUNCTION("""COMPUTED_VALUE"""),0.535)</f>
        <v>0.53500000000000003</v>
      </c>
      <c r="E115" s="5">
        <f ca="1">IFERROR(__xludf.DUMMYFUNCTION("""COMPUTED_VALUE"""),0.473)</f>
        <v>0.47299999999999998</v>
      </c>
    </row>
    <row r="116" spans="1:5" ht="12.5">
      <c r="A116" s="4" t="str">
        <f ca="1">IFERROR(__xludf.DUMMYFUNCTION("""COMPUTED_VALUE"""),"2022Q3")</f>
        <v>2022Q3</v>
      </c>
      <c r="B116" s="5">
        <f ca="1">IFERROR(__xludf.DUMMYFUNCTION("""COMPUTED_VALUE"""),0.6043)</f>
        <v>0.60429999999999995</v>
      </c>
      <c r="C116" s="5">
        <f ca="1">IFERROR(__xludf.DUMMYFUNCTION("""COMPUTED_VALUE"""),0.5061)</f>
        <v>0.50609999999999999</v>
      </c>
      <c r="D116" s="5">
        <f ca="1">IFERROR(__xludf.DUMMYFUNCTION("""COMPUTED_VALUE"""),0.5165)</f>
        <v>0.51649999999999996</v>
      </c>
      <c r="E116" s="5">
        <f ca="1">IFERROR(__xludf.DUMMYFUNCTION("""COMPUTED_VALUE"""),0.4582)</f>
        <v>0.4582</v>
      </c>
    </row>
    <row r="117" spans="1:5" ht="12.5">
      <c r="A117" s="4" t="str">
        <f ca="1">IFERROR(__xludf.DUMMYFUNCTION("""COMPUTED_VALUE"""),"2022Q2")</f>
        <v>2022Q2</v>
      </c>
      <c r="B117" s="5">
        <f ca="1">IFERROR(__xludf.DUMMYFUNCTION("""COMPUTED_VALUE"""),0.5906)</f>
        <v>0.59060000000000001</v>
      </c>
      <c r="C117" s="5">
        <f ca="1">IFERROR(__xludf.DUMMYFUNCTION("""COMPUTED_VALUE"""),0.4907)</f>
        <v>0.49070000000000003</v>
      </c>
      <c r="D117" s="5">
        <f ca="1">IFERROR(__xludf.DUMMYFUNCTION("""COMPUTED_VALUE"""),0.498)</f>
        <v>0.498</v>
      </c>
      <c r="E117" s="5">
        <f ca="1">IFERROR(__xludf.DUMMYFUNCTION("""COMPUTED_VALUE"""),0.444)</f>
        <v>0.44400000000000001</v>
      </c>
    </row>
    <row r="118" spans="1:5" ht="12.5">
      <c r="A118" s="4" t="str">
        <f ca="1">IFERROR(__xludf.DUMMYFUNCTION("""COMPUTED_VALUE"""),"2022Q1")</f>
        <v>2022Q1</v>
      </c>
      <c r="B118" s="5">
        <f ca="1">IFERROR(__xludf.DUMMYFUNCTION("""COMPUTED_VALUE"""),0.5563)</f>
        <v>0.55630000000000002</v>
      </c>
      <c r="C118" s="5">
        <f ca="1">IFERROR(__xludf.DUMMYFUNCTION("""COMPUTED_VALUE"""),0.4557)</f>
        <v>0.45569999999999999</v>
      </c>
      <c r="D118" s="5">
        <f ca="1">IFERROR(__xludf.DUMMYFUNCTION("""COMPUTED_VALUE"""),0.4619)</f>
        <v>0.46189999999999998</v>
      </c>
      <c r="E118" s="5">
        <f ca="1">IFERROR(__xludf.DUMMYFUNCTION("""COMPUTED_VALUE"""),0.4131)</f>
        <v>0.41310000000000002</v>
      </c>
    </row>
    <row r="119" spans="1:5" ht="12.5">
      <c r="A119" s="4" t="str">
        <f ca="1">IFERROR(__xludf.DUMMYFUNCTION("""COMPUTED_VALUE"""),"2021Q4")</f>
        <v>2021Q4</v>
      </c>
      <c r="B119" s="5">
        <f ca="1">IFERROR(__xludf.DUMMYFUNCTION("""COMPUTED_VALUE"""),0.5264)</f>
        <v>0.52639999999999998</v>
      </c>
      <c r="C119" s="5">
        <f ca="1">IFERROR(__xludf.DUMMYFUNCTION("""COMPUTED_VALUE"""),0.4171)</f>
        <v>0.41710000000000003</v>
      </c>
      <c r="D119" s="5">
        <f ca="1">IFERROR(__xludf.DUMMYFUNCTION("""COMPUTED_VALUE"""),0.4218)</f>
        <v>0.42180000000000001</v>
      </c>
      <c r="E119" s="5">
        <f ca="1">IFERROR(__xludf.DUMMYFUNCTION("""COMPUTED_VALUE"""),0.3797)</f>
        <v>0.37969999999999998</v>
      </c>
    </row>
    <row r="120" spans="1:5" ht="12.5">
      <c r="A120" s="4" t="str">
        <f ca="1">IFERROR(__xludf.DUMMYFUNCTION("""COMPUTED_VALUE"""),"2021Q3")</f>
        <v>2021Q3</v>
      </c>
      <c r="B120" s="5">
        <f ca="1">IFERROR(__xludf.DUMMYFUNCTION("""COMPUTED_VALUE"""),0.5133)</f>
        <v>0.51329999999999998</v>
      </c>
      <c r="C120" s="5">
        <f ca="1">IFERROR(__xludf.DUMMYFUNCTION("""COMPUTED_VALUE"""),0.4124)</f>
        <v>0.41239999999999999</v>
      </c>
      <c r="D120" s="5">
        <f ca="1">IFERROR(__xludf.DUMMYFUNCTION("""COMPUTED_VALUE"""),0.4193)</f>
        <v>0.41930000000000001</v>
      </c>
      <c r="E120" s="5">
        <f ca="1">IFERROR(__xludf.DUMMYFUNCTION("""COMPUTED_VALUE"""),0.3774)</f>
        <v>0.37740000000000001</v>
      </c>
    </row>
    <row r="121" spans="1:5" ht="12.5">
      <c r="A121" s="4" t="str">
        <f ca="1">IFERROR(__xludf.DUMMYFUNCTION("""COMPUTED_VALUE"""),"2021Q2")</f>
        <v>2021Q2</v>
      </c>
      <c r="B121" s="5">
        <f ca="1">IFERROR(__xludf.DUMMYFUNCTION("""COMPUTED_VALUE"""),0.5004)</f>
        <v>0.50039999999999996</v>
      </c>
      <c r="C121" s="5">
        <f ca="1">IFERROR(__xludf.DUMMYFUNCTION("""COMPUTED_VALUE"""),0.3914)</f>
        <v>0.39140000000000003</v>
      </c>
      <c r="D121" s="5">
        <f ca="1">IFERROR(__xludf.DUMMYFUNCTION("""COMPUTED_VALUE"""),0.4014)</f>
        <v>0.40139999999999998</v>
      </c>
      <c r="E121" s="5">
        <f ca="1">IFERROR(__xludf.DUMMYFUNCTION("""COMPUTED_VALUE"""),0.3614)</f>
        <v>0.3614</v>
      </c>
    </row>
    <row r="122" spans="1:5" ht="12.5">
      <c r="A122" s="4" t="str">
        <f ca="1">IFERROR(__xludf.DUMMYFUNCTION("""COMPUTED_VALUE"""),"2021Q1")</f>
        <v>2021Q1</v>
      </c>
      <c r="B122" s="5">
        <f ca="1">IFERROR(__xludf.DUMMYFUNCTION("""COMPUTED_VALUE"""),0.5236)</f>
        <v>0.52359999999999995</v>
      </c>
      <c r="C122" s="5">
        <f ca="1">IFERROR(__xludf.DUMMYFUNCTION("""COMPUTED_VALUE"""),0.4154)</f>
        <v>0.41539999999999999</v>
      </c>
      <c r="D122" s="5">
        <f ca="1">IFERROR(__xludf.DUMMYFUNCTION("""COMPUTED_VALUE"""),0.4279)</f>
        <v>0.4279</v>
      </c>
      <c r="E122" s="5">
        <f ca="1">IFERROR(__xludf.DUMMYFUNCTION("""COMPUTED_VALUE"""),0.3856)</f>
        <v>0.3856</v>
      </c>
    </row>
  </sheetData>
  <mergeCells count="1">
    <mergeCell ref="A1:C1"/>
  </mergeCells>
  <phoneticPr fontId="4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outlinePr summaryBelow="0" summaryRight="0"/>
  </sheetPr>
  <dimension ref="A1:Z182"/>
  <sheetViews>
    <sheetView workbookViewId="0">
      <pane ySplit="1" topLeftCell="A2" activePane="bottomLeft" state="frozen"/>
      <selection pane="bottomLeft" activeCell="F21" sqref="F21"/>
    </sheetView>
  </sheetViews>
  <sheetFormatPr defaultColWidth="12.6328125" defaultRowHeight="15.75" customHeight="1"/>
  <cols>
    <col min="1" max="1" width="21.81640625" customWidth="1"/>
    <col min="2" max="6" width="16.36328125" customWidth="1"/>
    <col min="7" max="7" width="27.26953125" customWidth="1"/>
    <col min="8" max="12" width="16.36328125" customWidth="1"/>
  </cols>
  <sheetData>
    <row r="1" spans="1:26" ht="15" thickTop="1">
      <c r="A1" s="355" t="s">
        <v>0</v>
      </c>
      <c r="B1" s="354" t="str">
        <f ca="1">K27</f>
        <v>1142025.Q3</v>
      </c>
      <c r="C1" s="354" t="str">
        <f ca="1">J27</f>
        <v>1142025.Q4</v>
      </c>
      <c r="D1" s="354" t="str">
        <f ca="1">I27</f>
        <v>1152026.Q1</v>
      </c>
      <c r="E1" s="354" t="str">
        <f ca="1">H27</f>
        <v>1152026.Q2</v>
      </c>
      <c r="F1" s="361" t="s">
        <v>1</v>
      </c>
      <c r="G1" s="351"/>
      <c r="H1" s="365" t="s">
        <v>2</v>
      </c>
      <c r="I1" s="331"/>
      <c r="J1" s="297"/>
      <c r="K1" s="367" t="s">
        <v>36</v>
      </c>
    </row>
    <row r="2" spans="1:26" ht="14.5">
      <c r="A2" s="356" t="s">
        <v>3</v>
      </c>
      <c r="B2" s="352">
        <f ca="1">IF(RIGHT(B$1,2)="Q1",VLOOKUP($A2,$G$25:$L$68,5,FALSE),VLOOKUP($A2,$G$25:$L$68,5,FALSE)-VLOOKUP($A2,$G$25:$L$68,6,FALSE))</f>
        <v>989918318</v>
      </c>
      <c r="C2" s="352">
        <f ca="1">IF(RIGHT(C$1,2)="Q1",VLOOKUP($A2,$G$25:$L$68,4,FALSE),VLOOKUP($A2,$G$25:$L$68,4,FALSE)-VLOOKUP($A2,$G$25:$L$68,5,FALSE))</f>
        <v>1046090421</v>
      </c>
      <c r="D2" s="352">
        <f ca="1">IF(RIGHT(D$1,2)="Q1",VLOOKUP($A2,$G$25:$L$68,3,FALSE),VLOOKUP($A2,$G$25:$L$68,3,FALSE)-VLOOKUP($A2,$G$25:$L$68,4,FALSE))</f>
        <v>1134103440</v>
      </c>
      <c r="E2" s="352">
        <f ca="1">IF(RIGHT(E$1,2)="Q1",VLOOKUP($A2,$G$25:$L$68,2,FALSE),VLOOKUP($A2,$G$25:$L$68,2,FALSE)-VLOOKUP($A2,$G$25:$L$68,3,FALSE))</f>
        <v>1270380250</v>
      </c>
      <c r="F2" s="369">
        <f ca="1">ROUND(E2/1000,0)</f>
        <v>1270380</v>
      </c>
      <c r="G2" s="1"/>
      <c r="H2" s="371">
        <f ca="1">ROUND(AVERAGEIF(B2:E2,"&gt;0")/1000,0)</f>
        <v>1110123</v>
      </c>
      <c r="I2" s="372"/>
      <c r="J2" s="270"/>
      <c r="K2" s="373"/>
    </row>
    <row r="3" spans="1:26" ht="14.5">
      <c r="A3" s="356" t="s">
        <v>14</v>
      </c>
      <c r="B3" s="352">
        <f t="shared" ref="B3:B9" ca="1" si="0">IF(RIGHT(B$1,2)="Q1",VLOOKUP($A3,$G$25:$L$68,5,FALSE),VLOOKUP($A3,$G$25:$L$68,5,FALSE)-VLOOKUP($A3,$G$25:$L$68,6,FALSE))</f>
        <v>588542829</v>
      </c>
      <c r="C3" s="352">
        <f t="shared" ref="C3:C9" ca="1" si="1">IF(RIGHT(C$1,2)="Q1",VLOOKUP($A3,$G$25:$L$68,4,FALSE),VLOOKUP($A3,$G$25:$L$68,4,FALSE)-VLOOKUP($A3,$G$25:$L$68,5,FALSE))</f>
        <v>651986836</v>
      </c>
      <c r="D3" s="352">
        <f t="shared" ref="D3:D9" ca="1" si="2">IF(RIGHT(D$1,2)="Q1",VLOOKUP($A3,$G$25:$L$68,3,FALSE),VLOOKUP($A3,$G$25:$L$68,3,FALSE)-VLOOKUP($A3,$G$25:$L$68,4,FALSE))</f>
        <v>751295421</v>
      </c>
      <c r="E3" s="352">
        <f t="shared" ref="E3:E9" ca="1" si="3">IF(RIGHT(E$1,2)="Q1",VLOOKUP($A3,$G$25:$L$68,2,FALSE),VLOOKUP($A3,$G$25:$L$68,2,FALSE)-VLOOKUP($A3,$G$25:$L$68,3,FALSE))</f>
        <v>860310695</v>
      </c>
      <c r="F3" s="369">
        <f ca="1">IFERROR(ROUND(E3/1000,0),"")</f>
        <v>860311</v>
      </c>
      <c r="G3" s="1"/>
      <c r="H3" s="371">
        <f ca="1">IFERROR(ROUND(AVERAGEIF(B3:E3,"&gt;0")/1000,0),"")</f>
        <v>713034</v>
      </c>
      <c r="I3" s="372"/>
      <c r="J3" s="270"/>
      <c r="K3" s="373"/>
    </row>
    <row r="4" spans="1:26" ht="14.5">
      <c r="A4" s="356" t="s">
        <v>15</v>
      </c>
      <c r="B4" s="352">
        <f t="shared" ca="1" si="0"/>
        <v>3973966</v>
      </c>
      <c r="C4" s="352">
        <f t="shared" ca="1" si="1"/>
        <v>4916048</v>
      </c>
      <c r="D4" s="352">
        <f t="shared" ca="1" si="2"/>
        <v>4415322</v>
      </c>
      <c r="E4" s="352">
        <f t="shared" ca="1" si="3"/>
        <v>4468953</v>
      </c>
      <c r="F4" s="369"/>
      <c r="G4" s="1"/>
      <c r="H4" s="371"/>
      <c r="I4" s="372"/>
      <c r="J4" s="270"/>
      <c r="K4" s="373"/>
    </row>
    <row r="5" spans="1:26" ht="14.5">
      <c r="A5" s="356" t="s">
        <v>17</v>
      </c>
      <c r="B5" s="352">
        <f t="shared" ca="1" si="0"/>
        <v>20048234</v>
      </c>
      <c r="C5" s="352">
        <f t="shared" ca="1" si="1"/>
        <v>18416935</v>
      </c>
      <c r="D5" s="352">
        <f t="shared" ca="1" si="2"/>
        <v>21833650</v>
      </c>
      <c r="E5" s="352">
        <f t="shared" ca="1" si="3"/>
        <v>21366992</v>
      </c>
      <c r="F5" s="369"/>
      <c r="G5" s="1"/>
      <c r="H5" s="371"/>
      <c r="I5" s="372"/>
      <c r="J5" s="270"/>
      <c r="K5" s="373"/>
    </row>
    <row r="6" spans="1:26" ht="14.5">
      <c r="A6" s="356" t="s">
        <v>18</v>
      </c>
      <c r="B6" s="352">
        <f t="shared" ca="1" si="0"/>
        <v>63742245</v>
      </c>
      <c r="C6" s="352">
        <f t="shared" ca="1" si="1"/>
        <v>64857807</v>
      </c>
      <c r="D6" s="352">
        <f t="shared" ca="1" si="2"/>
        <v>67756685</v>
      </c>
      <c r="E6" s="352">
        <f t="shared" ca="1" si="3"/>
        <v>73146138</v>
      </c>
      <c r="F6" s="369">
        <f t="shared" ref="F6:F7" ca="1" si="4">IFERROR(ROUND(E6/1000,0),"")</f>
        <v>73146</v>
      </c>
      <c r="G6" s="1"/>
      <c r="H6" s="371">
        <f t="shared" ref="H6:H7" ca="1" si="5">IFERROR(ROUND(AVERAGEIF(B6:E6,"&gt;0")/1000,0),"")</f>
        <v>67376</v>
      </c>
      <c r="I6" s="372"/>
      <c r="J6" s="270"/>
      <c r="K6" s="373"/>
    </row>
    <row r="7" spans="1:26" ht="14.5">
      <c r="A7" s="356" t="s">
        <v>20</v>
      </c>
      <c r="B7" s="352">
        <f t="shared" ca="1" si="0"/>
        <v>87764445</v>
      </c>
      <c r="C7" s="352">
        <f t="shared" ca="1" si="1"/>
        <v>88190790</v>
      </c>
      <c r="D7" s="352">
        <f t="shared" ca="1" si="2"/>
        <v>94005657</v>
      </c>
      <c r="E7" s="352">
        <f t="shared" ca="1" si="3"/>
        <v>98982083</v>
      </c>
      <c r="F7" s="363">
        <f t="shared" ca="1" si="4"/>
        <v>98982</v>
      </c>
      <c r="G7" s="1"/>
      <c r="H7" s="371">
        <f t="shared" ca="1" si="5"/>
        <v>92236</v>
      </c>
      <c r="I7" s="372"/>
      <c r="J7" s="270"/>
      <c r="K7" s="373"/>
    </row>
    <row r="8" spans="1:26" ht="14.5">
      <c r="A8" s="357" t="s">
        <v>28</v>
      </c>
      <c r="B8" s="352">
        <f t="shared" ca="1" si="0"/>
        <v>525369023</v>
      </c>
      <c r="C8" s="352">
        <f t="shared" ca="1" si="1"/>
        <v>592363201</v>
      </c>
      <c r="D8" s="352">
        <f t="shared" ca="1" si="2"/>
        <v>687799687</v>
      </c>
      <c r="E8" s="352">
        <f t="shared" ca="1" si="3"/>
        <v>862430086</v>
      </c>
      <c r="F8" s="363">
        <f ca="1">ROUND(E8/1000,0)</f>
        <v>862430</v>
      </c>
      <c r="G8" s="1"/>
      <c r="H8" s="371">
        <f t="shared" ref="H8:H10" ca="1" si="6">ROUND(AVERAGEIF(B8:E8,"&gt;0")/1000,0)</f>
        <v>666990</v>
      </c>
      <c r="I8" s="372"/>
      <c r="J8" s="270"/>
      <c r="K8" s="374">
        <f t="shared" ref="K8:K10" ca="1" si="7">ROUND(AVERAGE(B8:E8)/1000,0)</f>
        <v>666990</v>
      </c>
    </row>
    <row r="9" spans="1:26" ht="14.5">
      <c r="A9" s="356" t="s">
        <v>29</v>
      </c>
      <c r="B9" s="352">
        <f t="shared" ca="1" si="0"/>
        <v>451755362</v>
      </c>
      <c r="C9" s="352">
        <f t="shared" ca="1" si="1"/>
        <v>505415333</v>
      </c>
      <c r="D9" s="352">
        <f t="shared" ca="1" si="2"/>
        <v>572801304</v>
      </c>
      <c r="E9" s="352">
        <f t="shared" ca="1" si="3"/>
        <v>706780923</v>
      </c>
      <c r="F9" s="363">
        <f t="shared" ref="F9:F10" ca="1" si="8">ROUND(E9/1000,1)</f>
        <v>706780.9</v>
      </c>
      <c r="H9" s="371">
        <f t="shared" ca="1" si="6"/>
        <v>559188</v>
      </c>
      <c r="I9" s="372"/>
      <c r="J9" s="270"/>
      <c r="K9" s="374">
        <f t="shared" ca="1" si="7"/>
        <v>559188</v>
      </c>
    </row>
    <row r="10" spans="1:26" ht="14.5">
      <c r="A10" s="358" t="s">
        <v>30</v>
      </c>
      <c r="B10" s="352">
        <f ca="1">IFERROR(IF(RIGHT(B$1,2)="Q1",VLOOKUP($A10,$G$25:$L$68,5,FALSE),VLOOKUP($A10,$G$25:$L$68,5,FALSE)-VLOOKUP($A10,$G$25:$L$68,6,FALSE)),B9)</f>
        <v>452301407</v>
      </c>
      <c r="C10" s="352">
        <f ca="1">IFERROR(IF(RIGHT(C$1,2)="Q1",VLOOKUP($A10,$G$25:$L$68,4,FALSE),VLOOKUP($A10,$G$25:$L$68,4,FALSE)-VLOOKUP($A10,$G$25:$L$68,5,FALSE)),C9)</f>
        <v>505743990</v>
      </c>
      <c r="D10" s="352">
        <f ca="1">IFERROR(IF(RIGHT(D$1,2)="Q1",VLOOKUP($A10,$G$25:$L$68,3,FALSE),VLOOKUP($A10,$G$25:$L$68,3,FALSE)-VLOOKUP($A10,$G$25:$L$68,4,FALSE)),D9)</f>
        <v>572479752</v>
      </c>
      <c r="E10" s="352">
        <f ca="1">IFERROR(IF(RIGHT(E$1,2)="Q1",VLOOKUP($A10,$G$25:$L$68,2,FALSE),VLOOKUP($A10,$G$25:$L$68,2,FALSE)-VLOOKUP($A10,$G$25:$L$68,3,FALSE)),E9)</f>
        <v>706561938</v>
      </c>
      <c r="F10" s="370">
        <f t="shared" ca="1" si="8"/>
        <v>706561.9</v>
      </c>
      <c r="G10" s="13"/>
      <c r="H10" s="375">
        <f t="shared" ca="1" si="6"/>
        <v>559272</v>
      </c>
      <c r="I10" s="376"/>
      <c r="J10" s="377"/>
      <c r="K10" s="378">
        <f t="shared" ca="1" si="7"/>
        <v>559272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4.5">
      <c r="A11" s="356" t="s">
        <v>31</v>
      </c>
      <c r="B11" s="352">
        <f ca="1">B9-B10</f>
        <v>-546045</v>
      </c>
      <c r="C11" s="352">
        <f t="shared" ref="C11:F11" ca="1" si="9">C9-C10</f>
        <v>-328657</v>
      </c>
      <c r="D11" s="352">
        <f t="shared" ca="1" si="9"/>
        <v>321552</v>
      </c>
      <c r="E11" s="352">
        <f t="shared" ca="1" si="9"/>
        <v>218985</v>
      </c>
      <c r="F11" s="369">
        <f t="shared" ca="1" si="9"/>
        <v>219</v>
      </c>
      <c r="H11" s="379">
        <f ca="1">ROUND(AVERAGE(B11:E11)/1000,0)</f>
        <v>-84</v>
      </c>
      <c r="I11" s="380"/>
      <c r="J11" s="270"/>
      <c r="K11" s="381">
        <f ca="1">ROUND(AVERAGE(B11:E11)/1000,0)</f>
        <v>-84</v>
      </c>
    </row>
    <row r="12" spans="1:26" ht="14.5">
      <c r="A12" s="359" t="s">
        <v>32</v>
      </c>
      <c r="B12" s="353">
        <f ca="1">B8-B9</f>
        <v>73613661</v>
      </c>
      <c r="C12" s="353">
        <f t="shared" ref="C12:F12" ca="1" si="10">C8-C9</f>
        <v>86947868</v>
      </c>
      <c r="D12" s="353">
        <f t="shared" ca="1" si="10"/>
        <v>114998383</v>
      </c>
      <c r="E12" s="353">
        <f t="shared" ca="1" si="10"/>
        <v>155649163</v>
      </c>
      <c r="F12" s="364">
        <f t="shared" ca="1" si="10"/>
        <v>155649.09999999998</v>
      </c>
      <c r="H12" s="371">
        <f ca="1">ROUND(AVERAGEIF(B12:E12,"&gt;0")/1000,0)</f>
        <v>107802</v>
      </c>
      <c r="I12" s="380"/>
      <c r="J12" s="270"/>
      <c r="K12" s="374">
        <f ca="1">ROUND(AVERAGEIF(B12:E12,"&gt;0")/1000,0)</f>
        <v>107802</v>
      </c>
    </row>
    <row r="13" spans="1:26" ht="14.5">
      <c r="A13" s="356" t="s">
        <v>33</v>
      </c>
      <c r="B13" s="382">
        <f t="shared" ref="B13:E13" ca="1" si="11">B9/B8</f>
        <v>0.85988199193845505</v>
      </c>
      <c r="C13" s="382">
        <f t="shared" ca="1" si="11"/>
        <v>0.85321865393863316</v>
      </c>
      <c r="D13" s="382">
        <f t="shared" ca="1" si="11"/>
        <v>0.83280250751262697</v>
      </c>
      <c r="E13" s="382">
        <f t="shared" ca="1" si="11"/>
        <v>0.81952257287090979</v>
      </c>
      <c r="F13" s="383"/>
      <c r="G13" s="269"/>
      <c r="H13" s="384">
        <f ca="1">AVERAGEIFS(B13:E13,B13:E13,"&gt;0%")</f>
        <v>0.84135643156515627</v>
      </c>
      <c r="I13" s="385">
        <f t="shared" ref="I13:I14" ca="1" si="12">H9/H8</f>
        <v>0.83837538793685062</v>
      </c>
      <c r="J13" s="269"/>
      <c r="K13" s="386">
        <f t="shared" ref="K13:K14" ca="1" si="13">K9/K8</f>
        <v>0.83837538793685062</v>
      </c>
    </row>
    <row r="14" spans="1:26" ht="14.5">
      <c r="A14" s="359" t="s">
        <v>34</v>
      </c>
      <c r="B14" s="387">
        <f t="shared" ref="B14:E14" ca="1" si="14">B10/B9</f>
        <v>1.001208718359385</v>
      </c>
      <c r="C14" s="387">
        <f t="shared" ca="1" si="14"/>
        <v>1.0006502711305754</v>
      </c>
      <c r="D14" s="387">
        <f t="shared" ca="1" si="14"/>
        <v>0.99943863256288956</v>
      </c>
      <c r="E14" s="387">
        <f t="shared" ca="1" si="14"/>
        <v>0.99969016566113511</v>
      </c>
      <c r="F14" s="388"/>
      <c r="G14" s="269"/>
      <c r="H14" s="389">
        <f ca="1">AVERAGEIF(B14:E14,"&gt;0")</f>
        <v>1.0002469469284962</v>
      </c>
      <c r="I14" s="385">
        <f t="shared" ca="1" si="12"/>
        <v>1.000150217815833</v>
      </c>
      <c r="J14" s="269"/>
      <c r="K14" s="386">
        <f t="shared" ca="1" si="13"/>
        <v>1.000150217815833</v>
      </c>
    </row>
    <row r="15" spans="1:26" ht="14.5">
      <c r="A15" s="356"/>
      <c r="B15" s="2"/>
      <c r="C15" s="2"/>
      <c r="D15" s="2"/>
      <c r="E15" s="2"/>
      <c r="F15" s="362"/>
      <c r="G15" s="1"/>
      <c r="H15" s="366"/>
      <c r="I15" s="301"/>
      <c r="K15" s="368"/>
    </row>
    <row r="16" spans="1:26" ht="14.5">
      <c r="A16" s="356"/>
      <c r="B16" s="2"/>
      <c r="C16" s="2"/>
      <c r="D16" s="2"/>
      <c r="E16" s="2"/>
      <c r="F16" s="362"/>
      <c r="G16" s="1"/>
      <c r="H16" s="366"/>
      <c r="I16" s="301"/>
      <c r="K16" s="368"/>
    </row>
    <row r="17" spans="1:12" ht="15" thickBot="1">
      <c r="A17" s="360" t="s">
        <v>35</v>
      </c>
      <c r="B17" s="390">
        <f ca="1">IFERROR(B6/B2,"")</f>
        <v>6.4391418807950573E-2</v>
      </c>
      <c r="C17" s="390">
        <f t="shared" ref="C17:E17" ca="1" si="15">IFERROR(C6/C2,"")</f>
        <v>6.2000192046496143E-2</v>
      </c>
      <c r="D17" s="391">
        <f t="shared" ca="1" si="15"/>
        <v>5.974471340991612E-2</v>
      </c>
      <c r="E17" s="390">
        <f t="shared" ca="1" si="15"/>
        <v>5.757814481136652E-2</v>
      </c>
      <c r="F17" s="392"/>
      <c r="G17" s="393"/>
      <c r="H17" s="394">
        <f ca="1">IFERROR(H6/H2,"")</f>
        <v>6.0692373727956272E-2</v>
      </c>
      <c r="I17" s="395"/>
      <c r="J17" s="269"/>
      <c r="K17" s="396"/>
    </row>
    <row r="18" spans="1:12" ht="15" thickTop="1">
      <c r="A18" s="2"/>
      <c r="B18" s="2"/>
      <c r="D18" s="2"/>
      <c r="E18" s="2"/>
      <c r="F18" s="2"/>
      <c r="G18" s="1"/>
      <c r="H18" s="1"/>
      <c r="K18" s="4" t="s">
        <v>36</v>
      </c>
    </row>
    <row r="19" spans="1:12" ht="14.5">
      <c r="A19" s="2"/>
      <c r="B19" s="2"/>
      <c r="C19" s="2"/>
      <c r="D19" s="2"/>
      <c r="E19" s="2"/>
      <c r="F19" s="2"/>
      <c r="G19" s="1"/>
      <c r="H19" s="1"/>
    </row>
    <row r="20" spans="1:12" ht="14.5">
      <c r="A20" s="2"/>
      <c r="B20" s="14"/>
      <c r="C20" s="14"/>
      <c r="D20" s="14"/>
      <c r="E20" s="14"/>
      <c r="F20" s="2"/>
      <c r="G20" s="1"/>
      <c r="H20" s="1"/>
    </row>
    <row r="21" spans="1:12" ht="14.5">
      <c r="A21" s="2"/>
      <c r="B21" s="2"/>
      <c r="C21" s="2"/>
      <c r="D21" s="2"/>
      <c r="E21" s="2"/>
      <c r="F21" s="2"/>
      <c r="G21" s="1"/>
      <c r="H21" s="1"/>
    </row>
    <row r="22" spans="1:12" ht="14.5">
      <c r="A22" s="2"/>
      <c r="B22" s="2"/>
      <c r="C22" s="2"/>
      <c r="D22" s="2"/>
      <c r="E22" s="2"/>
      <c r="F22" s="2"/>
      <c r="G22" s="15">
        <f ca="1">VLOOKUP(A8,G25:L55,2,FALSE)-VLOOKUP(A8,G25:L55,3,FALSE)</f>
        <v>862430086</v>
      </c>
      <c r="H22" s="1"/>
    </row>
    <row r="23" spans="1:12" ht="14.5">
      <c r="A23" s="2"/>
      <c r="B23" s="2"/>
      <c r="C23" s="2"/>
      <c r="D23" s="2"/>
      <c r="E23" s="2"/>
      <c r="F23" s="2"/>
      <c r="G23" s="1"/>
      <c r="H23" s="1"/>
    </row>
    <row r="24" spans="1:12" ht="15.75" customHeight="1" thickBot="1"/>
    <row r="25" spans="1:12" ht="15.75" customHeight="1" thickTop="1">
      <c r="A25" s="398" t="str">
        <f ca="1">IFERROR(__xludf.DUMMYFUNCTION("IMPORTHTML(SUBSTITUTE(""https://histock.tw/stock/股票代碼/%E7%87%9F%E9%81%8B%E9%80%B1%E8%BD%89%E5%A4%A9%E6%95%B8"", ""股票代碼"",'股價預估'!E1),""table"",1)"),"年度/季別")</f>
        <v>年度/季別</v>
      </c>
      <c r="B25" s="397" t="str">
        <f ca="1">IFERROR(__xludf.DUMMYFUNCTION("""COMPUTED_VALUE"""),"應收帳款收現天數")</f>
        <v>應收帳款收現天數</v>
      </c>
      <c r="C25" s="397" t="str">
        <f ca="1">IFERROR(__xludf.DUMMYFUNCTION("""COMPUTED_VALUE"""),"存貨週轉天數")</f>
        <v>存貨週轉天數</v>
      </c>
      <c r="D25" s="397" t="str">
        <f ca="1">IFERROR(__xludf.DUMMYFUNCTION("""COMPUTED_VALUE"""),"營運週轉天數")</f>
        <v>營運週轉天數</v>
      </c>
      <c r="E25" s="399" t="s">
        <v>37</v>
      </c>
      <c r="G25" s="400" t="str">
        <f ca="1">IFERROR(__xludf.DUMMYFUNCTION("IMPORTHTML(SUBSTITUTE(""https://ww2.money-link.com.tw/TWStock/StockBasic.aspx?TWMId=Basic_IIAM4&amp;SymId=股票代碼"",""股票代碼"",'股價預估'!E1),""table"",0)"),"單位::新台幣仟元")</f>
        <v>單位::新台幣仟元</v>
      </c>
      <c r="H25" s="401"/>
      <c r="I25" s="401"/>
      <c r="J25" s="401"/>
      <c r="K25" s="401"/>
      <c r="L25" s="402"/>
    </row>
    <row r="26" spans="1:12" ht="15.75" customHeight="1">
      <c r="A26" s="407" t="str">
        <f ca="1">IFERROR(__xludf.DUMMYFUNCTION("""COMPUTED_VALUE"""),"2026Q1")</f>
        <v>2026Q1</v>
      </c>
      <c r="B26" s="406">
        <f ca="1">IFERROR(__xludf.DUMMYFUNCTION("""COMPUTED_VALUE"""),25.58)</f>
        <v>25.58</v>
      </c>
      <c r="C26" s="406">
        <f ca="1">IFERROR(__xludf.DUMMYFUNCTION("""COMPUTED_VALUE"""),70.48)</f>
        <v>70.48</v>
      </c>
      <c r="D26" s="406">
        <f ca="1">IFERROR(__xludf.DUMMYFUNCTION("""COMPUTED_VALUE"""),96.06)</f>
        <v>96.06</v>
      </c>
      <c r="E26" s="408">
        <f t="shared" ref="E26:E45" ca="1" si="16">IFERROR(90/C26,"")</f>
        <v>1.2769580022701474</v>
      </c>
      <c r="G26" s="311" t="str">
        <f ca="1">IFERROR(__xludf.DUMMYFUNCTION("""COMPUTED_VALUE"""),"綜合損益表")</f>
        <v>綜合損益表</v>
      </c>
      <c r="H26" s="308"/>
      <c r="I26" s="308"/>
      <c r="J26" s="308"/>
      <c r="K26" s="308"/>
      <c r="L26" s="403"/>
    </row>
    <row r="27" spans="1:12" ht="15.75" customHeight="1">
      <c r="A27" s="299" t="str">
        <f ca="1">IFERROR(__xludf.DUMMYFUNCTION("""COMPUTED_VALUE"""),"2025Q4")</f>
        <v>2025Q4</v>
      </c>
      <c r="B27" s="4">
        <f ca="1">IFERROR(__xludf.DUMMYFUNCTION("""COMPUTED_VALUE"""),25.36)</f>
        <v>25.36</v>
      </c>
      <c r="C27" s="4">
        <f ca="1">IFERROR(__xludf.DUMMYFUNCTION("""COMPUTED_VALUE"""),65.86)</f>
        <v>65.86</v>
      </c>
      <c r="D27" s="4">
        <f ca="1">IFERROR(__xludf.DUMMYFUNCTION("""COMPUTED_VALUE"""),91.22)</f>
        <v>91.22</v>
      </c>
      <c r="E27" s="409">
        <f t="shared" ca="1" si="16"/>
        <v>1.3665350744002429</v>
      </c>
      <c r="G27" s="311" t="str">
        <f ca="1">IFERROR(__xludf.DUMMYFUNCTION("""COMPUTED_VALUE"""),"科目")</f>
        <v>科目</v>
      </c>
      <c r="H27" s="308" t="str">
        <f ca="1">IFERROR(__xludf.DUMMYFUNCTION("""COMPUTED_VALUE"""),"1152026.Q2")</f>
        <v>1152026.Q2</v>
      </c>
      <c r="I27" s="308" t="str">
        <f ca="1">IFERROR(__xludf.DUMMYFUNCTION("""COMPUTED_VALUE"""),"1152026.Q1")</f>
        <v>1152026.Q1</v>
      </c>
      <c r="J27" s="308" t="str">
        <f ca="1">IFERROR(__xludf.DUMMYFUNCTION("""COMPUTED_VALUE"""),"1142025.Q4")</f>
        <v>1142025.Q4</v>
      </c>
      <c r="K27" s="308" t="str">
        <f ca="1">IFERROR(__xludf.DUMMYFUNCTION("""COMPUTED_VALUE"""),"1142025.Q3")</f>
        <v>1142025.Q3</v>
      </c>
      <c r="L27" s="403" t="str">
        <f ca="1">IFERROR(__xludf.DUMMYFUNCTION("""COMPUTED_VALUE"""),"1142025.Q2")</f>
        <v>1142025.Q2</v>
      </c>
    </row>
    <row r="28" spans="1:12" ht="15.75" customHeight="1">
      <c r="A28" s="299" t="str">
        <f ca="1">IFERROR(__xludf.DUMMYFUNCTION("""COMPUTED_VALUE"""),"2025Q3")</f>
        <v>2025Q3</v>
      </c>
      <c r="B28" s="4">
        <f ca="1">IFERROR(__xludf.DUMMYFUNCTION("""COMPUTED_VALUE"""),24.71)</f>
        <v>24.71</v>
      </c>
      <c r="C28" s="4">
        <f ca="1">IFERROR(__xludf.DUMMYFUNCTION("""COMPUTED_VALUE"""),66.47)</f>
        <v>66.47</v>
      </c>
      <c r="D28" s="4">
        <f ca="1">IFERROR(__xludf.DUMMYFUNCTION("""COMPUTED_VALUE"""),91.18)</f>
        <v>91.18</v>
      </c>
      <c r="E28" s="409">
        <f t="shared" ca="1" si="16"/>
        <v>1.3539942831352489</v>
      </c>
      <c r="G28" s="313" t="str">
        <f ca="1">IFERROR(__xludf.DUMMYFUNCTION("""COMPUTED_VALUE"""),"營業收入")</f>
        <v>營業收入</v>
      </c>
      <c r="H28" s="308">
        <f ca="1">IFERROR(__xludf.DUMMYFUNCTION("""COMPUTED_VALUE"""),2404483690)</f>
        <v>2404483690</v>
      </c>
      <c r="I28" s="308">
        <f ca="1">IFERROR(__xludf.DUMMYFUNCTION("""COMPUTED_VALUE"""),1134103440)</f>
        <v>1134103440</v>
      </c>
      <c r="J28" s="308">
        <f ca="1">IFERROR(__xludf.DUMMYFUNCTION("""COMPUTED_VALUE"""),3809054272)</f>
        <v>3809054272</v>
      </c>
      <c r="K28" s="308">
        <f ca="1">IFERROR(__xludf.DUMMYFUNCTION("""COMPUTED_VALUE"""),2762963851)</f>
        <v>2762963851</v>
      </c>
      <c r="L28" s="403">
        <f ca="1">IFERROR(__xludf.DUMMYFUNCTION("""COMPUTED_VALUE"""),1773045533)</f>
        <v>1773045533</v>
      </c>
    </row>
    <row r="29" spans="1:12" ht="15.75" customHeight="1">
      <c r="A29" s="299" t="str">
        <f ca="1">IFERROR(__xludf.DUMMYFUNCTION("""COMPUTED_VALUE"""),"2025Q2")</f>
        <v>2025Q2</v>
      </c>
      <c r="B29" s="4">
        <f ca="1">IFERROR(__xludf.DUMMYFUNCTION("""COMPUTED_VALUE"""),23.11)</f>
        <v>23.11</v>
      </c>
      <c r="C29" s="4">
        <f ca="1">IFERROR(__xludf.DUMMYFUNCTION("""COMPUTED_VALUE"""),69.59)</f>
        <v>69.59</v>
      </c>
      <c r="D29" s="4">
        <f ca="1">IFERROR(__xludf.DUMMYFUNCTION("""COMPUTED_VALUE"""),92.7)</f>
        <v>92.7</v>
      </c>
      <c r="E29" s="409">
        <f t="shared" ca="1" si="16"/>
        <v>1.2932892656990946</v>
      </c>
      <c r="G29" s="313" t="str">
        <f ca="1">IFERROR(__xludf.DUMMYFUNCTION("""COMPUTED_VALUE"""),"營業成本")</f>
        <v>營業成本</v>
      </c>
      <c r="H29" s="308">
        <f ca="1">IFERROR(__xludf.DUMMYFUNCTION("""COMPUTED_VALUE"""),792877574)</f>
        <v>792877574</v>
      </c>
      <c r="I29" s="308">
        <f ca="1">IFERROR(__xludf.DUMMYFUNCTION("""COMPUTED_VALUE"""),382808019)</f>
        <v>382808019</v>
      </c>
      <c r="J29" s="308">
        <f ca="1">IFERROR(__xludf.DUMMYFUNCTION("""COMPUTED_VALUE"""),1527760293)</f>
        <v>1527760293</v>
      </c>
      <c r="K29" s="308">
        <f ca="1">IFERROR(__xludf.DUMMYFUNCTION("""COMPUTED_VALUE"""),1133656708)</f>
        <v>1133656708</v>
      </c>
      <c r="L29" s="403">
        <f ca="1">IFERROR(__xludf.DUMMYFUNCTION("""COMPUTED_VALUE"""),732281219)</f>
        <v>732281219</v>
      </c>
    </row>
    <row r="30" spans="1:12" ht="15.75" customHeight="1">
      <c r="A30" s="299" t="str">
        <f ca="1">IFERROR(__xludf.DUMMYFUNCTION("""COMPUTED_VALUE"""),"2025Q1")</f>
        <v>2025Q1</v>
      </c>
      <c r="B30" s="4">
        <f ca="1">IFERROR(__xludf.DUMMYFUNCTION("""COMPUTED_VALUE"""),27.67)</f>
        <v>27.67</v>
      </c>
      <c r="C30" s="4">
        <f ca="1">IFERROR(__xludf.DUMMYFUNCTION("""COMPUTED_VALUE"""),75.63)</f>
        <v>75.63</v>
      </c>
      <c r="D30" s="4">
        <f ca="1">IFERROR(__xludf.DUMMYFUNCTION("""COMPUTED_VALUE"""),103.3)</f>
        <v>103.3</v>
      </c>
      <c r="E30" s="409">
        <f t="shared" ca="1" si="16"/>
        <v>1.1900039666798889</v>
      </c>
      <c r="G30" s="313" t="str">
        <f ca="1">IFERROR(__xludf.DUMMYFUNCTION("""COMPUTED_VALUE"""),"營業毛利(毛損)")</f>
        <v>營業毛利(毛損)</v>
      </c>
      <c r="H30" s="308">
        <f ca="1">IFERROR(__xludf.DUMMYFUNCTION("""COMPUTED_VALUE"""),1611606116)</f>
        <v>1611606116</v>
      </c>
      <c r="I30" s="308">
        <f ca="1">IFERROR(__xludf.DUMMYFUNCTION("""COMPUTED_VALUE"""),751295421)</f>
        <v>751295421</v>
      </c>
      <c r="J30" s="308">
        <f ca="1">IFERROR(__xludf.DUMMYFUNCTION("""COMPUTED_VALUE"""),2281293979)</f>
        <v>2281293979</v>
      </c>
      <c r="K30" s="308">
        <f ca="1">IFERROR(__xludf.DUMMYFUNCTION("""COMPUTED_VALUE"""),1629307143)</f>
        <v>1629307143</v>
      </c>
      <c r="L30" s="403">
        <f ca="1">IFERROR(__xludf.DUMMYFUNCTION("""COMPUTED_VALUE"""),1040764314)</f>
        <v>1040764314</v>
      </c>
    </row>
    <row r="31" spans="1:12" ht="15.75" customHeight="1">
      <c r="A31" s="299" t="str">
        <f ca="1">IFERROR(__xludf.DUMMYFUNCTION("""COMPUTED_VALUE"""),"2024Q4")</f>
        <v>2024Q4</v>
      </c>
      <c r="B31" s="4">
        <f ca="1">IFERROR(__xludf.DUMMYFUNCTION("""COMPUTED_VALUE"""),27.05)</f>
        <v>27.05</v>
      </c>
      <c r="C31" s="4">
        <f ca="1">IFERROR(__xludf.DUMMYFUNCTION("""COMPUTED_VALUE"""),73.39)</f>
        <v>73.39</v>
      </c>
      <c r="D31" s="4">
        <f ca="1">IFERROR(__xludf.DUMMYFUNCTION("""COMPUTED_VALUE"""),100.44)</f>
        <v>100.44</v>
      </c>
      <c r="E31" s="409">
        <f t="shared" ca="1" si="16"/>
        <v>1.2263251124131354</v>
      </c>
      <c r="G31" s="313" t="str">
        <f ca="1">IFERROR(__xludf.DUMMYFUNCTION("""COMPUTED_VALUE"""),"營業毛利(毛損)淨額")</f>
        <v>營業毛利(毛損)淨額</v>
      </c>
      <c r="H31" s="308">
        <f ca="1">IFERROR(__xludf.DUMMYFUNCTION("""COMPUTED_VALUE"""),1611606116)</f>
        <v>1611606116</v>
      </c>
      <c r="I31" s="308">
        <f ca="1">IFERROR(__xludf.DUMMYFUNCTION("""COMPUTED_VALUE"""),751295421)</f>
        <v>751295421</v>
      </c>
      <c r="J31" s="308">
        <f ca="1">IFERROR(__xludf.DUMMYFUNCTION("""COMPUTED_VALUE"""),2281293979)</f>
        <v>2281293979</v>
      </c>
      <c r="K31" s="308">
        <f ca="1">IFERROR(__xludf.DUMMYFUNCTION("""COMPUTED_VALUE"""),1629307143)</f>
        <v>1629307143</v>
      </c>
      <c r="L31" s="403">
        <f ca="1">IFERROR(__xludf.DUMMYFUNCTION("""COMPUTED_VALUE"""),1040764314)</f>
        <v>1040764314</v>
      </c>
    </row>
    <row r="32" spans="1:12" ht="15.75" customHeight="1">
      <c r="A32" s="299" t="str">
        <f ca="1">IFERROR(__xludf.DUMMYFUNCTION("""COMPUTED_VALUE"""),"2024Q3")</f>
        <v>2024Q3</v>
      </c>
      <c r="B32" s="4">
        <f ca="1">IFERROR(__xludf.DUMMYFUNCTION("""COMPUTED_VALUE"""),27.26)</f>
        <v>27.26</v>
      </c>
      <c r="C32" s="4">
        <f ca="1">IFERROR(__xludf.DUMMYFUNCTION("""COMPUTED_VALUE"""),79.42)</f>
        <v>79.42</v>
      </c>
      <c r="D32" s="4">
        <f ca="1">IFERROR(__xludf.DUMMYFUNCTION("""COMPUTED_VALUE"""),106.68)</f>
        <v>106.68</v>
      </c>
      <c r="E32" s="409">
        <f t="shared" ca="1" si="16"/>
        <v>1.1332158146562579</v>
      </c>
      <c r="G32" s="313" t="str">
        <f ca="1">IFERROR(__xludf.DUMMYFUNCTION("""COMPUTED_VALUE"""),"營業費用")</f>
        <v>營業費用</v>
      </c>
      <c r="H32" s="308">
        <f ca="1">IFERROR(__xludf.DUMMYFUNCTION("""COMPUTED_VALUE"""),192987740)</f>
        <v>192987740</v>
      </c>
      <c r="I32" s="308">
        <f ca="1">IFERROR(__xludf.DUMMYFUNCTION("""COMPUTED_VALUE"""),94005657)</f>
        <v>94005657</v>
      </c>
      <c r="J32" s="308">
        <f ca="1">IFERROR(__xludf.DUMMYFUNCTION("""COMPUTED_VALUE"""),345649630)</f>
        <v>345649630</v>
      </c>
      <c r="K32" s="308">
        <f ca="1">IFERROR(__xludf.DUMMYFUNCTION("""COMPUTED_VALUE"""),257458840)</f>
        <v>257458840</v>
      </c>
      <c r="L32" s="403">
        <f ca="1">IFERROR(__xludf.DUMMYFUNCTION("""COMPUTED_VALUE"""),169694395)</f>
        <v>169694395</v>
      </c>
    </row>
    <row r="33" spans="1:12" ht="15.75" customHeight="1">
      <c r="A33" s="299" t="str">
        <f ca="1">IFERROR(__xludf.DUMMYFUNCTION("""COMPUTED_VALUE"""),"2024Q2")</f>
        <v>2024Q2</v>
      </c>
      <c r="B33" s="4">
        <f ca="1">IFERROR(__xludf.DUMMYFUNCTION("""COMPUTED_VALUE"""),27.54)</f>
        <v>27.54</v>
      </c>
      <c r="C33" s="4">
        <f ca="1">IFERROR(__xludf.DUMMYFUNCTION("""COMPUTED_VALUE"""),76.99)</f>
        <v>76.989999999999995</v>
      </c>
      <c r="D33" s="4">
        <f ca="1">IFERROR(__xludf.DUMMYFUNCTION("""COMPUTED_VALUE"""),104.53)</f>
        <v>104.53</v>
      </c>
      <c r="E33" s="409">
        <f t="shared" ca="1" si="16"/>
        <v>1.1689829848032214</v>
      </c>
      <c r="G33" s="313" t="str">
        <f ca="1">IFERROR(__xludf.DUMMYFUNCTION("""COMPUTED_VALUE"""),"推銷費用")</f>
        <v>推銷費用</v>
      </c>
      <c r="H33" s="308">
        <f ca="1">IFERROR(__xludf.DUMMYFUNCTION("""COMPUTED_VALUE"""),8884275)</f>
        <v>8884275</v>
      </c>
      <c r="I33" s="308">
        <f ca="1">IFERROR(__xludf.DUMMYFUNCTION("""COMPUTED_VALUE"""),4415322)</f>
        <v>4415322</v>
      </c>
      <c r="J33" s="308">
        <f ca="1">IFERROR(__xludf.DUMMYFUNCTION("""COMPUTED_VALUE"""),16918076)</f>
        <v>16918076</v>
      </c>
      <c r="K33" s="308">
        <f ca="1">IFERROR(__xludf.DUMMYFUNCTION("""COMPUTED_VALUE"""),12002028)</f>
        <v>12002028</v>
      </c>
      <c r="L33" s="403">
        <f ca="1">IFERROR(__xludf.DUMMYFUNCTION("""COMPUTED_VALUE"""),8028062)</f>
        <v>8028062</v>
      </c>
    </row>
    <row r="34" spans="1:12" ht="15.75" customHeight="1">
      <c r="A34" s="299" t="str">
        <f ca="1">IFERROR(__xludf.DUMMYFUNCTION("""COMPUTED_VALUE"""),"2024Q1")</f>
        <v>2024Q1</v>
      </c>
      <c r="B34" s="4">
        <f ca="1">IFERROR(__xludf.DUMMYFUNCTION("""COMPUTED_VALUE"""),30.67)</f>
        <v>30.67</v>
      </c>
      <c r="C34" s="4">
        <f ca="1">IFERROR(__xludf.DUMMYFUNCTION("""COMPUTED_VALUE"""),83.83)</f>
        <v>83.83</v>
      </c>
      <c r="D34" s="4">
        <f ca="1">IFERROR(__xludf.DUMMYFUNCTION("""COMPUTED_VALUE"""),114.5)</f>
        <v>114.5</v>
      </c>
      <c r="E34" s="409">
        <f t="shared" ca="1" si="16"/>
        <v>1.0736013360372183</v>
      </c>
      <c r="G34" s="313" t="str">
        <f ca="1">IFERROR(__xludf.DUMMYFUNCTION("""COMPUTED_VALUE"""),"管理費用")</f>
        <v>管理費用</v>
      </c>
      <c r="H34" s="308">
        <f ca="1">IFERROR(__xludf.DUMMYFUNCTION("""COMPUTED_VALUE"""),43200642)</f>
        <v>43200642</v>
      </c>
      <c r="I34" s="308">
        <f ca="1">IFERROR(__xludf.DUMMYFUNCTION("""COMPUTED_VALUE"""),21833650)</f>
        <v>21833650</v>
      </c>
      <c r="J34" s="308">
        <f ca="1">IFERROR(__xludf.DUMMYFUNCTION("""COMPUTED_VALUE"""),82304290)</f>
        <v>82304290</v>
      </c>
      <c r="K34" s="308">
        <f ca="1">IFERROR(__xludf.DUMMYFUNCTION("""COMPUTED_VALUE"""),63887355)</f>
        <v>63887355</v>
      </c>
      <c r="L34" s="403">
        <f ca="1">IFERROR(__xludf.DUMMYFUNCTION("""COMPUTED_VALUE"""),43839121)</f>
        <v>43839121</v>
      </c>
    </row>
    <row r="35" spans="1:12" ht="15.75" customHeight="1">
      <c r="A35" s="299" t="str">
        <f ca="1">IFERROR(__xludf.DUMMYFUNCTION("""COMPUTED_VALUE"""),"2023Q4")</f>
        <v>2023Q4</v>
      </c>
      <c r="B35" s="4">
        <f ca="1">IFERROR(__xludf.DUMMYFUNCTION("""COMPUTED_VALUE"""),30.56)</f>
        <v>30.56</v>
      </c>
      <c r="C35" s="4">
        <f ca="1">IFERROR(__xludf.DUMMYFUNCTION("""COMPUTED_VALUE"""),78.6)</f>
        <v>78.599999999999994</v>
      </c>
      <c r="D35" s="4">
        <f ca="1">IFERROR(__xludf.DUMMYFUNCTION("""COMPUTED_VALUE"""),109.15)</f>
        <v>109.15</v>
      </c>
      <c r="E35" s="409">
        <f t="shared" ca="1" si="16"/>
        <v>1.1450381679389314</v>
      </c>
      <c r="G35" s="313" t="str">
        <f ca="1">IFERROR(__xludf.DUMMYFUNCTION("""COMPUTED_VALUE"""),"研究發展費用")</f>
        <v>研究發展費用</v>
      </c>
      <c r="H35" s="308">
        <f ca="1">IFERROR(__xludf.DUMMYFUNCTION("""COMPUTED_VALUE"""),140902823)</f>
        <v>140902823</v>
      </c>
      <c r="I35" s="308">
        <f ca="1">IFERROR(__xludf.DUMMYFUNCTION("""COMPUTED_VALUE"""),67756685)</f>
        <v>67756685</v>
      </c>
      <c r="J35" s="308">
        <f ca="1">IFERROR(__xludf.DUMMYFUNCTION("""COMPUTED_VALUE"""),246427264)</f>
        <v>246427264</v>
      </c>
      <c r="K35" s="308">
        <f ca="1">IFERROR(__xludf.DUMMYFUNCTION("""COMPUTED_VALUE"""),181569457)</f>
        <v>181569457</v>
      </c>
      <c r="L35" s="403">
        <f ca="1">IFERROR(__xludf.DUMMYFUNCTION("""COMPUTED_VALUE"""),117827212)</f>
        <v>117827212</v>
      </c>
    </row>
    <row r="36" spans="1:12" ht="15.75" customHeight="1">
      <c r="A36" s="299" t="str">
        <f ca="1">IFERROR(__xludf.DUMMYFUNCTION("""COMPUTED_VALUE"""),"2023Q3")</f>
        <v>2023Q3</v>
      </c>
      <c r="B36" s="4">
        <f ca="1">IFERROR(__xludf.DUMMYFUNCTION("""COMPUTED_VALUE"""),34.06)</f>
        <v>34.06</v>
      </c>
      <c r="C36" s="4">
        <f ca="1">IFERROR(__xludf.DUMMYFUNCTION("""COMPUTED_VALUE"""),89.32)</f>
        <v>89.32</v>
      </c>
      <c r="D36" s="4">
        <f ca="1">IFERROR(__xludf.DUMMYFUNCTION("""COMPUTED_VALUE"""),123.39)</f>
        <v>123.39</v>
      </c>
      <c r="E36" s="409">
        <f t="shared" ca="1" si="16"/>
        <v>1.007613076578594</v>
      </c>
      <c r="G36" s="313" t="str">
        <f ca="1">IFERROR(__xludf.DUMMYFUNCTION("""COMPUTED_VALUE"""),"其他收益及費損淨額")</f>
        <v>其他收益及費損淨額</v>
      </c>
      <c r="H36" s="308">
        <f ca="1">IFERROR(__xludf.DUMMYFUNCTION("""COMPUTED_VALUE"""),6950417)</f>
        <v>6950417</v>
      </c>
      <c r="I36" s="308">
        <f ca="1">IFERROR(__xludf.DUMMYFUNCTION("""COMPUTED_VALUE"""),1676378)</f>
        <v>1676378</v>
      </c>
      <c r="J36" s="308">
        <f ca="1">IFERROR(__xludf.DUMMYFUNCTION("""COMPUTED_VALUE"""),447328)</f>
        <v>447328</v>
      </c>
      <c r="K36" s="308">
        <f ca="1">IFERROR(__xludf.DUMMYFUNCTION("""COMPUTED_VALUE"""),-659039)</f>
        <v>-659039</v>
      </c>
      <c r="L36" s="403">
        <f ca="1">IFERROR(__xludf.DUMMYFUNCTION("""COMPUTED_VALUE"""),-565473)</f>
        <v>-565473</v>
      </c>
    </row>
    <row r="37" spans="1:12" ht="15.75" customHeight="1">
      <c r="A37" s="299" t="str">
        <f ca="1">IFERROR(__xludf.DUMMYFUNCTION("""COMPUTED_VALUE"""),"2023Q2")</f>
        <v>2023Q2</v>
      </c>
      <c r="B37" s="4">
        <f ca="1">IFERROR(__xludf.DUMMYFUNCTION("""COMPUTED_VALUE"""),31.73)</f>
        <v>31.73</v>
      </c>
      <c r="C37" s="4">
        <f ca="1">IFERROR(__xludf.DUMMYFUNCTION("""COMPUTED_VALUE"""),91.86)</f>
        <v>91.86</v>
      </c>
      <c r="D37" s="4">
        <f ca="1">IFERROR(__xludf.DUMMYFUNCTION("""COMPUTED_VALUE"""),123.59)</f>
        <v>123.59</v>
      </c>
      <c r="E37" s="409">
        <f t="shared" ca="1" si="16"/>
        <v>0.97975179621162645</v>
      </c>
      <c r="G37" s="313" t="str">
        <f ca="1">IFERROR(__xludf.DUMMYFUNCTION("""COMPUTED_VALUE"""),"營業利益(損失)")</f>
        <v>營業利益(損失)</v>
      </c>
      <c r="H37" s="308">
        <f ca="1">IFERROR(__xludf.DUMMYFUNCTION("""COMPUTED_VALUE"""),1425568793)</f>
        <v>1425568793</v>
      </c>
      <c r="I37" s="308">
        <f ca="1">IFERROR(__xludf.DUMMYFUNCTION("""COMPUTED_VALUE"""),658966142)</f>
        <v>658966142</v>
      </c>
      <c r="J37" s="308">
        <f ca="1">IFERROR(__xludf.DUMMYFUNCTION("""COMPUTED_VALUE"""),1936091677)</f>
        <v>1936091677</v>
      </c>
      <c r="K37" s="308">
        <f ca="1">IFERROR(__xludf.DUMMYFUNCTION("""COMPUTED_VALUE"""),1371189264)</f>
        <v>1371189264</v>
      </c>
      <c r="L37" s="403">
        <f ca="1">IFERROR(__xludf.DUMMYFUNCTION("""COMPUTED_VALUE"""),870504446)</f>
        <v>870504446</v>
      </c>
    </row>
    <row r="38" spans="1:12" ht="15.75" customHeight="1">
      <c r="A38" s="299" t="str">
        <f ca="1">IFERROR(__xludf.DUMMYFUNCTION("""COMPUTED_VALUE"""),"2023Q1")</f>
        <v>2023Q1</v>
      </c>
      <c r="B38" s="4">
        <f ca="1">IFERROR(__xludf.DUMMYFUNCTION("""COMPUTED_VALUE"""),33.57)</f>
        <v>33.57</v>
      </c>
      <c r="C38" s="4">
        <f ca="1">IFERROR(__xludf.DUMMYFUNCTION("""COMPUTED_VALUE"""),88.57)</f>
        <v>88.57</v>
      </c>
      <c r="D38" s="4">
        <f ca="1">IFERROR(__xludf.DUMMYFUNCTION("""COMPUTED_VALUE"""),122.14)</f>
        <v>122.14</v>
      </c>
      <c r="E38" s="409">
        <f t="shared" ca="1" si="16"/>
        <v>1.01614542170035</v>
      </c>
      <c r="G38" s="313" t="str">
        <f ca="1">IFERROR(__xludf.DUMMYFUNCTION("""COMPUTED_VALUE"""),"營業外收入及支出")</f>
        <v>營業外收入及支出</v>
      </c>
      <c r="H38" s="308">
        <f ca="1">IFERROR(__xludf.DUMMYFUNCTION("""COMPUTED_VALUE"""),124660980)</f>
        <v>124660980</v>
      </c>
      <c r="I38" s="308">
        <f ca="1">IFERROR(__xludf.DUMMYFUNCTION("""COMPUTED_VALUE"""),28833545)</f>
        <v>28833545</v>
      </c>
      <c r="J38" s="308">
        <f ca="1">IFERROR(__xludf.DUMMYFUNCTION("""COMPUTED_VALUE"""),105571163)</f>
        <v>105571163</v>
      </c>
      <c r="K38" s="308">
        <f ca="1">IFERROR(__xludf.DUMMYFUNCTION("""COMPUTED_VALUE"""),78110375)</f>
        <v>78110375</v>
      </c>
      <c r="L38" s="403">
        <f ca="1">IFERROR(__xludf.DUMMYFUNCTION("""COMPUTED_VALUE"""),53426170)</f>
        <v>53426170</v>
      </c>
    </row>
    <row r="39" spans="1:12" ht="15.75" customHeight="1">
      <c r="A39" s="299" t="str">
        <f ca="1">IFERROR(__xludf.DUMMYFUNCTION("""COMPUTED_VALUE"""),"2022Q4")</f>
        <v>2022Q4</v>
      </c>
      <c r="B39" s="4">
        <f ca="1">IFERROR(__xludf.DUMMYFUNCTION("""COMPUTED_VALUE"""),35.46)</f>
        <v>35.46</v>
      </c>
      <c r="C39" s="4">
        <f ca="1">IFERROR(__xludf.DUMMYFUNCTION("""COMPUTED_VALUE"""),83.68)</f>
        <v>83.68</v>
      </c>
      <c r="D39" s="4">
        <f ca="1">IFERROR(__xludf.DUMMYFUNCTION("""COMPUTED_VALUE"""),119.13)</f>
        <v>119.13</v>
      </c>
      <c r="E39" s="409">
        <f t="shared" ca="1" si="16"/>
        <v>1.0755258126195029</v>
      </c>
      <c r="G39" s="313" t="str">
        <f ca="1">IFERROR(__xludf.DUMMYFUNCTION("""COMPUTED_VALUE"""),"利息收入")</f>
        <v>利息收入</v>
      </c>
      <c r="H39" s="308">
        <f ca="1">IFERROR(__xludf.DUMMYFUNCTION("""COMPUTED_VALUE"""),58906984)</f>
        <v>58906984</v>
      </c>
      <c r="I39" s="308">
        <f ca="1">IFERROR(__xludf.DUMMYFUNCTION("""COMPUTED_VALUE"""),28862263)</f>
        <v>28862263</v>
      </c>
      <c r="J39" s="308">
        <f ca="1">IFERROR(__xludf.DUMMYFUNCTION("""COMPUTED_VALUE"""),105739081)</f>
        <v>105739081</v>
      </c>
      <c r="K39" s="308">
        <f ca="1">IFERROR(__xludf.DUMMYFUNCTION("""COMPUTED_VALUE"""),76231655)</f>
        <v>76231655</v>
      </c>
      <c r="L39" s="403">
        <f ca="1">IFERROR(__xludf.DUMMYFUNCTION("""COMPUTED_VALUE"""),50051310)</f>
        <v>50051310</v>
      </c>
    </row>
    <row r="40" spans="1:12" ht="15.75" customHeight="1" thickBot="1">
      <c r="A40" s="300" t="str">
        <f ca="1">IFERROR(__xludf.DUMMYFUNCTION("""COMPUTED_VALUE"""),"2022Q3")</f>
        <v>2022Q3</v>
      </c>
      <c r="B40" s="298">
        <f ca="1">IFERROR(__xludf.DUMMYFUNCTION("""COMPUTED_VALUE"""),35.49)</f>
        <v>35.49</v>
      </c>
      <c r="C40" s="298">
        <f ca="1">IFERROR(__xludf.DUMMYFUNCTION("""COMPUTED_VALUE"""),80.82)</f>
        <v>80.819999999999993</v>
      </c>
      <c r="D40" s="298">
        <f ca="1">IFERROR(__xludf.DUMMYFUNCTION("""COMPUTED_VALUE"""),116.31)</f>
        <v>116.31</v>
      </c>
      <c r="E40" s="410">
        <f t="shared" ca="1" si="16"/>
        <v>1.1135857461024501</v>
      </c>
      <c r="G40" s="313" t="str">
        <f ca="1">IFERROR(__xludf.DUMMYFUNCTION("""COMPUTED_VALUE"""),"其他收入")</f>
        <v>其他收入</v>
      </c>
      <c r="H40" s="308">
        <f ca="1">IFERROR(__xludf.DUMMYFUNCTION("""COMPUTED_VALUE"""),1971050)</f>
        <v>1971050</v>
      </c>
      <c r="I40" s="308">
        <f ca="1">IFERROR(__xludf.DUMMYFUNCTION("""COMPUTED_VALUE"""),124339)</f>
        <v>124339</v>
      </c>
      <c r="J40" s="308">
        <f ca="1">IFERROR(__xludf.DUMMYFUNCTION("""COMPUTED_VALUE"""),591729)</f>
        <v>591729</v>
      </c>
      <c r="K40" s="308">
        <f ca="1">IFERROR(__xludf.DUMMYFUNCTION("""COMPUTED_VALUE"""),543770)</f>
        <v>543770</v>
      </c>
      <c r="L40" s="403">
        <f ca="1">IFERROR(__xludf.DUMMYFUNCTION("""COMPUTED_VALUE"""),463552)</f>
        <v>463552</v>
      </c>
    </row>
    <row r="41" spans="1:12" ht="15.75" customHeight="1" thickTop="1">
      <c r="A41" s="4" t="str">
        <f ca="1">IFERROR(__xludf.DUMMYFUNCTION("""COMPUTED_VALUE"""),"2022Q2")</f>
        <v>2022Q2</v>
      </c>
      <c r="B41" s="4">
        <f ca="1">IFERROR(__xludf.DUMMYFUNCTION("""COMPUTED_VALUE"""),36.69)</f>
        <v>36.69</v>
      </c>
      <c r="C41" s="4">
        <f ca="1">IFERROR(__xludf.DUMMYFUNCTION("""COMPUTED_VALUE"""),85.93)</f>
        <v>85.93</v>
      </c>
      <c r="D41" s="4">
        <f ca="1">IFERROR(__xludf.DUMMYFUNCTION("""COMPUTED_VALUE"""),122.62)</f>
        <v>122.62</v>
      </c>
      <c r="E41" s="17">
        <f t="shared" ca="1" si="16"/>
        <v>1.0473641335971138</v>
      </c>
      <c r="G41" s="313" t="str">
        <f ca="1">IFERROR(__xludf.DUMMYFUNCTION("""COMPUTED_VALUE"""),"其他收入-其他")</f>
        <v>其他收入-其他</v>
      </c>
      <c r="H41" s="308">
        <f ca="1">IFERROR(__xludf.DUMMYFUNCTION("""COMPUTED_VALUE"""),1971050)</f>
        <v>1971050</v>
      </c>
      <c r="I41" s="308">
        <f ca="1">IFERROR(__xludf.DUMMYFUNCTION("""COMPUTED_VALUE"""),124339)</f>
        <v>124339</v>
      </c>
      <c r="J41" s="308">
        <f ca="1">IFERROR(__xludf.DUMMYFUNCTION("""COMPUTED_VALUE"""),591729)</f>
        <v>591729</v>
      </c>
      <c r="K41" s="308">
        <f ca="1">IFERROR(__xludf.DUMMYFUNCTION("""COMPUTED_VALUE"""),543770)</f>
        <v>543770</v>
      </c>
      <c r="L41" s="403">
        <f ca="1">IFERROR(__xludf.DUMMYFUNCTION("""COMPUTED_VALUE"""),463552)</f>
        <v>463552</v>
      </c>
    </row>
    <row r="42" spans="1:12" ht="15.75" customHeight="1">
      <c r="A42" s="4" t="str">
        <f ca="1">IFERROR(__xludf.DUMMYFUNCTION("""COMPUTED_VALUE"""),"2022Q1")</f>
        <v>2022Q1</v>
      </c>
      <c r="B42" s="4">
        <f ca="1">IFERROR(__xludf.DUMMYFUNCTION("""COMPUTED_VALUE"""),37.73)</f>
        <v>37.729999999999997</v>
      </c>
      <c r="C42" s="4">
        <f ca="1">IFERROR(__xludf.DUMMYFUNCTION("""COMPUTED_VALUE"""),81.22)</f>
        <v>81.22</v>
      </c>
      <c r="D42" s="4">
        <f ca="1">IFERROR(__xludf.DUMMYFUNCTION("""COMPUTED_VALUE"""),118.95)</f>
        <v>118.95</v>
      </c>
      <c r="E42" s="17">
        <f t="shared" ca="1" si="16"/>
        <v>1.1081014528441271</v>
      </c>
      <c r="G42" s="313" t="str">
        <f ca="1">IFERROR(__xludf.DUMMYFUNCTION("""COMPUTED_VALUE"""),"其他利益及損失")</f>
        <v>其他利益及損失</v>
      </c>
      <c r="H42" s="308">
        <f ca="1">IFERROR(__xludf.DUMMYFUNCTION("""COMPUTED_VALUE"""),66461482)</f>
        <v>66461482</v>
      </c>
      <c r="I42" s="308">
        <f ca="1">IFERROR(__xludf.DUMMYFUNCTION("""COMPUTED_VALUE"""),878901)</f>
        <v>878901</v>
      </c>
      <c r="J42" s="308">
        <f ca="1">IFERROR(__xludf.DUMMYFUNCTION("""COMPUTED_VALUE"""),6114146)</f>
        <v>6114146</v>
      </c>
      <c r="K42" s="308">
        <f ca="1">IFERROR(__xludf.DUMMYFUNCTION("""COMPUTED_VALUE"""),6647894)</f>
        <v>6647894</v>
      </c>
      <c r="L42" s="403">
        <f ca="1">IFERROR(__xludf.DUMMYFUNCTION("""COMPUTED_VALUE"""),6690422)</f>
        <v>6690422</v>
      </c>
    </row>
    <row r="43" spans="1:12" ht="15.75" customHeight="1">
      <c r="A43" s="4" t="str">
        <f ca="1">IFERROR(__xludf.DUMMYFUNCTION("""COMPUTED_VALUE"""),"2021Q4")</f>
        <v>2021Q4</v>
      </c>
      <c r="B43" s="4">
        <f ca="1">IFERROR(__xludf.DUMMYFUNCTION("""COMPUTED_VALUE"""),39.59)</f>
        <v>39.590000000000003</v>
      </c>
      <c r="C43" s="4">
        <f ca="1">IFERROR(__xludf.DUMMYFUNCTION("""COMPUTED_VALUE"""),81.39)</f>
        <v>81.39</v>
      </c>
      <c r="D43" s="4">
        <f ca="1">IFERROR(__xludf.DUMMYFUNCTION("""COMPUTED_VALUE"""),120.98)</f>
        <v>120.98</v>
      </c>
      <c r="E43" s="17">
        <f t="shared" ca="1" si="16"/>
        <v>1.1057869517139698</v>
      </c>
      <c r="G43" s="313" t="str">
        <f ca="1">IFERROR(__xludf.DUMMYFUNCTION("""COMPUTED_VALUE"""),"財務成本")</f>
        <v>財務成本</v>
      </c>
      <c r="H43" s="308">
        <f ca="1">IFERROR(__xludf.DUMMYFUNCTION("""COMPUTED_VALUE"""),5801911)</f>
        <v>5801911</v>
      </c>
      <c r="I43" s="308">
        <f ca="1">IFERROR(__xludf.DUMMYFUNCTION("""COMPUTED_VALUE"""),2716862)</f>
        <v>2716862</v>
      </c>
      <c r="J43" s="308">
        <f ca="1">IFERROR(__xludf.DUMMYFUNCTION("""COMPUTED_VALUE"""),12370387)</f>
        <v>12370387</v>
      </c>
      <c r="K43" s="308">
        <f ca="1">IFERROR(__xludf.DUMMYFUNCTION("""COMPUTED_VALUE"""),9326937)</f>
        <v>9326937</v>
      </c>
      <c r="L43" s="403">
        <f ca="1">IFERROR(__xludf.DUMMYFUNCTION("""COMPUTED_VALUE"""),6368369)</f>
        <v>6368369</v>
      </c>
    </row>
    <row r="44" spans="1:12" ht="15.75" customHeight="1">
      <c r="A44" s="4" t="str">
        <f ca="1">IFERROR(__xludf.DUMMYFUNCTION("""COMPUTED_VALUE"""),"2021Q3")</f>
        <v>2021Q3</v>
      </c>
      <c r="B44" s="4">
        <f ca="1">IFERROR(__xludf.DUMMYFUNCTION("""COMPUTED_VALUE"""),39.66)</f>
        <v>39.659999999999997</v>
      </c>
      <c r="C44" s="4">
        <f ca="1">IFERROR(__xludf.DUMMYFUNCTION("""COMPUTED_VALUE"""),78.64)</f>
        <v>78.64</v>
      </c>
      <c r="D44" s="4">
        <f ca="1">IFERROR(__xludf.DUMMYFUNCTION("""COMPUTED_VALUE"""),118.29)</f>
        <v>118.29</v>
      </c>
      <c r="E44" s="17">
        <f t="shared" ca="1" si="16"/>
        <v>1.1444557477110886</v>
      </c>
      <c r="G44" s="313" t="str">
        <f ca="1">IFERROR(__xludf.DUMMYFUNCTION("""COMPUTED_VALUE"""),"採用權益法認列之關聯企業及合資損益之份額淨額")</f>
        <v>採用權益法認列之關聯企業及合資損益之份額淨額</v>
      </c>
      <c r="H44" s="308">
        <f ca="1">IFERROR(__xludf.DUMMYFUNCTION("""COMPUTED_VALUE"""),3123375)</f>
        <v>3123375</v>
      </c>
      <c r="I44" s="308">
        <f ca="1">IFERROR(__xludf.DUMMYFUNCTION("""COMPUTED_VALUE"""),1684904)</f>
        <v>1684904</v>
      </c>
      <c r="J44" s="308">
        <f ca="1">IFERROR(__xludf.DUMMYFUNCTION("""COMPUTED_VALUE"""),5496594)</f>
        <v>5496594</v>
      </c>
      <c r="K44" s="308">
        <f ca="1">IFERROR(__xludf.DUMMYFUNCTION("""COMPUTED_VALUE"""),4013993)</f>
        <v>4013993</v>
      </c>
      <c r="L44" s="403">
        <f ca="1">IFERROR(__xludf.DUMMYFUNCTION("""COMPUTED_VALUE"""),2589255)</f>
        <v>2589255</v>
      </c>
    </row>
    <row r="45" spans="1:12" ht="15.75" customHeight="1">
      <c r="A45" s="4" t="str">
        <f ca="1">IFERROR(__xludf.DUMMYFUNCTION("""COMPUTED_VALUE"""),"2021Q2")</f>
        <v>2021Q2</v>
      </c>
      <c r="B45" s="4">
        <f ca="1">IFERROR(__xludf.DUMMYFUNCTION("""COMPUTED_VALUE"""),41.81)</f>
        <v>41.81</v>
      </c>
      <c r="C45" s="4">
        <f ca="1">IFERROR(__xludf.DUMMYFUNCTION("""COMPUTED_VALUE"""),78.67)</f>
        <v>78.67</v>
      </c>
      <c r="D45" s="4">
        <f ca="1">IFERROR(__xludf.DUMMYFUNCTION("""COMPUTED_VALUE"""),120.48)</f>
        <v>120.48</v>
      </c>
      <c r="E45" s="17">
        <f t="shared" ca="1" si="16"/>
        <v>1.1440193212152028</v>
      </c>
      <c r="G45" s="313" t="str">
        <f ca="1">IFERROR(__xludf.DUMMYFUNCTION("""COMPUTED_VALUE"""),"稅前淨利(淨損)")</f>
        <v>稅前淨利(淨損)</v>
      </c>
      <c r="H45" s="308">
        <f ca="1">IFERROR(__xludf.DUMMYFUNCTION("""COMPUTED_VALUE"""),1550229773)</f>
        <v>1550229773</v>
      </c>
      <c r="I45" s="308">
        <f ca="1">IFERROR(__xludf.DUMMYFUNCTION("""COMPUTED_VALUE"""),687799687)</f>
        <v>687799687</v>
      </c>
      <c r="J45" s="308">
        <f ca="1">IFERROR(__xludf.DUMMYFUNCTION("""COMPUTED_VALUE"""),2041662840)</f>
        <v>2041662840</v>
      </c>
      <c r="K45" s="308">
        <f ca="1">IFERROR(__xludf.DUMMYFUNCTION("""COMPUTED_VALUE"""),1449299639)</f>
        <v>1449299639</v>
      </c>
      <c r="L45" s="403">
        <f ca="1">IFERROR(__xludf.DUMMYFUNCTION("""COMPUTED_VALUE"""),923930616)</f>
        <v>923930616</v>
      </c>
    </row>
    <row r="46" spans="1:12" ht="15.75" customHeight="1">
      <c r="A46" s="4" t="str">
        <f ca="1">IFERROR(__xludf.DUMMYFUNCTION("""COMPUTED_VALUE"""),"2021Q1")</f>
        <v>2021Q1</v>
      </c>
      <c r="B46" s="4">
        <f ca="1">IFERROR(__xludf.DUMMYFUNCTION("""COMPUTED_VALUE"""),38.93)</f>
        <v>38.93</v>
      </c>
      <c r="C46" s="4">
        <f ca="1">IFERROR(__xludf.DUMMYFUNCTION("""COMPUTED_VALUE"""),76.09)</f>
        <v>76.09</v>
      </c>
      <c r="D46" s="4">
        <f ca="1">IFERROR(__xludf.DUMMYFUNCTION("""COMPUTED_VALUE"""),115.02)</f>
        <v>115.02</v>
      </c>
      <c r="E46" s="17"/>
      <c r="G46" s="313" t="str">
        <f ca="1">IFERROR(__xludf.DUMMYFUNCTION("""COMPUTED_VALUE"""),"所得稅費用(利益)")</f>
        <v>所得稅費用(利益)</v>
      </c>
      <c r="H46" s="308">
        <f ca="1">IFERROR(__xludf.DUMMYFUNCTION("""COMPUTED_VALUE"""),270647546)</f>
        <v>270647546</v>
      </c>
      <c r="I46" s="308">
        <f ca="1">IFERROR(__xludf.DUMMYFUNCTION("""COMPUTED_VALUE"""),114998383)</f>
        <v>114998383</v>
      </c>
      <c r="J46" s="308">
        <f ca="1">IFERROR(__xludf.DUMMYFUNCTION("""COMPUTED_VALUE"""),326266060)</f>
        <v>326266060</v>
      </c>
      <c r="K46" s="308">
        <f ca="1">IFERROR(__xludf.DUMMYFUNCTION("""COMPUTED_VALUE"""),239318192)</f>
        <v>239318192</v>
      </c>
      <c r="L46" s="403">
        <f ca="1">IFERROR(__xludf.DUMMYFUNCTION("""COMPUTED_VALUE"""),165704531)</f>
        <v>165704531</v>
      </c>
    </row>
    <row r="47" spans="1:12" ht="15.75" customHeight="1">
      <c r="G47" s="313" t="str">
        <f ca="1">IFERROR(__xludf.DUMMYFUNCTION("""COMPUTED_VALUE"""),"繼續營業單位本期淨利(淨損)")</f>
        <v>繼續營業單位本期淨利(淨損)</v>
      </c>
      <c r="H47" s="308">
        <f ca="1">IFERROR(__xludf.DUMMYFUNCTION("""COMPUTED_VALUE"""),1279582227)</f>
        <v>1279582227</v>
      </c>
      <c r="I47" s="308">
        <f ca="1">IFERROR(__xludf.DUMMYFUNCTION("""COMPUTED_VALUE"""),572801304)</f>
        <v>572801304</v>
      </c>
      <c r="J47" s="308">
        <f ca="1">IFERROR(__xludf.DUMMYFUNCTION("""COMPUTED_VALUE"""),1715396780)</f>
        <v>1715396780</v>
      </c>
      <c r="K47" s="308">
        <f ca="1">IFERROR(__xludf.DUMMYFUNCTION("""COMPUTED_VALUE"""),1209981447)</f>
        <v>1209981447</v>
      </c>
      <c r="L47" s="403">
        <f ca="1">IFERROR(__xludf.DUMMYFUNCTION("""COMPUTED_VALUE"""),758226085)</f>
        <v>758226085</v>
      </c>
    </row>
    <row r="48" spans="1:12" ht="15.75" customHeight="1">
      <c r="G48" s="313" t="str">
        <f ca="1">IFERROR(__xludf.DUMMYFUNCTION("""COMPUTED_VALUE"""),"本期淨利(淨損)")</f>
        <v>本期淨利(淨損)</v>
      </c>
      <c r="H48" s="308">
        <f ca="1">IFERROR(__xludf.DUMMYFUNCTION("""COMPUTED_VALUE"""),1279582227)</f>
        <v>1279582227</v>
      </c>
      <c r="I48" s="308">
        <f ca="1">IFERROR(__xludf.DUMMYFUNCTION("""COMPUTED_VALUE"""),572801304)</f>
        <v>572801304</v>
      </c>
      <c r="J48" s="308">
        <f ca="1">IFERROR(__xludf.DUMMYFUNCTION("""COMPUTED_VALUE"""),1715396780)</f>
        <v>1715396780</v>
      </c>
      <c r="K48" s="308">
        <f ca="1">IFERROR(__xludf.DUMMYFUNCTION("""COMPUTED_VALUE"""),1209981447)</f>
        <v>1209981447</v>
      </c>
      <c r="L48" s="403">
        <f ca="1">IFERROR(__xludf.DUMMYFUNCTION("""COMPUTED_VALUE"""),758226085)</f>
        <v>758226085</v>
      </c>
    </row>
    <row r="49" spans="7:12" ht="15.75" customHeight="1">
      <c r="G49" s="313" t="str">
        <f ca="1">IFERROR(__xludf.DUMMYFUNCTION("""COMPUTED_VALUE"""),"母公司業主(淨利／損)")</f>
        <v>母公司業主(淨利／損)</v>
      </c>
      <c r="H49" s="308">
        <f ca="1">IFERROR(__xludf.DUMMYFUNCTION("""COMPUTED_VALUE"""),1279041690)</f>
        <v>1279041690</v>
      </c>
      <c r="I49" s="308">
        <f ca="1">IFERROR(__xludf.DUMMYFUNCTION("""COMPUTED_VALUE"""),572479752)</f>
        <v>572479752</v>
      </c>
      <c r="J49" s="308">
        <f ca="1">IFERROR(__xludf.DUMMYFUNCTION("""COMPUTED_VALUE"""),1717882627)</f>
        <v>1717882627</v>
      </c>
      <c r="K49" s="308">
        <f ca="1">IFERROR(__xludf.DUMMYFUNCTION("""COMPUTED_VALUE"""),1212138637)</f>
        <v>1212138637</v>
      </c>
      <c r="L49" s="403">
        <f ca="1">IFERROR(__xludf.DUMMYFUNCTION("""COMPUTED_VALUE"""),759837230)</f>
        <v>759837230</v>
      </c>
    </row>
    <row r="50" spans="7:12" ht="15.75" customHeight="1">
      <c r="G50" s="313" t="str">
        <f ca="1">IFERROR(__xludf.DUMMYFUNCTION("""COMPUTED_VALUE"""),"非控制權益(淨利／損)")</f>
        <v>非控制權益(淨利／損)</v>
      </c>
      <c r="H50" s="308">
        <f ca="1">IFERROR(__xludf.DUMMYFUNCTION("""COMPUTED_VALUE"""),540537)</f>
        <v>540537</v>
      </c>
      <c r="I50" s="308">
        <f ca="1">IFERROR(__xludf.DUMMYFUNCTION("""COMPUTED_VALUE"""),321552)</f>
        <v>321552</v>
      </c>
      <c r="J50" s="308">
        <f ca="1">IFERROR(__xludf.DUMMYFUNCTION("""COMPUTED_VALUE"""),-2485847)</f>
        <v>-2485847</v>
      </c>
      <c r="K50" s="308">
        <f ca="1">IFERROR(__xludf.DUMMYFUNCTION("""COMPUTED_VALUE"""),-2157190)</f>
        <v>-2157190</v>
      </c>
      <c r="L50" s="403">
        <f ca="1">IFERROR(__xludf.DUMMYFUNCTION("""COMPUTED_VALUE"""),-1611145)</f>
        <v>-1611145</v>
      </c>
    </row>
    <row r="51" spans="7:12" ht="15.75" customHeight="1">
      <c r="G51" s="311" t="str">
        <f ca="1">IFERROR(__xludf.DUMMYFUNCTION("""COMPUTED_VALUE"""),"其他綜合損益(淨額)")</f>
        <v>其他綜合損益(淨額)</v>
      </c>
      <c r="H51" s="308">
        <f ca="1">IFERROR(__xludf.DUMMYFUNCTION("""COMPUTED_VALUE"""),71282249)</f>
        <v>71282249</v>
      </c>
      <c r="I51" s="308">
        <f ca="1">IFERROR(__xludf.DUMMYFUNCTION("""COMPUTED_VALUE"""),53995651)</f>
        <v>53995651</v>
      </c>
      <c r="J51" s="308">
        <f ca="1">IFERROR(__xludf.DUMMYFUNCTION("""COMPUTED_VALUE"""),-56326519)</f>
        <v>-56326519</v>
      </c>
      <c r="K51" s="308">
        <f ca="1">IFERROR(__xludf.DUMMYFUNCTION("""COMPUTED_VALUE"""),-127403017)</f>
        <v>-127403017</v>
      </c>
      <c r="L51" s="403">
        <f ca="1">IFERROR(__xludf.DUMMYFUNCTION("""COMPUTED_VALUE"""),-222604953)</f>
        <v>-222604953</v>
      </c>
    </row>
    <row r="52" spans="7:12" ht="15.75" customHeight="1">
      <c r="G52" s="311" t="str">
        <f ca="1">IFERROR(__xludf.DUMMYFUNCTION("""COMPUTED_VALUE"""),"本期綜合損益總額")</f>
        <v>本期綜合損益總額</v>
      </c>
      <c r="H52" s="308">
        <f ca="1">IFERROR(__xludf.DUMMYFUNCTION("""COMPUTED_VALUE"""),1350864476)</f>
        <v>1350864476</v>
      </c>
      <c r="I52" s="308">
        <f ca="1">IFERROR(__xludf.DUMMYFUNCTION("""COMPUTED_VALUE"""),626796955)</f>
        <v>626796955</v>
      </c>
      <c r="J52" s="308">
        <f ca="1">IFERROR(__xludf.DUMMYFUNCTION("""COMPUTED_VALUE"""),1659070261)</f>
        <v>1659070261</v>
      </c>
      <c r="K52" s="308">
        <f ca="1">IFERROR(__xludf.DUMMYFUNCTION("""COMPUTED_VALUE"""),1082578430)</f>
        <v>1082578430</v>
      </c>
      <c r="L52" s="403">
        <f ca="1">IFERROR(__xludf.DUMMYFUNCTION("""COMPUTED_VALUE"""),535621132)</f>
        <v>535621132</v>
      </c>
    </row>
    <row r="53" spans="7:12" ht="15.75" customHeight="1">
      <c r="G53" s="311" t="str">
        <f ca="1">IFERROR(__xludf.DUMMYFUNCTION("""COMPUTED_VALUE"""),"母公司業主(綜合損益)")</f>
        <v>母公司業主(綜合損益)</v>
      </c>
      <c r="H53" s="308">
        <f ca="1">IFERROR(__xludf.DUMMYFUNCTION("""COMPUTED_VALUE"""),1350950974)</f>
        <v>1350950974</v>
      </c>
      <c r="I53" s="308">
        <f ca="1">IFERROR(__xludf.DUMMYFUNCTION("""COMPUTED_VALUE"""),626591326)</f>
        <v>626591326</v>
      </c>
      <c r="J53" s="308">
        <f ca="1">IFERROR(__xludf.DUMMYFUNCTION("""COMPUTED_VALUE"""),1661253891)</f>
        <v>1661253891</v>
      </c>
      <c r="K53" s="308">
        <f ca="1">IFERROR(__xludf.DUMMYFUNCTION("""COMPUTED_VALUE"""),1084587960)</f>
        <v>1084587960</v>
      </c>
      <c r="L53" s="403">
        <f ca="1">IFERROR(__xludf.DUMMYFUNCTION("""COMPUTED_VALUE"""),538015970)</f>
        <v>538015970</v>
      </c>
    </row>
    <row r="54" spans="7:12" ht="15.75" customHeight="1">
      <c r="G54" s="311" t="str">
        <f ca="1">IFERROR(__xludf.DUMMYFUNCTION("""COMPUTED_VALUE"""),"非控制權益(綜合損益)")</f>
        <v>非控制權益(綜合損益)</v>
      </c>
      <c r="H54" s="308">
        <f ca="1">IFERROR(__xludf.DUMMYFUNCTION("""COMPUTED_VALUE"""),-86498)</f>
        <v>-86498</v>
      </c>
      <c r="I54" s="308">
        <f ca="1">IFERROR(__xludf.DUMMYFUNCTION("""COMPUTED_VALUE"""),205629)</f>
        <v>205629</v>
      </c>
      <c r="J54" s="308">
        <f ca="1">IFERROR(__xludf.DUMMYFUNCTION("""COMPUTED_VALUE"""),-2183630)</f>
        <v>-2183630</v>
      </c>
      <c r="K54" s="308">
        <f ca="1">IFERROR(__xludf.DUMMYFUNCTION("""COMPUTED_VALUE"""),-2009530)</f>
        <v>-2009530</v>
      </c>
      <c r="L54" s="403">
        <f ca="1">IFERROR(__xludf.DUMMYFUNCTION("""COMPUTED_VALUE"""),-2394838)</f>
        <v>-2394838</v>
      </c>
    </row>
    <row r="55" spans="7:12" ht="15.75" customHeight="1">
      <c r="G55" s="311" t="str">
        <f ca="1">IFERROR(__xludf.DUMMYFUNCTION("""COMPUTED_VALUE"""),"基本每股盈餘")</f>
        <v>基本每股盈餘</v>
      </c>
      <c r="H55" s="308">
        <f ca="1">IFERROR(__xludf.DUMMYFUNCTION("""COMPUTED_VALUE"""),49.33)</f>
        <v>49.33</v>
      </c>
      <c r="I55" s="308">
        <f ca="1">IFERROR(__xludf.DUMMYFUNCTION("""COMPUTED_VALUE"""),22.08)</f>
        <v>22.08</v>
      </c>
      <c r="J55" s="308">
        <f ca="1">IFERROR(__xludf.DUMMYFUNCTION("""COMPUTED_VALUE"""),66.26)</f>
        <v>66.260000000000005</v>
      </c>
      <c r="K55" s="308">
        <f ca="1">IFERROR(__xludf.DUMMYFUNCTION("""COMPUTED_VALUE"""),46.75)</f>
        <v>46.75</v>
      </c>
      <c r="L55" s="403">
        <f ca="1">IFERROR(__xludf.DUMMYFUNCTION("""COMPUTED_VALUE"""),29.31)</f>
        <v>29.31</v>
      </c>
    </row>
    <row r="56" spans="7:12" ht="12.5">
      <c r="G56" s="311" t="str">
        <f ca="1">IFERROR(__xludf.DUMMYFUNCTION("""COMPUTED_VALUE"""),"稀釋每股盈餘")</f>
        <v>稀釋每股盈餘</v>
      </c>
      <c r="H56" s="308">
        <f ca="1">IFERROR(__xludf.DUMMYFUNCTION("""COMPUTED_VALUE"""),49.32)</f>
        <v>49.32</v>
      </c>
      <c r="I56" s="308">
        <f ca="1">IFERROR(__xludf.DUMMYFUNCTION("""COMPUTED_VALUE"""),22.08)</f>
        <v>22.08</v>
      </c>
      <c r="J56" s="308">
        <f ca="1">IFERROR(__xludf.DUMMYFUNCTION("""COMPUTED_VALUE"""),66.25)</f>
        <v>66.25</v>
      </c>
      <c r="K56" s="308">
        <f ca="1">IFERROR(__xludf.DUMMYFUNCTION("""COMPUTED_VALUE"""),46.75)</f>
        <v>46.75</v>
      </c>
      <c r="L56" s="403">
        <f ca="1">IFERROR(__xludf.DUMMYFUNCTION("""COMPUTED_VALUE"""),29.3)</f>
        <v>29.3</v>
      </c>
    </row>
    <row r="57" spans="7:12" ht="15.75" customHeight="1">
      <c r="G57" s="309"/>
      <c r="H57" s="324"/>
      <c r="I57" s="324"/>
      <c r="J57" s="324"/>
      <c r="K57" s="324"/>
      <c r="L57" s="404"/>
    </row>
    <row r="58" spans="7:12" ht="15.75" customHeight="1">
      <c r="G58" s="309"/>
      <c r="H58" s="324"/>
      <c r="I58" s="324"/>
      <c r="J58" s="324"/>
      <c r="K58" s="324"/>
      <c r="L58" s="404"/>
    </row>
    <row r="59" spans="7:12" ht="15.75" customHeight="1">
      <c r="G59" s="309"/>
      <c r="H59" s="324"/>
      <c r="I59" s="324"/>
      <c r="J59" s="324"/>
      <c r="K59" s="324"/>
      <c r="L59" s="404"/>
    </row>
    <row r="60" spans="7:12" ht="15.75" customHeight="1">
      <c r="G60" s="309"/>
      <c r="H60" s="324"/>
      <c r="I60" s="324"/>
      <c r="J60" s="324"/>
      <c r="K60" s="324"/>
      <c r="L60" s="404"/>
    </row>
    <row r="61" spans="7:12" ht="15.75" customHeight="1">
      <c r="G61" s="309"/>
      <c r="H61" s="324"/>
      <c r="I61" s="324"/>
      <c r="J61" s="324"/>
      <c r="K61" s="324"/>
      <c r="L61" s="404"/>
    </row>
    <row r="62" spans="7:12" ht="15.75" customHeight="1">
      <c r="G62" s="309"/>
      <c r="H62" s="324"/>
      <c r="I62" s="324"/>
      <c r="J62" s="324"/>
      <c r="K62" s="324"/>
      <c r="L62" s="404"/>
    </row>
    <row r="63" spans="7:12" ht="15.75" customHeight="1">
      <c r="G63" s="309"/>
      <c r="H63" s="324"/>
      <c r="I63" s="324"/>
      <c r="J63" s="324"/>
      <c r="K63" s="324"/>
      <c r="L63" s="404"/>
    </row>
    <row r="64" spans="7:12" ht="15.75" customHeight="1">
      <c r="G64" s="309"/>
      <c r="H64" s="324"/>
      <c r="I64" s="324"/>
      <c r="J64" s="324"/>
      <c r="K64" s="324"/>
      <c r="L64" s="404"/>
    </row>
    <row r="65" spans="1:12" ht="15.75" customHeight="1">
      <c r="G65" s="309"/>
      <c r="H65" s="324"/>
      <c r="I65" s="324"/>
      <c r="J65" s="324"/>
      <c r="K65" s="324"/>
      <c r="L65" s="404"/>
    </row>
    <row r="66" spans="1:12" ht="15.75" customHeight="1">
      <c r="G66" s="309"/>
      <c r="H66" s="324"/>
      <c r="I66" s="324"/>
      <c r="J66" s="324"/>
      <c r="K66" s="324"/>
      <c r="L66" s="404"/>
    </row>
    <row r="67" spans="1:12" ht="15.75" customHeight="1">
      <c r="G67" s="309"/>
      <c r="H67" s="324"/>
      <c r="I67" s="324"/>
      <c r="J67" s="324"/>
      <c r="K67" s="324"/>
      <c r="L67" s="404"/>
    </row>
    <row r="68" spans="1:12" ht="15.75" customHeight="1" thickBot="1">
      <c r="G68" s="322"/>
      <c r="H68" s="326"/>
      <c r="I68" s="326"/>
      <c r="J68" s="326"/>
      <c r="K68" s="326"/>
      <c r="L68" s="405"/>
    </row>
    <row r="69" spans="1:12" ht="15.75" customHeight="1" thickTop="1"/>
    <row r="71" spans="1:12" ht="12.5">
      <c r="C71" s="12"/>
      <c r="D71" s="12"/>
      <c r="E71" s="12"/>
      <c r="F71" s="12">
        <f ca="1">STDEVP(C26:C46)</f>
        <v>6.9593289808677365</v>
      </c>
      <c r="G71" s="12"/>
      <c r="H71" s="12"/>
      <c r="I71" s="12"/>
    </row>
    <row r="72" spans="1:12" ht="12.5">
      <c r="A72" s="8" t="str">
        <f t="shared" ref="A72:A93" ca="1" si="17">A25</f>
        <v>年度/季別</v>
      </c>
      <c r="B72" s="8" t="str">
        <f t="shared" ref="B72:B93" ca="1" si="18">C25</f>
        <v>存貨週轉天數</v>
      </c>
      <c r="C72" s="12" t="s">
        <v>21</v>
      </c>
      <c r="D72" s="12" t="s">
        <v>22</v>
      </c>
      <c r="E72" s="12" t="s">
        <v>23</v>
      </c>
      <c r="F72" s="12" t="s">
        <v>24</v>
      </c>
      <c r="G72" s="12" t="s">
        <v>25</v>
      </c>
      <c r="H72" s="12" t="s">
        <v>26</v>
      </c>
      <c r="I72" s="12" t="s">
        <v>27</v>
      </c>
    </row>
    <row r="73" spans="1:12" ht="12.5">
      <c r="A73" s="8" t="str">
        <f t="shared" ca="1" si="17"/>
        <v>2026Q1</v>
      </c>
      <c r="B73" s="8">
        <f t="shared" ca="1" si="18"/>
        <v>70.48</v>
      </c>
      <c r="C73" s="12">
        <f ca="1">IF(F73-F71*3&lt;0,0,F73-F71*3)</f>
        <v>58.00058448596824</v>
      </c>
      <c r="D73" s="12">
        <f ca="1">IF(F73-F71*2&lt;0,0,F73-F71*2)</f>
        <v>64.959913466835971</v>
      </c>
      <c r="E73" s="12">
        <f ca="1">IF(F73-F71*1&lt;0,0,F73-F71*1)</f>
        <v>71.919242447703709</v>
      </c>
      <c r="F73" s="12">
        <f ca="1">AVERAGE(C26:C46)</f>
        <v>78.878571428571448</v>
      </c>
      <c r="G73" s="12">
        <f ca="1">F73+F71*1</f>
        <v>85.837900409439186</v>
      </c>
      <c r="H73" s="12">
        <f ca="1">F73+F71*2</f>
        <v>92.797229390306924</v>
      </c>
      <c r="I73" s="12">
        <f ca="1">F73+F71*3</f>
        <v>99.756558371174663</v>
      </c>
    </row>
    <row r="74" spans="1:12" ht="12.5">
      <c r="A74" s="8" t="str">
        <f t="shared" ca="1" si="17"/>
        <v>2025Q4</v>
      </c>
      <c r="B74" s="8">
        <f t="shared" ca="1" si="18"/>
        <v>65.86</v>
      </c>
      <c r="C74" s="12">
        <f t="shared" ref="C74:I74" ca="1" si="19">C73</f>
        <v>58.00058448596824</v>
      </c>
      <c r="D74" s="12">
        <f t="shared" ca="1" si="19"/>
        <v>64.959913466835971</v>
      </c>
      <c r="E74" s="12">
        <f t="shared" ca="1" si="19"/>
        <v>71.919242447703709</v>
      </c>
      <c r="F74" s="12">
        <f t="shared" ca="1" si="19"/>
        <v>78.878571428571448</v>
      </c>
      <c r="G74" s="12">
        <f t="shared" ca="1" si="19"/>
        <v>85.837900409439186</v>
      </c>
      <c r="H74" s="12">
        <f t="shared" ca="1" si="19"/>
        <v>92.797229390306924</v>
      </c>
      <c r="I74" s="12">
        <f t="shared" ca="1" si="19"/>
        <v>99.756558371174663</v>
      </c>
    </row>
    <row r="75" spans="1:12" ht="12.5">
      <c r="A75" s="8" t="str">
        <f t="shared" ca="1" si="17"/>
        <v>2025Q3</v>
      </c>
      <c r="B75" s="8">
        <f t="shared" ca="1" si="18"/>
        <v>66.47</v>
      </c>
      <c r="C75" s="12">
        <f t="shared" ref="C75:I75" ca="1" si="20">C74</f>
        <v>58.00058448596824</v>
      </c>
      <c r="D75" s="12">
        <f t="shared" ca="1" si="20"/>
        <v>64.959913466835971</v>
      </c>
      <c r="E75" s="12">
        <f t="shared" ca="1" si="20"/>
        <v>71.919242447703709</v>
      </c>
      <c r="F75" s="12">
        <f t="shared" ca="1" si="20"/>
        <v>78.878571428571448</v>
      </c>
      <c r="G75" s="12">
        <f t="shared" ca="1" si="20"/>
        <v>85.837900409439186</v>
      </c>
      <c r="H75" s="12">
        <f t="shared" ca="1" si="20"/>
        <v>92.797229390306924</v>
      </c>
      <c r="I75" s="12">
        <f t="shared" ca="1" si="20"/>
        <v>99.756558371174663</v>
      </c>
    </row>
    <row r="76" spans="1:12" ht="12.5">
      <c r="A76" s="8" t="str">
        <f t="shared" ca="1" si="17"/>
        <v>2025Q2</v>
      </c>
      <c r="B76" s="8">
        <f t="shared" ca="1" si="18"/>
        <v>69.59</v>
      </c>
      <c r="C76" s="12">
        <f t="shared" ref="C76:I76" ca="1" si="21">C75</f>
        <v>58.00058448596824</v>
      </c>
      <c r="D76" s="12">
        <f t="shared" ca="1" si="21"/>
        <v>64.959913466835971</v>
      </c>
      <c r="E76" s="12">
        <f t="shared" ca="1" si="21"/>
        <v>71.919242447703709</v>
      </c>
      <c r="F76" s="12">
        <f t="shared" ca="1" si="21"/>
        <v>78.878571428571448</v>
      </c>
      <c r="G76" s="12">
        <f t="shared" ca="1" si="21"/>
        <v>85.837900409439186</v>
      </c>
      <c r="H76" s="12">
        <f t="shared" ca="1" si="21"/>
        <v>92.797229390306924</v>
      </c>
      <c r="I76" s="12">
        <f t="shared" ca="1" si="21"/>
        <v>99.756558371174663</v>
      </c>
    </row>
    <row r="77" spans="1:12" ht="12.5">
      <c r="A77" s="8" t="str">
        <f t="shared" ca="1" si="17"/>
        <v>2025Q1</v>
      </c>
      <c r="B77" s="8">
        <f t="shared" ca="1" si="18"/>
        <v>75.63</v>
      </c>
      <c r="C77" s="12">
        <f t="shared" ref="C77:I77" ca="1" si="22">C76</f>
        <v>58.00058448596824</v>
      </c>
      <c r="D77" s="12">
        <f t="shared" ca="1" si="22"/>
        <v>64.959913466835971</v>
      </c>
      <c r="E77" s="12">
        <f t="shared" ca="1" si="22"/>
        <v>71.919242447703709</v>
      </c>
      <c r="F77" s="12">
        <f t="shared" ca="1" si="22"/>
        <v>78.878571428571448</v>
      </c>
      <c r="G77" s="12">
        <f t="shared" ca="1" si="22"/>
        <v>85.837900409439186</v>
      </c>
      <c r="H77" s="12">
        <f t="shared" ca="1" si="22"/>
        <v>92.797229390306924</v>
      </c>
      <c r="I77" s="12">
        <f t="shared" ca="1" si="22"/>
        <v>99.756558371174663</v>
      </c>
    </row>
    <row r="78" spans="1:12" ht="12.5">
      <c r="A78" s="8" t="str">
        <f t="shared" ca="1" si="17"/>
        <v>2024Q4</v>
      </c>
      <c r="B78" s="8">
        <f t="shared" ca="1" si="18"/>
        <v>73.39</v>
      </c>
      <c r="C78" s="12">
        <f t="shared" ref="C78:I78" ca="1" si="23">C77</f>
        <v>58.00058448596824</v>
      </c>
      <c r="D78" s="12">
        <f t="shared" ca="1" si="23"/>
        <v>64.959913466835971</v>
      </c>
      <c r="E78" s="12">
        <f t="shared" ca="1" si="23"/>
        <v>71.919242447703709</v>
      </c>
      <c r="F78" s="12">
        <f t="shared" ca="1" si="23"/>
        <v>78.878571428571448</v>
      </c>
      <c r="G78" s="12">
        <f t="shared" ca="1" si="23"/>
        <v>85.837900409439186</v>
      </c>
      <c r="H78" s="12">
        <f t="shared" ca="1" si="23"/>
        <v>92.797229390306924</v>
      </c>
      <c r="I78" s="12">
        <f t="shared" ca="1" si="23"/>
        <v>99.756558371174663</v>
      </c>
    </row>
    <row r="79" spans="1:12" ht="12.5">
      <c r="A79" s="8" t="str">
        <f t="shared" ca="1" si="17"/>
        <v>2024Q3</v>
      </c>
      <c r="B79" s="8">
        <f t="shared" ca="1" si="18"/>
        <v>79.42</v>
      </c>
      <c r="C79" s="12">
        <f t="shared" ref="C79:I79" ca="1" si="24">C78</f>
        <v>58.00058448596824</v>
      </c>
      <c r="D79" s="12">
        <f t="shared" ca="1" si="24"/>
        <v>64.959913466835971</v>
      </c>
      <c r="E79" s="12">
        <f t="shared" ca="1" si="24"/>
        <v>71.919242447703709</v>
      </c>
      <c r="F79" s="12">
        <f t="shared" ca="1" si="24"/>
        <v>78.878571428571448</v>
      </c>
      <c r="G79" s="12">
        <f t="shared" ca="1" si="24"/>
        <v>85.837900409439186</v>
      </c>
      <c r="H79" s="12">
        <f t="shared" ca="1" si="24"/>
        <v>92.797229390306924</v>
      </c>
      <c r="I79" s="12">
        <f t="shared" ca="1" si="24"/>
        <v>99.756558371174663</v>
      </c>
    </row>
    <row r="80" spans="1:12" ht="12.5">
      <c r="A80" s="8" t="str">
        <f t="shared" ca="1" si="17"/>
        <v>2024Q2</v>
      </c>
      <c r="B80" s="8">
        <f t="shared" ca="1" si="18"/>
        <v>76.989999999999995</v>
      </c>
      <c r="C80" s="12">
        <f t="shared" ref="C80:I80" ca="1" si="25">C79</f>
        <v>58.00058448596824</v>
      </c>
      <c r="D80" s="12">
        <f t="shared" ca="1" si="25"/>
        <v>64.959913466835971</v>
      </c>
      <c r="E80" s="12">
        <f t="shared" ca="1" si="25"/>
        <v>71.919242447703709</v>
      </c>
      <c r="F80" s="12">
        <f t="shared" ca="1" si="25"/>
        <v>78.878571428571448</v>
      </c>
      <c r="G80" s="12">
        <f t="shared" ca="1" si="25"/>
        <v>85.837900409439186</v>
      </c>
      <c r="H80" s="12">
        <f t="shared" ca="1" si="25"/>
        <v>92.797229390306924</v>
      </c>
      <c r="I80" s="12">
        <f t="shared" ca="1" si="25"/>
        <v>99.756558371174663</v>
      </c>
    </row>
    <row r="81" spans="1:9" ht="12.5">
      <c r="A81" s="8" t="str">
        <f t="shared" ca="1" si="17"/>
        <v>2024Q1</v>
      </c>
      <c r="B81" s="8">
        <f t="shared" ca="1" si="18"/>
        <v>83.83</v>
      </c>
      <c r="C81" s="12">
        <f t="shared" ref="C81:I81" ca="1" si="26">C80</f>
        <v>58.00058448596824</v>
      </c>
      <c r="D81" s="12">
        <f t="shared" ca="1" si="26"/>
        <v>64.959913466835971</v>
      </c>
      <c r="E81" s="12">
        <f t="shared" ca="1" si="26"/>
        <v>71.919242447703709</v>
      </c>
      <c r="F81" s="12">
        <f t="shared" ca="1" si="26"/>
        <v>78.878571428571448</v>
      </c>
      <c r="G81" s="12">
        <f t="shared" ca="1" si="26"/>
        <v>85.837900409439186</v>
      </c>
      <c r="H81" s="12">
        <f t="shared" ca="1" si="26"/>
        <v>92.797229390306924</v>
      </c>
      <c r="I81" s="12">
        <f t="shared" ca="1" si="26"/>
        <v>99.756558371174663</v>
      </c>
    </row>
    <row r="82" spans="1:9" ht="12.5">
      <c r="A82" s="8" t="str">
        <f t="shared" ca="1" si="17"/>
        <v>2023Q4</v>
      </c>
      <c r="B82" s="8">
        <f t="shared" ca="1" si="18"/>
        <v>78.599999999999994</v>
      </c>
      <c r="C82" s="12">
        <f t="shared" ref="C82:I82" ca="1" si="27">C81</f>
        <v>58.00058448596824</v>
      </c>
      <c r="D82" s="12">
        <f t="shared" ca="1" si="27"/>
        <v>64.959913466835971</v>
      </c>
      <c r="E82" s="12">
        <f t="shared" ca="1" si="27"/>
        <v>71.919242447703709</v>
      </c>
      <c r="F82" s="12">
        <f t="shared" ca="1" si="27"/>
        <v>78.878571428571448</v>
      </c>
      <c r="G82" s="12">
        <f t="shared" ca="1" si="27"/>
        <v>85.837900409439186</v>
      </c>
      <c r="H82" s="12">
        <f t="shared" ca="1" si="27"/>
        <v>92.797229390306924</v>
      </c>
      <c r="I82" s="12">
        <f t="shared" ca="1" si="27"/>
        <v>99.756558371174663</v>
      </c>
    </row>
    <row r="83" spans="1:9" ht="12.5">
      <c r="A83" s="8" t="str">
        <f t="shared" ca="1" si="17"/>
        <v>2023Q3</v>
      </c>
      <c r="B83" s="8">
        <f t="shared" ca="1" si="18"/>
        <v>89.32</v>
      </c>
      <c r="C83" s="12">
        <f t="shared" ref="C83:I83" ca="1" si="28">C82</f>
        <v>58.00058448596824</v>
      </c>
      <c r="D83" s="12">
        <f t="shared" ca="1" si="28"/>
        <v>64.959913466835971</v>
      </c>
      <c r="E83" s="12">
        <f t="shared" ca="1" si="28"/>
        <v>71.919242447703709</v>
      </c>
      <c r="F83" s="12">
        <f t="shared" ca="1" si="28"/>
        <v>78.878571428571448</v>
      </c>
      <c r="G83" s="12">
        <f t="shared" ca="1" si="28"/>
        <v>85.837900409439186</v>
      </c>
      <c r="H83" s="12">
        <f t="shared" ca="1" si="28"/>
        <v>92.797229390306924</v>
      </c>
      <c r="I83" s="12">
        <f t="shared" ca="1" si="28"/>
        <v>99.756558371174663</v>
      </c>
    </row>
    <row r="84" spans="1:9" ht="12.5">
      <c r="A84" s="8" t="str">
        <f t="shared" ca="1" si="17"/>
        <v>2023Q2</v>
      </c>
      <c r="B84" s="8">
        <f t="shared" ca="1" si="18"/>
        <v>91.86</v>
      </c>
      <c r="C84" s="12">
        <f t="shared" ref="C84:I84" ca="1" si="29">C83</f>
        <v>58.00058448596824</v>
      </c>
      <c r="D84" s="12">
        <f t="shared" ca="1" si="29"/>
        <v>64.959913466835971</v>
      </c>
      <c r="E84" s="12">
        <f t="shared" ca="1" si="29"/>
        <v>71.919242447703709</v>
      </c>
      <c r="F84" s="12">
        <f t="shared" ca="1" si="29"/>
        <v>78.878571428571448</v>
      </c>
      <c r="G84" s="12">
        <f t="shared" ca="1" si="29"/>
        <v>85.837900409439186</v>
      </c>
      <c r="H84" s="12">
        <f t="shared" ca="1" si="29"/>
        <v>92.797229390306924</v>
      </c>
      <c r="I84" s="12">
        <f t="shared" ca="1" si="29"/>
        <v>99.756558371174663</v>
      </c>
    </row>
    <row r="85" spans="1:9" ht="12.5">
      <c r="A85" s="8" t="str">
        <f t="shared" ca="1" si="17"/>
        <v>2023Q1</v>
      </c>
      <c r="B85" s="8">
        <f t="shared" ca="1" si="18"/>
        <v>88.57</v>
      </c>
      <c r="C85" s="12">
        <f t="shared" ref="C85:I85" ca="1" si="30">C84</f>
        <v>58.00058448596824</v>
      </c>
      <c r="D85" s="12">
        <f t="shared" ca="1" si="30"/>
        <v>64.959913466835971</v>
      </c>
      <c r="E85" s="12">
        <f t="shared" ca="1" si="30"/>
        <v>71.919242447703709</v>
      </c>
      <c r="F85" s="12">
        <f t="shared" ca="1" si="30"/>
        <v>78.878571428571448</v>
      </c>
      <c r="G85" s="12">
        <f t="shared" ca="1" si="30"/>
        <v>85.837900409439186</v>
      </c>
      <c r="H85" s="12">
        <f t="shared" ca="1" si="30"/>
        <v>92.797229390306924</v>
      </c>
      <c r="I85" s="12">
        <f t="shared" ca="1" si="30"/>
        <v>99.756558371174663</v>
      </c>
    </row>
    <row r="86" spans="1:9" ht="12.5">
      <c r="A86" s="8" t="str">
        <f t="shared" ca="1" si="17"/>
        <v>2022Q4</v>
      </c>
      <c r="B86" s="8">
        <f t="shared" ca="1" si="18"/>
        <v>83.68</v>
      </c>
      <c r="C86" s="12">
        <f t="shared" ref="C86:I86" ca="1" si="31">C85</f>
        <v>58.00058448596824</v>
      </c>
      <c r="D86" s="12">
        <f t="shared" ca="1" si="31"/>
        <v>64.959913466835971</v>
      </c>
      <c r="E86" s="12">
        <f t="shared" ca="1" si="31"/>
        <v>71.919242447703709</v>
      </c>
      <c r="F86" s="12">
        <f t="shared" ca="1" si="31"/>
        <v>78.878571428571448</v>
      </c>
      <c r="G86" s="12">
        <f t="shared" ca="1" si="31"/>
        <v>85.837900409439186</v>
      </c>
      <c r="H86" s="12">
        <f t="shared" ca="1" si="31"/>
        <v>92.797229390306924</v>
      </c>
      <c r="I86" s="12">
        <f t="shared" ca="1" si="31"/>
        <v>99.756558371174663</v>
      </c>
    </row>
    <row r="87" spans="1:9" ht="12.5">
      <c r="A87" s="8" t="str">
        <f t="shared" ca="1" si="17"/>
        <v>2022Q3</v>
      </c>
      <c r="B87" s="8">
        <f t="shared" ca="1" si="18"/>
        <v>80.819999999999993</v>
      </c>
      <c r="C87" s="12">
        <f t="shared" ref="C87:I87" ca="1" si="32">C86</f>
        <v>58.00058448596824</v>
      </c>
      <c r="D87" s="12">
        <f t="shared" ca="1" si="32"/>
        <v>64.959913466835971</v>
      </c>
      <c r="E87" s="12">
        <f t="shared" ca="1" si="32"/>
        <v>71.919242447703709</v>
      </c>
      <c r="F87" s="12">
        <f t="shared" ca="1" si="32"/>
        <v>78.878571428571448</v>
      </c>
      <c r="G87" s="12">
        <f t="shared" ca="1" si="32"/>
        <v>85.837900409439186</v>
      </c>
      <c r="H87" s="12">
        <f t="shared" ca="1" si="32"/>
        <v>92.797229390306924</v>
      </c>
      <c r="I87" s="12">
        <f t="shared" ca="1" si="32"/>
        <v>99.756558371174663</v>
      </c>
    </row>
    <row r="88" spans="1:9" ht="12.5">
      <c r="A88" s="8" t="str">
        <f t="shared" ca="1" si="17"/>
        <v>2022Q2</v>
      </c>
      <c r="B88" s="8">
        <f t="shared" ca="1" si="18"/>
        <v>85.93</v>
      </c>
      <c r="C88" s="12">
        <f t="shared" ref="C88:I88" ca="1" si="33">C87</f>
        <v>58.00058448596824</v>
      </c>
      <c r="D88" s="12">
        <f t="shared" ca="1" si="33"/>
        <v>64.959913466835971</v>
      </c>
      <c r="E88" s="12">
        <f t="shared" ca="1" si="33"/>
        <v>71.919242447703709</v>
      </c>
      <c r="F88" s="12">
        <f t="shared" ca="1" si="33"/>
        <v>78.878571428571448</v>
      </c>
      <c r="G88" s="12">
        <f t="shared" ca="1" si="33"/>
        <v>85.837900409439186</v>
      </c>
      <c r="H88" s="12">
        <f t="shared" ca="1" si="33"/>
        <v>92.797229390306924</v>
      </c>
      <c r="I88" s="12">
        <f t="shared" ca="1" si="33"/>
        <v>99.756558371174663</v>
      </c>
    </row>
    <row r="89" spans="1:9" ht="12.5">
      <c r="A89" s="8" t="str">
        <f t="shared" ca="1" si="17"/>
        <v>2022Q1</v>
      </c>
      <c r="B89" s="8">
        <f t="shared" ca="1" si="18"/>
        <v>81.22</v>
      </c>
      <c r="C89" s="12">
        <f t="shared" ref="C89:I89" ca="1" si="34">C88</f>
        <v>58.00058448596824</v>
      </c>
      <c r="D89" s="12">
        <f t="shared" ca="1" si="34"/>
        <v>64.959913466835971</v>
      </c>
      <c r="E89" s="12">
        <f t="shared" ca="1" si="34"/>
        <v>71.919242447703709</v>
      </c>
      <c r="F89" s="12">
        <f t="shared" ca="1" si="34"/>
        <v>78.878571428571448</v>
      </c>
      <c r="G89" s="12">
        <f t="shared" ca="1" si="34"/>
        <v>85.837900409439186</v>
      </c>
      <c r="H89" s="12">
        <f t="shared" ca="1" si="34"/>
        <v>92.797229390306924</v>
      </c>
      <c r="I89" s="12">
        <f t="shared" ca="1" si="34"/>
        <v>99.756558371174663</v>
      </c>
    </row>
    <row r="90" spans="1:9" ht="12.5">
      <c r="A90" s="8" t="str">
        <f t="shared" ca="1" si="17"/>
        <v>2021Q4</v>
      </c>
      <c r="B90" s="8">
        <f t="shared" ca="1" si="18"/>
        <v>81.39</v>
      </c>
      <c r="C90" s="12">
        <f t="shared" ref="C90:I90" ca="1" si="35">C89</f>
        <v>58.00058448596824</v>
      </c>
      <c r="D90" s="12">
        <f t="shared" ca="1" si="35"/>
        <v>64.959913466835971</v>
      </c>
      <c r="E90" s="12">
        <f t="shared" ca="1" si="35"/>
        <v>71.919242447703709</v>
      </c>
      <c r="F90" s="12">
        <f t="shared" ca="1" si="35"/>
        <v>78.878571428571448</v>
      </c>
      <c r="G90" s="12">
        <f t="shared" ca="1" si="35"/>
        <v>85.837900409439186</v>
      </c>
      <c r="H90" s="12">
        <f t="shared" ca="1" si="35"/>
        <v>92.797229390306924</v>
      </c>
      <c r="I90" s="12">
        <f t="shared" ca="1" si="35"/>
        <v>99.756558371174663</v>
      </c>
    </row>
    <row r="91" spans="1:9" ht="12.5">
      <c r="A91" s="8" t="str">
        <f t="shared" ca="1" si="17"/>
        <v>2021Q3</v>
      </c>
      <c r="B91" s="8">
        <f t="shared" ca="1" si="18"/>
        <v>78.64</v>
      </c>
      <c r="C91" s="12">
        <f t="shared" ref="C91:I91" ca="1" si="36">C90</f>
        <v>58.00058448596824</v>
      </c>
      <c r="D91" s="12">
        <f t="shared" ca="1" si="36"/>
        <v>64.959913466835971</v>
      </c>
      <c r="E91" s="12">
        <f t="shared" ca="1" si="36"/>
        <v>71.919242447703709</v>
      </c>
      <c r="F91" s="12">
        <f t="shared" ca="1" si="36"/>
        <v>78.878571428571448</v>
      </c>
      <c r="G91" s="12">
        <f t="shared" ca="1" si="36"/>
        <v>85.837900409439186</v>
      </c>
      <c r="H91" s="12">
        <f t="shared" ca="1" si="36"/>
        <v>92.797229390306924</v>
      </c>
      <c r="I91" s="12">
        <f t="shared" ca="1" si="36"/>
        <v>99.756558371174663</v>
      </c>
    </row>
    <row r="92" spans="1:9" ht="12.5">
      <c r="A92" s="8" t="str">
        <f t="shared" ca="1" si="17"/>
        <v>2021Q2</v>
      </c>
      <c r="B92" s="8">
        <f t="shared" ca="1" si="18"/>
        <v>78.67</v>
      </c>
      <c r="C92" s="12">
        <f t="shared" ref="C92:I92" ca="1" si="37">C91</f>
        <v>58.00058448596824</v>
      </c>
      <c r="D92" s="12">
        <f t="shared" ca="1" si="37"/>
        <v>64.959913466835971</v>
      </c>
      <c r="E92" s="12">
        <f t="shared" ca="1" si="37"/>
        <v>71.919242447703709</v>
      </c>
      <c r="F92" s="12">
        <f t="shared" ca="1" si="37"/>
        <v>78.878571428571448</v>
      </c>
      <c r="G92" s="12">
        <f t="shared" ca="1" si="37"/>
        <v>85.837900409439186</v>
      </c>
      <c r="H92" s="12">
        <f t="shared" ca="1" si="37"/>
        <v>92.797229390306924</v>
      </c>
      <c r="I92" s="12">
        <f t="shared" ca="1" si="37"/>
        <v>99.756558371174663</v>
      </c>
    </row>
    <row r="93" spans="1:9" ht="12.5">
      <c r="A93" s="8" t="str">
        <f t="shared" ca="1" si="17"/>
        <v>2021Q1</v>
      </c>
      <c r="B93" s="8">
        <f t="shared" ca="1" si="18"/>
        <v>76.09</v>
      </c>
      <c r="C93" s="8"/>
      <c r="D93" s="8"/>
      <c r="E93" s="8"/>
      <c r="F93" s="8"/>
      <c r="G93" s="8"/>
      <c r="H93" s="8"/>
      <c r="I93" s="8"/>
    </row>
    <row r="101" spans="1:9" ht="12.5">
      <c r="F101" s="12">
        <f ca="1">STDEVP(E26:E46)</f>
        <v>0.1066290898711056</v>
      </c>
    </row>
    <row r="102" spans="1:9" ht="12.5">
      <c r="A102" s="8" t="str">
        <f t="shared" ref="A102:A123" ca="1" si="38">A25</f>
        <v>年度/季別</v>
      </c>
      <c r="B102" s="8" t="str">
        <f t="shared" ref="B102:B122" si="39">E25</f>
        <v>存貨週轉率</v>
      </c>
      <c r="C102" s="12" t="s">
        <v>21</v>
      </c>
      <c r="D102" s="12" t="s">
        <v>22</v>
      </c>
      <c r="E102" s="12" t="s">
        <v>23</v>
      </c>
      <c r="F102" s="12" t="s">
        <v>24</v>
      </c>
      <c r="G102" s="12" t="s">
        <v>25</v>
      </c>
      <c r="H102" s="12" t="s">
        <v>26</v>
      </c>
      <c r="I102" s="12" t="s">
        <v>27</v>
      </c>
    </row>
    <row r="103" spans="1:9" ht="12.5">
      <c r="A103" s="8" t="str">
        <f t="shared" ca="1" si="38"/>
        <v>2026Q1</v>
      </c>
      <c r="B103" s="12">
        <f t="shared" ca="1" si="39"/>
        <v>1.2769580022701474</v>
      </c>
      <c r="C103" s="17">
        <f ca="1">IF(F103-F101*3&lt;0,0,F103-F101*3)</f>
        <v>0.82862740380305389</v>
      </c>
      <c r="D103" s="17">
        <f ca="1">IF(F103-F101*2&lt;0,0,F103-F101*2)</f>
        <v>0.93525649367415953</v>
      </c>
      <c r="E103" s="17">
        <f ca="1">IF(F103-F101*1&lt;0,0,F103-F101*1)</f>
        <v>1.0418855835452652</v>
      </c>
      <c r="F103" s="12">
        <f ca="1">AVERAGE(E26:E46)</f>
        <v>1.1485146734163707</v>
      </c>
      <c r="G103" s="17">
        <f ca="1">F103+F101*1</f>
        <v>1.2551437632874762</v>
      </c>
      <c r="H103" s="17">
        <f ca="1">F103+F101*2</f>
        <v>1.361772853158582</v>
      </c>
      <c r="I103" s="17">
        <f ca="1">F103+F101*3</f>
        <v>1.4684019430296875</v>
      </c>
    </row>
    <row r="104" spans="1:9" ht="12.5">
      <c r="A104" s="8" t="str">
        <f t="shared" ca="1" si="38"/>
        <v>2025Q4</v>
      </c>
      <c r="B104" s="12">
        <f t="shared" ca="1" si="39"/>
        <v>1.3665350744002429</v>
      </c>
      <c r="C104" s="17">
        <f t="shared" ref="C104:I104" ca="1" si="40">C103</f>
        <v>0.82862740380305389</v>
      </c>
      <c r="D104" s="17">
        <f t="shared" ca="1" si="40"/>
        <v>0.93525649367415953</v>
      </c>
      <c r="E104" s="17">
        <f t="shared" ca="1" si="40"/>
        <v>1.0418855835452652</v>
      </c>
      <c r="F104" s="17">
        <f t="shared" ca="1" si="40"/>
        <v>1.1485146734163707</v>
      </c>
      <c r="G104" s="17">
        <f t="shared" ca="1" si="40"/>
        <v>1.2551437632874762</v>
      </c>
      <c r="H104" s="17">
        <f t="shared" ca="1" si="40"/>
        <v>1.361772853158582</v>
      </c>
      <c r="I104" s="17">
        <f t="shared" ca="1" si="40"/>
        <v>1.4684019430296875</v>
      </c>
    </row>
    <row r="105" spans="1:9" ht="12.5">
      <c r="A105" s="8" t="str">
        <f t="shared" ca="1" si="38"/>
        <v>2025Q3</v>
      </c>
      <c r="B105" s="12">
        <f t="shared" ca="1" si="39"/>
        <v>1.3539942831352489</v>
      </c>
      <c r="C105" s="17">
        <f t="shared" ref="C105:I105" ca="1" si="41">C104</f>
        <v>0.82862740380305389</v>
      </c>
      <c r="D105" s="17">
        <f t="shared" ca="1" si="41"/>
        <v>0.93525649367415953</v>
      </c>
      <c r="E105" s="17">
        <f t="shared" ca="1" si="41"/>
        <v>1.0418855835452652</v>
      </c>
      <c r="F105" s="17">
        <f t="shared" ca="1" si="41"/>
        <v>1.1485146734163707</v>
      </c>
      <c r="G105" s="17">
        <f t="shared" ca="1" si="41"/>
        <v>1.2551437632874762</v>
      </c>
      <c r="H105" s="17">
        <f t="shared" ca="1" si="41"/>
        <v>1.361772853158582</v>
      </c>
      <c r="I105" s="17">
        <f t="shared" ca="1" si="41"/>
        <v>1.4684019430296875</v>
      </c>
    </row>
    <row r="106" spans="1:9" ht="12.5">
      <c r="A106" s="8" t="str">
        <f t="shared" ca="1" si="38"/>
        <v>2025Q2</v>
      </c>
      <c r="B106" s="12">
        <f t="shared" ca="1" si="39"/>
        <v>1.2932892656990946</v>
      </c>
      <c r="C106" s="17">
        <f t="shared" ref="C106:I106" ca="1" si="42">C105</f>
        <v>0.82862740380305389</v>
      </c>
      <c r="D106" s="17">
        <f t="shared" ca="1" si="42"/>
        <v>0.93525649367415953</v>
      </c>
      <c r="E106" s="17">
        <f t="shared" ca="1" si="42"/>
        <v>1.0418855835452652</v>
      </c>
      <c r="F106" s="17">
        <f t="shared" ca="1" si="42"/>
        <v>1.1485146734163707</v>
      </c>
      <c r="G106" s="17">
        <f t="shared" ca="1" si="42"/>
        <v>1.2551437632874762</v>
      </c>
      <c r="H106" s="17">
        <f t="shared" ca="1" si="42"/>
        <v>1.361772853158582</v>
      </c>
      <c r="I106" s="17">
        <f t="shared" ca="1" si="42"/>
        <v>1.4684019430296875</v>
      </c>
    </row>
    <row r="107" spans="1:9" ht="12.5">
      <c r="A107" s="8" t="str">
        <f t="shared" ca="1" si="38"/>
        <v>2025Q1</v>
      </c>
      <c r="B107" s="12">
        <f t="shared" ca="1" si="39"/>
        <v>1.1900039666798889</v>
      </c>
      <c r="C107" s="17">
        <f t="shared" ref="C107:I107" ca="1" si="43">C106</f>
        <v>0.82862740380305389</v>
      </c>
      <c r="D107" s="17">
        <f t="shared" ca="1" si="43"/>
        <v>0.93525649367415953</v>
      </c>
      <c r="E107" s="17">
        <f t="shared" ca="1" si="43"/>
        <v>1.0418855835452652</v>
      </c>
      <c r="F107" s="17">
        <f t="shared" ca="1" si="43"/>
        <v>1.1485146734163707</v>
      </c>
      <c r="G107" s="17">
        <f t="shared" ca="1" si="43"/>
        <v>1.2551437632874762</v>
      </c>
      <c r="H107" s="17">
        <f t="shared" ca="1" si="43"/>
        <v>1.361772853158582</v>
      </c>
      <c r="I107" s="17">
        <f t="shared" ca="1" si="43"/>
        <v>1.4684019430296875</v>
      </c>
    </row>
    <row r="108" spans="1:9" ht="12.5">
      <c r="A108" s="8" t="str">
        <f t="shared" ca="1" si="38"/>
        <v>2024Q4</v>
      </c>
      <c r="B108" s="12">
        <f t="shared" ca="1" si="39"/>
        <v>1.2263251124131354</v>
      </c>
      <c r="C108" s="17">
        <f t="shared" ref="C108:I108" ca="1" si="44">C107</f>
        <v>0.82862740380305389</v>
      </c>
      <c r="D108" s="17">
        <f t="shared" ca="1" si="44"/>
        <v>0.93525649367415953</v>
      </c>
      <c r="E108" s="17">
        <f t="shared" ca="1" si="44"/>
        <v>1.0418855835452652</v>
      </c>
      <c r="F108" s="17">
        <f t="shared" ca="1" si="44"/>
        <v>1.1485146734163707</v>
      </c>
      <c r="G108" s="17">
        <f t="shared" ca="1" si="44"/>
        <v>1.2551437632874762</v>
      </c>
      <c r="H108" s="17">
        <f t="shared" ca="1" si="44"/>
        <v>1.361772853158582</v>
      </c>
      <c r="I108" s="17">
        <f t="shared" ca="1" si="44"/>
        <v>1.4684019430296875</v>
      </c>
    </row>
    <row r="109" spans="1:9" ht="12.5">
      <c r="A109" s="8" t="str">
        <f t="shared" ca="1" si="38"/>
        <v>2024Q3</v>
      </c>
      <c r="B109" s="12">
        <f t="shared" ca="1" si="39"/>
        <v>1.1332158146562579</v>
      </c>
      <c r="C109" s="17">
        <f t="shared" ref="C109:I109" ca="1" si="45">C108</f>
        <v>0.82862740380305389</v>
      </c>
      <c r="D109" s="17">
        <f t="shared" ca="1" si="45"/>
        <v>0.93525649367415953</v>
      </c>
      <c r="E109" s="17">
        <f t="shared" ca="1" si="45"/>
        <v>1.0418855835452652</v>
      </c>
      <c r="F109" s="17">
        <f t="shared" ca="1" si="45"/>
        <v>1.1485146734163707</v>
      </c>
      <c r="G109" s="17">
        <f t="shared" ca="1" si="45"/>
        <v>1.2551437632874762</v>
      </c>
      <c r="H109" s="17">
        <f t="shared" ca="1" si="45"/>
        <v>1.361772853158582</v>
      </c>
      <c r="I109" s="17">
        <f t="shared" ca="1" si="45"/>
        <v>1.4684019430296875</v>
      </c>
    </row>
    <row r="110" spans="1:9" ht="12.5">
      <c r="A110" s="8" t="str">
        <f t="shared" ca="1" si="38"/>
        <v>2024Q2</v>
      </c>
      <c r="B110" s="12">
        <f t="shared" ca="1" si="39"/>
        <v>1.1689829848032214</v>
      </c>
      <c r="C110" s="17">
        <f t="shared" ref="C110:I110" ca="1" si="46">C109</f>
        <v>0.82862740380305389</v>
      </c>
      <c r="D110" s="17">
        <f t="shared" ca="1" si="46"/>
        <v>0.93525649367415953</v>
      </c>
      <c r="E110" s="17">
        <f t="shared" ca="1" si="46"/>
        <v>1.0418855835452652</v>
      </c>
      <c r="F110" s="17">
        <f t="shared" ca="1" si="46"/>
        <v>1.1485146734163707</v>
      </c>
      <c r="G110" s="17">
        <f t="shared" ca="1" si="46"/>
        <v>1.2551437632874762</v>
      </c>
      <c r="H110" s="17">
        <f t="shared" ca="1" si="46"/>
        <v>1.361772853158582</v>
      </c>
      <c r="I110" s="17">
        <f t="shared" ca="1" si="46"/>
        <v>1.4684019430296875</v>
      </c>
    </row>
    <row r="111" spans="1:9" ht="12.5">
      <c r="A111" s="8" t="str">
        <f t="shared" ca="1" si="38"/>
        <v>2024Q1</v>
      </c>
      <c r="B111" s="12">
        <f t="shared" ca="1" si="39"/>
        <v>1.0736013360372183</v>
      </c>
      <c r="C111" s="17">
        <f t="shared" ref="C111:I111" ca="1" si="47">C110</f>
        <v>0.82862740380305389</v>
      </c>
      <c r="D111" s="17">
        <f t="shared" ca="1" si="47"/>
        <v>0.93525649367415953</v>
      </c>
      <c r="E111" s="17">
        <f t="shared" ca="1" si="47"/>
        <v>1.0418855835452652</v>
      </c>
      <c r="F111" s="17">
        <f t="shared" ca="1" si="47"/>
        <v>1.1485146734163707</v>
      </c>
      <c r="G111" s="17">
        <f t="shared" ca="1" si="47"/>
        <v>1.2551437632874762</v>
      </c>
      <c r="H111" s="17">
        <f t="shared" ca="1" si="47"/>
        <v>1.361772853158582</v>
      </c>
      <c r="I111" s="17">
        <f t="shared" ca="1" si="47"/>
        <v>1.4684019430296875</v>
      </c>
    </row>
    <row r="112" spans="1:9" ht="12.5">
      <c r="A112" s="8" t="str">
        <f t="shared" ca="1" si="38"/>
        <v>2023Q4</v>
      </c>
      <c r="B112" s="12">
        <f t="shared" ca="1" si="39"/>
        <v>1.1450381679389314</v>
      </c>
      <c r="C112" s="17">
        <f t="shared" ref="C112:I112" ca="1" si="48">C111</f>
        <v>0.82862740380305389</v>
      </c>
      <c r="D112" s="17">
        <f t="shared" ca="1" si="48"/>
        <v>0.93525649367415953</v>
      </c>
      <c r="E112" s="17">
        <f t="shared" ca="1" si="48"/>
        <v>1.0418855835452652</v>
      </c>
      <c r="F112" s="17">
        <f t="shared" ca="1" si="48"/>
        <v>1.1485146734163707</v>
      </c>
      <c r="G112" s="17">
        <f t="shared" ca="1" si="48"/>
        <v>1.2551437632874762</v>
      </c>
      <c r="H112" s="17">
        <f t="shared" ca="1" si="48"/>
        <v>1.361772853158582</v>
      </c>
      <c r="I112" s="17">
        <f t="shared" ca="1" si="48"/>
        <v>1.4684019430296875</v>
      </c>
    </row>
    <row r="113" spans="1:9" ht="12.5">
      <c r="A113" s="8" t="str">
        <f t="shared" ca="1" si="38"/>
        <v>2023Q3</v>
      </c>
      <c r="B113" s="12">
        <f t="shared" ca="1" si="39"/>
        <v>1.007613076578594</v>
      </c>
      <c r="C113" s="17">
        <f t="shared" ref="C113:I113" ca="1" si="49">C112</f>
        <v>0.82862740380305389</v>
      </c>
      <c r="D113" s="17">
        <f t="shared" ca="1" si="49"/>
        <v>0.93525649367415953</v>
      </c>
      <c r="E113" s="17">
        <f t="shared" ca="1" si="49"/>
        <v>1.0418855835452652</v>
      </c>
      <c r="F113" s="17">
        <f t="shared" ca="1" si="49"/>
        <v>1.1485146734163707</v>
      </c>
      <c r="G113" s="17">
        <f t="shared" ca="1" si="49"/>
        <v>1.2551437632874762</v>
      </c>
      <c r="H113" s="17">
        <f t="shared" ca="1" si="49"/>
        <v>1.361772853158582</v>
      </c>
      <c r="I113" s="17">
        <f t="shared" ca="1" si="49"/>
        <v>1.4684019430296875</v>
      </c>
    </row>
    <row r="114" spans="1:9" ht="12.5">
      <c r="A114" s="8" t="str">
        <f t="shared" ca="1" si="38"/>
        <v>2023Q2</v>
      </c>
      <c r="B114" s="12">
        <f t="shared" ca="1" si="39"/>
        <v>0.97975179621162645</v>
      </c>
      <c r="C114" s="17">
        <f t="shared" ref="C114:I114" ca="1" si="50">C113</f>
        <v>0.82862740380305389</v>
      </c>
      <c r="D114" s="17">
        <f t="shared" ca="1" si="50"/>
        <v>0.93525649367415953</v>
      </c>
      <c r="E114" s="17">
        <f t="shared" ca="1" si="50"/>
        <v>1.0418855835452652</v>
      </c>
      <c r="F114" s="17">
        <f t="shared" ca="1" si="50"/>
        <v>1.1485146734163707</v>
      </c>
      <c r="G114" s="17">
        <f t="shared" ca="1" si="50"/>
        <v>1.2551437632874762</v>
      </c>
      <c r="H114" s="17">
        <f t="shared" ca="1" si="50"/>
        <v>1.361772853158582</v>
      </c>
      <c r="I114" s="17">
        <f t="shared" ca="1" si="50"/>
        <v>1.4684019430296875</v>
      </c>
    </row>
    <row r="115" spans="1:9" ht="12.5">
      <c r="A115" s="8" t="str">
        <f t="shared" ca="1" si="38"/>
        <v>2023Q1</v>
      </c>
      <c r="B115" s="12">
        <f t="shared" ca="1" si="39"/>
        <v>1.01614542170035</v>
      </c>
      <c r="C115" s="17">
        <f t="shared" ref="C115:I115" ca="1" si="51">C114</f>
        <v>0.82862740380305389</v>
      </c>
      <c r="D115" s="17">
        <f t="shared" ca="1" si="51"/>
        <v>0.93525649367415953</v>
      </c>
      <c r="E115" s="17">
        <f t="shared" ca="1" si="51"/>
        <v>1.0418855835452652</v>
      </c>
      <c r="F115" s="17">
        <f t="shared" ca="1" si="51"/>
        <v>1.1485146734163707</v>
      </c>
      <c r="G115" s="17">
        <f t="shared" ca="1" si="51"/>
        <v>1.2551437632874762</v>
      </c>
      <c r="H115" s="17">
        <f t="shared" ca="1" si="51"/>
        <v>1.361772853158582</v>
      </c>
      <c r="I115" s="17">
        <f t="shared" ca="1" si="51"/>
        <v>1.4684019430296875</v>
      </c>
    </row>
    <row r="116" spans="1:9" ht="12.5">
      <c r="A116" s="8" t="str">
        <f t="shared" ca="1" si="38"/>
        <v>2022Q4</v>
      </c>
      <c r="B116" s="12">
        <f t="shared" ca="1" si="39"/>
        <v>1.0755258126195029</v>
      </c>
      <c r="C116" s="17">
        <f t="shared" ref="C116:I116" ca="1" si="52">C115</f>
        <v>0.82862740380305389</v>
      </c>
      <c r="D116" s="17">
        <f t="shared" ca="1" si="52"/>
        <v>0.93525649367415953</v>
      </c>
      <c r="E116" s="17">
        <f t="shared" ca="1" si="52"/>
        <v>1.0418855835452652</v>
      </c>
      <c r="F116" s="17">
        <f t="shared" ca="1" si="52"/>
        <v>1.1485146734163707</v>
      </c>
      <c r="G116" s="17">
        <f t="shared" ca="1" si="52"/>
        <v>1.2551437632874762</v>
      </c>
      <c r="H116" s="17">
        <f t="shared" ca="1" si="52"/>
        <v>1.361772853158582</v>
      </c>
      <c r="I116" s="17">
        <f t="shared" ca="1" si="52"/>
        <v>1.4684019430296875</v>
      </c>
    </row>
    <row r="117" spans="1:9" ht="12.5">
      <c r="A117" s="8" t="str">
        <f t="shared" ca="1" si="38"/>
        <v>2022Q3</v>
      </c>
      <c r="B117" s="12">
        <f t="shared" ca="1" si="39"/>
        <v>1.1135857461024501</v>
      </c>
      <c r="C117" s="17">
        <f t="shared" ref="C117:I117" ca="1" si="53">C116</f>
        <v>0.82862740380305389</v>
      </c>
      <c r="D117" s="17">
        <f t="shared" ca="1" si="53"/>
        <v>0.93525649367415953</v>
      </c>
      <c r="E117" s="17">
        <f t="shared" ca="1" si="53"/>
        <v>1.0418855835452652</v>
      </c>
      <c r="F117" s="17">
        <f t="shared" ca="1" si="53"/>
        <v>1.1485146734163707</v>
      </c>
      <c r="G117" s="17">
        <f t="shared" ca="1" si="53"/>
        <v>1.2551437632874762</v>
      </c>
      <c r="H117" s="17">
        <f t="shared" ca="1" si="53"/>
        <v>1.361772853158582</v>
      </c>
      <c r="I117" s="17">
        <f t="shared" ca="1" si="53"/>
        <v>1.4684019430296875</v>
      </c>
    </row>
    <row r="118" spans="1:9" ht="12.5">
      <c r="A118" s="8" t="str">
        <f t="shared" ca="1" si="38"/>
        <v>2022Q2</v>
      </c>
      <c r="B118" s="12">
        <f t="shared" ca="1" si="39"/>
        <v>1.0473641335971138</v>
      </c>
      <c r="C118" s="17">
        <f t="shared" ref="C118:I118" ca="1" si="54">C117</f>
        <v>0.82862740380305389</v>
      </c>
      <c r="D118" s="17">
        <f t="shared" ca="1" si="54"/>
        <v>0.93525649367415953</v>
      </c>
      <c r="E118" s="17">
        <f t="shared" ca="1" si="54"/>
        <v>1.0418855835452652</v>
      </c>
      <c r="F118" s="17">
        <f t="shared" ca="1" si="54"/>
        <v>1.1485146734163707</v>
      </c>
      <c r="G118" s="17">
        <f t="shared" ca="1" si="54"/>
        <v>1.2551437632874762</v>
      </c>
      <c r="H118" s="17">
        <f t="shared" ca="1" si="54"/>
        <v>1.361772853158582</v>
      </c>
      <c r="I118" s="17">
        <f t="shared" ca="1" si="54"/>
        <v>1.4684019430296875</v>
      </c>
    </row>
    <row r="119" spans="1:9" ht="12.5">
      <c r="A119" s="8" t="str">
        <f t="shared" ca="1" si="38"/>
        <v>2022Q1</v>
      </c>
      <c r="B119" s="12">
        <f t="shared" ca="1" si="39"/>
        <v>1.1081014528441271</v>
      </c>
      <c r="C119" s="17">
        <f t="shared" ref="C119:I119" ca="1" si="55">C118</f>
        <v>0.82862740380305389</v>
      </c>
      <c r="D119" s="17">
        <f t="shared" ca="1" si="55"/>
        <v>0.93525649367415953</v>
      </c>
      <c r="E119" s="17">
        <f t="shared" ca="1" si="55"/>
        <v>1.0418855835452652</v>
      </c>
      <c r="F119" s="17">
        <f t="shared" ca="1" si="55"/>
        <v>1.1485146734163707</v>
      </c>
      <c r="G119" s="17">
        <f t="shared" ca="1" si="55"/>
        <v>1.2551437632874762</v>
      </c>
      <c r="H119" s="17">
        <f t="shared" ca="1" si="55"/>
        <v>1.361772853158582</v>
      </c>
      <c r="I119" s="17">
        <f t="shared" ca="1" si="55"/>
        <v>1.4684019430296875</v>
      </c>
    </row>
    <row r="120" spans="1:9" ht="12.5">
      <c r="A120" s="8" t="str">
        <f t="shared" ca="1" si="38"/>
        <v>2021Q4</v>
      </c>
      <c r="B120" s="12">
        <f t="shared" ca="1" si="39"/>
        <v>1.1057869517139698</v>
      </c>
      <c r="C120" s="17">
        <f t="shared" ref="C120:I120" ca="1" si="56">C119</f>
        <v>0.82862740380305389</v>
      </c>
      <c r="D120" s="17">
        <f t="shared" ca="1" si="56"/>
        <v>0.93525649367415953</v>
      </c>
      <c r="E120" s="17">
        <f t="shared" ca="1" si="56"/>
        <v>1.0418855835452652</v>
      </c>
      <c r="F120" s="17">
        <f t="shared" ca="1" si="56"/>
        <v>1.1485146734163707</v>
      </c>
      <c r="G120" s="17">
        <f t="shared" ca="1" si="56"/>
        <v>1.2551437632874762</v>
      </c>
      <c r="H120" s="17">
        <f t="shared" ca="1" si="56"/>
        <v>1.361772853158582</v>
      </c>
      <c r="I120" s="17">
        <f t="shared" ca="1" si="56"/>
        <v>1.4684019430296875</v>
      </c>
    </row>
    <row r="121" spans="1:9" ht="12.5">
      <c r="A121" s="8" t="str">
        <f t="shared" ca="1" si="38"/>
        <v>2021Q3</v>
      </c>
      <c r="B121" s="12">
        <f t="shared" ca="1" si="39"/>
        <v>1.1444557477110886</v>
      </c>
      <c r="C121" s="17">
        <f t="shared" ref="C121:I121" ca="1" si="57">C120</f>
        <v>0.82862740380305389</v>
      </c>
      <c r="D121" s="17">
        <f t="shared" ca="1" si="57"/>
        <v>0.93525649367415953</v>
      </c>
      <c r="E121" s="17">
        <f t="shared" ca="1" si="57"/>
        <v>1.0418855835452652</v>
      </c>
      <c r="F121" s="17">
        <f t="shared" ca="1" si="57"/>
        <v>1.1485146734163707</v>
      </c>
      <c r="G121" s="17">
        <f t="shared" ca="1" si="57"/>
        <v>1.2551437632874762</v>
      </c>
      <c r="H121" s="17">
        <f t="shared" ca="1" si="57"/>
        <v>1.361772853158582</v>
      </c>
      <c r="I121" s="17">
        <f t="shared" ca="1" si="57"/>
        <v>1.4684019430296875</v>
      </c>
    </row>
    <row r="122" spans="1:9" ht="12.5">
      <c r="A122" s="8" t="str">
        <f t="shared" ca="1" si="38"/>
        <v>2021Q2</v>
      </c>
      <c r="B122" s="12">
        <f t="shared" ca="1" si="39"/>
        <v>1.1440193212152028</v>
      </c>
      <c r="C122" s="17">
        <f t="shared" ref="C122:I122" ca="1" si="58">C121</f>
        <v>0.82862740380305389</v>
      </c>
      <c r="D122" s="17">
        <f t="shared" ca="1" si="58"/>
        <v>0.93525649367415953</v>
      </c>
      <c r="E122" s="17">
        <f t="shared" ca="1" si="58"/>
        <v>1.0418855835452652</v>
      </c>
      <c r="F122" s="17">
        <f t="shared" ca="1" si="58"/>
        <v>1.1485146734163707</v>
      </c>
      <c r="G122" s="17">
        <f t="shared" ca="1" si="58"/>
        <v>1.2551437632874762</v>
      </c>
      <c r="H122" s="17">
        <f t="shared" ca="1" si="58"/>
        <v>1.361772853158582</v>
      </c>
      <c r="I122" s="17">
        <f t="shared" ca="1" si="58"/>
        <v>1.4684019430296875</v>
      </c>
    </row>
    <row r="123" spans="1:9" ht="12.5">
      <c r="A123" s="8" t="str">
        <f t="shared" ca="1" si="38"/>
        <v>2021Q1</v>
      </c>
      <c r="B123" s="8"/>
    </row>
    <row r="134" spans="1:5" ht="12.5">
      <c r="A134" s="4" t="s">
        <v>156</v>
      </c>
    </row>
    <row r="144" spans="1:5" ht="12.5">
      <c r="A144" s="4" t="s">
        <v>46</v>
      </c>
      <c r="B144" s="4">
        <f ca="1">營收!S15*3</f>
        <v>907390592</v>
      </c>
      <c r="C144" s="4">
        <f ca="1">營收!S12*3</f>
        <v>1034225696</v>
      </c>
      <c r="D144" s="4">
        <f ca="1">營收!S9*3</f>
        <v>1079872480</v>
      </c>
      <c r="E144" s="4">
        <f ca="1">營收!S6*3</f>
        <v>1143573408</v>
      </c>
    </row>
    <row r="145" spans="1:5" ht="12.5">
      <c r="A145" s="4" t="s">
        <v>47</v>
      </c>
      <c r="B145" s="17">
        <f t="shared" ref="B145:E145" ca="1" si="59">B138/B144</f>
        <v>0</v>
      </c>
      <c r="C145" s="17">
        <f t="shared" ca="1" si="59"/>
        <v>0</v>
      </c>
      <c r="D145" s="17">
        <f t="shared" ca="1" si="59"/>
        <v>0</v>
      </c>
      <c r="E145" s="17">
        <f t="shared" ca="1" si="59"/>
        <v>0</v>
      </c>
    </row>
    <row r="153" spans="1:5" ht="12.5">
      <c r="A153" s="4" t="s">
        <v>156</v>
      </c>
    </row>
    <row r="182" spans="1:1" ht="12.5">
      <c r="A182" s="4" t="s">
        <v>157</v>
      </c>
    </row>
  </sheetData>
  <phoneticPr fontId="43" type="noConversion"/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conditionalFormatting sqref="B17:E17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outlinePr summaryBelow="0" summaryRight="0"/>
  </sheetPr>
  <dimension ref="A1:W206"/>
  <sheetViews>
    <sheetView workbookViewId="0">
      <pane ySplit="2" topLeftCell="A27" activePane="bottomLeft" state="frozen"/>
      <selection pane="bottomLeft" activeCell="I99" sqref="I99"/>
    </sheetView>
  </sheetViews>
  <sheetFormatPr defaultColWidth="12.6328125" defaultRowHeight="15.75" customHeight="1"/>
  <cols>
    <col min="1" max="1" width="11.6328125" customWidth="1"/>
    <col min="2" max="18" width="16" customWidth="1"/>
  </cols>
  <sheetData>
    <row r="1" spans="1:18" ht="30" customHeight="1" thickBot="1">
      <c r="A1" s="411" t="str">
        <f ca="1">IFERROR(__xludf.DUMMYFUNCTION("IMPORTHTML(SUBSTITUTE(""https://fubon-ebrokerdj.fbs.com.tw/z/zc/zcd/zcd_股票代碼.djhtm"", ""股票代碼"",'股價預估'!E1),""table"",0)"),"台積電(2330)之經營績效 季報年報
單位：千股 / 百萬元")</f>
        <v>台積電(2330)之經營績效 季報年報
單位：千股 / 百萬元</v>
      </c>
      <c r="B1" s="412"/>
      <c r="C1" s="412"/>
      <c r="D1" s="412"/>
      <c r="E1" s="412"/>
      <c r="F1" s="412"/>
      <c r="G1" s="412"/>
      <c r="H1" s="412"/>
      <c r="I1" s="412"/>
      <c r="J1" s="412" t="str">
        <f ca="1">"★ 預估EPS "&amp;TEXT(M3,"0.00")&amp;"　近4季EPS年增率 "&amp;TEXT(K3,"+0.0%;-0.0%")&amp;"　中位PE目標價 "&amp;TEXT(E46,"#,##0")&amp;"　目前PE "&amp;TEXT(I96,"0.0")</f>
        <v>★ 預估EPS 98.11　近4季EPS年增率 +53.2%　中位PE目標價 2,267　目前PE 27.8</v>
      </c>
      <c r="K1" s="412"/>
      <c r="L1" s="412"/>
      <c r="M1" s="412"/>
      <c r="N1" s="412"/>
      <c r="O1" s="412"/>
      <c r="P1" s="412"/>
      <c r="Q1" s="412"/>
      <c r="R1" s="412"/>
    </row>
    <row r="2" spans="1:18" ht="15.75" customHeight="1">
      <c r="A2" s="416" t="str">
        <f ca="1">IFERROR(__xludf.DUMMYFUNCTION("""COMPUTED_VALUE"""),"季別")</f>
        <v>季別</v>
      </c>
      <c r="B2" s="417" t="str">
        <f ca="1">IFERROR(__xludf.DUMMYFUNCTION("""COMPUTED_VALUE"""),"加權平均股數")</f>
        <v>加權平均股數</v>
      </c>
      <c r="C2" s="417" t="str">
        <f ca="1">IFERROR(__xludf.DUMMYFUNCTION("""COMPUTED_VALUE"""),"營業收入")</f>
        <v>營業收入</v>
      </c>
      <c r="D2" s="417" t="str">
        <f ca="1">IFERROR(__xludf.DUMMYFUNCTION("""COMPUTED_VALUE"""),"稅前淨利")</f>
        <v>稅前淨利</v>
      </c>
      <c r="E2" s="417" t="str">
        <f ca="1">IFERROR(__xludf.DUMMYFUNCTION("""COMPUTED_VALUE"""),"稅後淨利")</f>
        <v>稅後淨利</v>
      </c>
      <c r="F2" s="417" t="str">
        <f ca="1">IFERROR(__xludf.DUMMYFUNCTION("""COMPUTED_VALUE"""),"每股營收(元)")</f>
        <v>每股營收(元)</v>
      </c>
      <c r="G2" s="417" t="str">
        <f ca="1">IFERROR(__xludf.DUMMYFUNCTION("""COMPUTED_VALUE"""),"稅前每股盈餘(元)")</f>
        <v>稅前每股盈餘(元)</v>
      </c>
      <c r="H2" s="424" t="str">
        <f ca="1">IFERROR(__xludf.DUMMYFUNCTION("""COMPUTED_VALUE"""),"稅後每股盈餘(元)")</f>
        <v>稅後每股盈餘(元)</v>
      </c>
      <c r="I2" s="416" t="s">
        <v>4</v>
      </c>
      <c r="J2" s="417" t="s">
        <v>5</v>
      </c>
      <c r="K2" s="426" t="s">
        <v>6</v>
      </c>
      <c r="L2" s="416" t="s">
        <v>4</v>
      </c>
      <c r="M2" s="417" t="s">
        <v>7</v>
      </c>
      <c r="N2" s="417" t="s">
        <v>8</v>
      </c>
      <c r="O2" s="417" t="s">
        <v>9</v>
      </c>
      <c r="P2" s="417" t="s">
        <v>10</v>
      </c>
      <c r="Q2" s="428" t="s">
        <v>11</v>
      </c>
      <c r="R2" s="429" t="s">
        <v>12</v>
      </c>
    </row>
    <row r="3" spans="1:18" ht="15.75" customHeight="1">
      <c r="A3" s="418" t="str">
        <f ca="1">IFERROR(__xludf.DUMMYFUNCTION("""COMPUTED_VALUE"""),"115.2Q")</f>
        <v>115.2Q</v>
      </c>
      <c r="B3" s="419">
        <f ca="1">IFERROR(__xludf.DUMMYFUNCTION("""COMPUTED_VALUE"""),25928878)</f>
        <v>25928878</v>
      </c>
      <c r="C3" s="419">
        <f ca="1">IFERROR(__xludf.DUMMYFUNCTION("""COMPUTED_VALUE"""),1270380)</f>
        <v>1270380</v>
      </c>
      <c r="D3" s="419">
        <f ca="1">IFERROR(__xludf.DUMMYFUNCTION("""COMPUTED_VALUE"""),862430)</f>
        <v>862430</v>
      </c>
      <c r="E3" s="419">
        <f ca="1">IFERROR(__xludf.DUMMYFUNCTION("""COMPUTED_VALUE"""),706562)</f>
        <v>706562</v>
      </c>
      <c r="F3" s="432">
        <f ca="1">IFERROR(__xludf.DUMMYFUNCTION("""COMPUTED_VALUE"""),48.99)</f>
        <v>48.99</v>
      </c>
      <c r="G3" s="432">
        <f ca="1">IFERROR(__xludf.DUMMYFUNCTION("""COMPUTED_VALUE"""),33.26)</f>
        <v>33.26</v>
      </c>
      <c r="H3" s="433">
        <f ca="1">IFERROR(__xludf.DUMMYFUNCTION("""COMPUTED_VALUE"""),27.25)</f>
        <v>27.25</v>
      </c>
      <c r="I3" s="418" t="str">
        <f t="shared" ref="I3:I22" ca="1" si="0">A3</f>
        <v>115.2Q</v>
      </c>
      <c r="J3" s="438">
        <f t="shared" ref="J3:J18" ca="1" si="1">IF(H7&lt;0,((H3/H7)-1)*-1,(H3/H7)-1)</f>
        <v>0.77408854166666674</v>
      </c>
      <c r="K3" s="439">
        <f t="shared" ref="K3:K15" ca="1" si="2">IF(SUM(H7:H10)&lt;0,((SUM(H3:H6)/SUM(H7:H10))-1)*-1,(SUM(H3:H6)/SUM(H7:H10))-1)</f>
        <v>0.53223228556206714</v>
      </c>
      <c r="L3" s="447" t="s">
        <v>16</v>
      </c>
      <c r="M3" s="448">
        <f ca="1">股價預估!F45</f>
        <v>98.108724539147389</v>
      </c>
      <c r="N3" s="448">
        <f t="shared" ref="N3:N16" ca="1" si="3">IF(SUM(H6:H9)=0,"",SUM(H6:H9))</f>
        <v>61.2</v>
      </c>
      <c r="O3" s="449">
        <f t="shared" ref="O3:O16" ca="1" si="4">IF(N3&lt;0,1-(M3/N3),(M3/N3)-1)</f>
        <v>0.60308373429979389</v>
      </c>
      <c r="P3" s="449">
        <f ca="1">O3</f>
        <v>0.60308373429979389</v>
      </c>
      <c r="Q3" s="449">
        <f ca="1">(O3+O7+O11)/3</f>
        <v>0.43032524886761636</v>
      </c>
      <c r="R3" s="450">
        <f ca="1">(O3+O7+O11+O15)/4</f>
        <v>0.32522931676767136</v>
      </c>
    </row>
    <row r="4" spans="1:18" ht="15.75" customHeight="1">
      <c r="A4" s="418" t="str">
        <f ca="1">IFERROR(__xludf.DUMMYFUNCTION("""COMPUTED_VALUE"""),"115.1Q")</f>
        <v>115.1Q</v>
      </c>
      <c r="B4" s="419">
        <f ca="1">IFERROR(__xludf.DUMMYFUNCTION("""COMPUTED_VALUE"""),25929767)</f>
        <v>25929767</v>
      </c>
      <c r="C4" s="419">
        <f ca="1">IFERROR(__xludf.DUMMYFUNCTION("""COMPUTED_VALUE"""),1134103)</f>
        <v>1134103</v>
      </c>
      <c r="D4" s="419">
        <f ca="1">IFERROR(__xludf.DUMMYFUNCTION("""COMPUTED_VALUE"""),687800)</f>
        <v>687800</v>
      </c>
      <c r="E4" s="419">
        <f ca="1">IFERROR(__xludf.DUMMYFUNCTION("""COMPUTED_VALUE"""),572480)</f>
        <v>572480</v>
      </c>
      <c r="F4" s="432">
        <f ca="1">IFERROR(__xludf.DUMMYFUNCTION("""COMPUTED_VALUE"""),43.73)</f>
        <v>43.73</v>
      </c>
      <c r="G4" s="432">
        <f ca="1">IFERROR(__xludf.DUMMYFUNCTION("""COMPUTED_VALUE"""),26.53)</f>
        <v>26.53</v>
      </c>
      <c r="H4" s="434">
        <f ca="1">IFERROR(__xludf.DUMMYFUNCTION("""COMPUTED_VALUE"""),22.08)</f>
        <v>22.08</v>
      </c>
      <c r="I4" s="418" t="str">
        <f t="shared" ca="1" si="0"/>
        <v>115.1Q</v>
      </c>
      <c r="J4" s="438">
        <f t="shared" ca="1" si="1"/>
        <v>0.58279569892473115</v>
      </c>
      <c r="K4" s="439">
        <f t="shared" ca="1" si="2"/>
        <v>0.47277766778855668</v>
      </c>
      <c r="L4" s="418" t="str">
        <f t="shared" ref="L4:L23" ca="1" si="5">A3</f>
        <v>115.2Q</v>
      </c>
      <c r="M4" s="432">
        <f t="shared" ref="M4:M23" ca="1" si="6">IF(SUM(H3:H6)=0,"",SUM(H3:H6))</f>
        <v>86.28</v>
      </c>
      <c r="N4" s="432">
        <f t="shared" ca="1" si="3"/>
        <v>56.31</v>
      </c>
      <c r="O4" s="438">
        <f t="shared" ca="1" si="4"/>
        <v>0.53223228556206714</v>
      </c>
      <c r="P4" s="441"/>
      <c r="Q4" s="441"/>
      <c r="R4" s="445"/>
    </row>
    <row r="5" spans="1:18" ht="15.75" customHeight="1">
      <c r="A5" s="418" t="str">
        <f ca="1">IFERROR(__xludf.DUMMYFUNCTION("""COMPUTED_VALUE"""),"114.4Q")</f>
        <v>114.4Q</v>
      </c>
      <c r="B5" s="419">
        <f ca="1">IFERROR(__xludf.DUMMYFUNCTION("""COMPUTED_VALUE"""),25928262)</f>
        <v>25928262</v>
      </c>
      <c r="C5" s="419">
        <f ca="1">IFERROR(__xludf.DUMMYFUNCTION("""COMPUTED_VALUE"""),1046090)</f>
        <v>1046090</v>
      </c>
      <c r="D5" s="419">
        <f ca="1">IFERROR(__xludf.DUMMYFUNCTION("""COMPUTED_VALUE"""),592363)</f>
        <v>592363</v>
      </c>
      <c r="E5" s="419">
        <f ca="1">IFERROR(__xludf.DUMMYFUNCTION("""COMPUTED_VALUE"""),505744)</f>
        <v>505744</v>
      </c>
      <c r="F5" s="432">
        <f ca="1">IFERROR(__xludf.DUMMYFUNCTION("""COMPUTED_VALUE"""),40.34)</f>
        <v>40.340000000000003</v>
      </c>
      <c r="G5" s="432">
        <f ca="1">IFERROR(__xludf.DUMMYFUNCTION("""COMPUTED_VALUE"""),22.85)</f>
        <v>22.85</v>
      </c>
      <c r="H5" s="434">
        <f ca="1">IFERROR(__xludf.DUMMYFUNCTION("""COMPUTED_VALUE"""),19.51)</f>
        <v>19.510000000000002</v>
      </c>
      <c r="I5" s="418" t="str">
        <f t="shared" ca="1" si="0"/>
        <v>114.4Q</v>
      </c>
      <c r="J5" s="438">
        <f t="shared" ca="1" si="1"/>
        <v>0.3501730103806231</v>
      </c>
      <c r="K5" s="439">
        <f t="shared" ca="1" si="2"/>
        <v>0.46398585947856819</v>
      </c>
      <c r="L5" s="418" t="str">
        <f t="shared" ca="1" si="5"/>
        <v>115.1Q</v>
      </c>
      <c r="M5" s="432">
        <f t="shared" ca="1" si="6"/>
        <v>74.39</v>
      </c>
      <c r="N5" s="432">
        <f t="shared" ca="1" si="3"/>
        <v>50.510000000000005</v>
      </c>
      <c r="O5" s="438">
        <f t="shared" ca="1" si="4"/>
        <v>0.47277766778855668</v>
      </c>
      <c r="P5" s="441"/>
      <c r="Q5" s="441"/>
      <c r="R5" s="445"/>
    </row>
    <row r="6" spans="1:18" ht="15.75" customHeight="1">
      <c r="A6" s="418" t="str">
        <f ca="1">IFERROR(__xludf.DUMMYFUNCTION("""COMPUTED_VALUE"""),"114.3Q")</f>
        <v>114.3Q</v>
      </c>
      <c r="B6" s="419">
        <f ca="1">IFERROR(__xludf.DUMMYFUNCTION("""COMPUTED_VALUE"""),25928614)</f>
        <v>25928614</v>
      </c>
      <c r="C6" s="419">
        <f ca="1">IFERROR(__xludf.DUMMYFUNCTION("""COMPUTED_VALUE"""),989918)</f>
        <v>989918</v>
      </c>
      <c r="D6" s="419">
        <f ca="1">IFERROR(__xludf.DUMMYFUNCTION("""COMPUTED_VALUE"""),525369)</f>
        <v>525369</v>
      </c>
      <c r="E6" s="419">
        <f ca="1">IFERROR(__xludf.DUMMYFUNCTION("""COMPUTED_VALUE"""),452301)</f>
        <v>452301</v>
      </c>
      <c r="F6" s="432">
        <f ca="1">IFERROR(__xludf.DUMMYFUNCTION("""COMPUTED_VALUE"""),38.17)</f>
        <v>38.17</v>
      </c>
      <c r="G6" s="432">
        <f ca="1">IFERROR(__xludf.DUMMYFUNCTION("""COMPUTED_VALUE"""),20.26)</f>
        <v>20.260000000000002</v>
      </c>
      <c r="H6" s="434">
        <f ca="1">IFERROR(__xludf.DUMMYFUNCTION("""COMPUTED_VALUE"""),17.44)</f>
        <v>17.440000000000001</v>
      </c>
      <c r="I6" s="418" t="str">
        <f t="shared" ca="1" si="0"/>
        <v>114.3Q</v>
      </c>
      <c r="J6" s="438">
        <f t="shared" ca="1" si="1"/>
        <v>0.38964143426294817</v>
      </c>
      <c r="K6" s="439">
        <f t="shared" ca="1" si="2"/>
        <v>0.52923538230884581</v>
      </c>
      <c r="L6" s="418" t="str">
        <f t="shared" ca="1" si="5"/>
        <v>114.4Q</v>
      </c>
      <c r="M6" s="432">
        <f t="shared" ca="1" si="6"/>
        <v>66.260000000000005</v>
      </c>
      <c r="N6" s="432">
        <f t="shared" ca="1" si="3"/>
        <v>45.260000000000005</v>
      </c>
      <c r="O6" s="438">
        <f t="shared" ca="1" si="4"/>
        <v>0.46398585947856819</v>
      </c>
      <c r="P6" s="441"/>
      <c r="Q6" s="441"/>
      <c r="R6" s="445"/>
    </row>
    <row r="7" spans="1:18" ht="15.75" customHeight="1">
      <c r="A7" s="418" t="str">
        <f ca="1">IFERROR(__xludf.DUMMYFUNCTION("""COMPUTED_VALUE"""),"114.2Q")</f>
        <v>114.2Q</v>
      </c>
      <c r="B7" s="419">
        <f ca="1">IFERROR(__xludf.DUMMYFUNCTION("""COMPUTED_VALUE"""),25928255)</f>
        <v>25928255</v>
      </c>
      <c r="C7" s="419">
        <f ca="1">IFERROR(__xludf.DUMMYFUNCTION("""COMPUTED_VALUE"""),933792)</f>
        <v>933792</v>
      </c>
      <c r="D7" s="419">
        <f ca="1">IFERROR(__xludf.DUMMYFUNCTION("""COMPUTED_VALUE"""),493035)</f>
        <v>493035</v>
      </c>
      <c r="E7" s="419">
        <f ca="1">IFERROR(__xludf.DUMMYFUNCTION("""COMPUTED_VALUE"""),398273)</f>
        <v>398273</v>
      </c>
      <c r="F7" s="432">
        <f ca="1">IFERROR(__xludf.DUMMYFUNCTION("""COMPUTED_VALUE"""),36.01)</f>
        <v>36.01</v>
      </c>
      <c r="G7" s="432">
        <f ca="1">IFERROR(__xludf.DUMMYFUNCTION("""COMPUTED_VALUE"""),19.02)</f>
        <v>19.02</v>
      </c>
      <c r="H7" s="434">
        <f ca="1">IFERROR(__xludf.DUMMYFUNCTION("""COMPUTED_VALUE"""),15.36)</f>
        <v>15.36</v>
      </c>
      <c r="I7" s="418" t="str">
        <f t="shared" ca="1" si="0"/>
        <v>114.2Q</v>
      </c>
      <c r="J7" s="438">
        <f t="shared" ca="1" si="1"/>
        <v>0.60669456066945582</v>
      </c>
      <c r="K7" s="439">
        <f t="shared" ca="1" si="2"/>
        <v>0.58129738837405243</v>
      </c>
      <c r="L7" s="418" t="str">
        <f t="shared" ca="1" si="5"/>
        <v>114.3Q</v>
      </c>
      <c r="M7" s="432">
        <f t="shared" ca="1" si="6"/>
        <v>61.2</v>
      </c>
      <c r="N7" s="432">
        <f t="shared" ca="1" si="3"/>
        <v>40.019999999999996</v>
      </c>
      <c r="O7" s="438">
        <f t="shared" ca="1" si="4"/>
        <v>0.52923538230884581</v>
      </c>
      <c r="P7" s="441"/>
      <c r="Q7" s="441"/>
      <c r="R7" s="445"/>
    </row>
    <row r="8" spans="1:18" ht="15.75" customHeight="1">
      <c r="A8" s="418" t="str">
        <f ca="1">IFERROR(__xludf.DUMMYFUNCTION("""COMPUTED_VALUE"""),"114.1Q")</f>
        <v>114.1Q</v>
      </c>
      <c r="B8" s="419">
        <f ca="1">IFERROR(__xludf.DUMMYFUNCTION("""COMPUTED_VALUE"""),25926789)</f>
        <v>25926789</v>
      </c>
      <c r="C8" s="419">
        <f ca="1">IFERROR(__xludf.DUMMYFUNCTION("""COMPUTED_VALUE"""),839254)</f>
        <v>839254</v>
      </c>
      <c r="D8" s="419">
        <f ca="1">IFERROR(__xludf.DUMMYFUNCTION("""COMPUTED_VALUE"""),430895)</f>
        <v>430895</v>
      </c>
      <c r="E8" s="419">
        <f ca="1">IFERROR(__xludf.DUMMYFUNCTION("""COMPUTED_VALUE"""),361564)</f>
        <v>361564</v>
      </c>
      <c r="F8" s="432">
        <f ca="1">IFERROR(__xludf.DUMMYFUNCTION("""COMPUTED_VALUE"""),32.36)</f>
        <v>32.36</v>
      </c>
      <c r="G8" s="432">
        <f ca="1">IFERROR(__xludf.DUMMYFUNCTION("""COMPUTED_VALUE"""),16.62)</f>
        <v>16.62</v>
      </c>
      <c r="H8" s="434">
        <f ca="1">IFERROR(__xludf.DUMMYFUNCTION("""COMPUTED_VALUE"""),13.95)</f>
        <v>13.95</v>
      </c>
      <c r="I8" s="418" t="str">
        <f t="shared" ca="1" si="0"/>
        <v>114.1Q</v>
      </c>
      <c r="J8" s="438">
        <f t="shared" ca="1" si="1"/>
        <v>0.60344827586206895</v>
      </c>
      <c r="K8" s="439">
        <f t="shared" ca="1" si="2"/>
        <v>0.52782819116757418</v>
      </c>
      <c r="L8" s="418" t="str">
        <f t="shared" ca="1" si="5"/>
        <v>114.2Q</v>
      </c>
      <c r="M8" s="432">
        <f t="shared" ca="1" si="6"/>
        <v>56.31</v>
      </c>
      <c r="N8" s="432">
        <f t="shared" ca="1" si="3"/>
        <v>35.61</v>
      </c>
      <c r="O8" s="438">
        <f t="shared" ca="1" si="4"/>
        <v>0.58129738837405243</v>
      </c>
      <c r="P8" s="441"/>
      <c r="Q8" s="441"/>
      <c r="R8" s="445"/>
    </row>
    <row r="9" spans="1:18" ht="15.75" customHeight="1">
      <c r="A9" s="418" t="str">
        <f ca="1">IFERROR(__xludf.DUMMYFUNCTION("""COMPUTED_VALUE"""),"113.4Q")</f>
        <v>113.4Q</v>
      </c>
      <c r="B9" s="419">
        <f ca="1">IFERROR(__xludf.DUMMYFUNCTION("""COMPUTED_VALUE"""),25927556)</f>
        <v>25927556</v>
      </c>
      <c r="C9" s="419">
        <f ca="1">IFERROR(__xludf.DUMMYFUNCTION("""COMPUTED_VALUE"""),868461)</f>
        <v>868461</v>
      </c>
      <c r="D9" s="419">
        <f ca="1">IFERROR(__xludf.DUMMYFUNCTION("""COMPUTED_VALUE"""),448798)</f>
        <v>448798</v>
      </c>
      <c r="E9" s="419">
        <f ca="1">IFERROR(__xludf.DUMMYFUNCTION("""COMPUTED_VALUE"""),374680)</f>
        <v>374680</v>
      </c>
      <c r="F9" s="432">
        <f ca="1">IFERROR(__xludf.DUMMYFUNCTION("""COMPUTED_VALUE"""),33.49)</f>
        <v>33.49</v>
      </c>
      <c r="G9" s="432">
        <f ca="1">IFERROR(__xludf.DUMMYFUNCTION("""COMPUTED_VALUE"""),17.31)</f>
        <v>17.309999999999999</v>
      </c>
      <c r="H9" s="434">
        <f ca="1">IFERROR(__xludf.DUMMYFUNCTION("""COMPUTED_VALUE"""),14.45)</f>
        <v>14.45</v>
      </c>
      <c r="I9" s="418" t="str">
        <f t="shared" ca="1" si="0"/>
        <v>113.4Q</v>
      </c>
      <c r="J9" s="438">
        <f t="shared" ca="1" si="1"/>
        <v>0.56894679695982608</v>
      </c>
      <c r="K9" s="439">
        <f t="shared" ca="1" si="2"/>
        <v>0.39950525664811387</v>
      </c>
      <c r="L9" s="418" t="str">
        <f t="shared" ca="1" si="5"/>
        <v>114.1Q</v>
      </c>
      <c r="M9" s="432">
        <f t="shared" ca="1" si="6"/>
        <v>50.510000000000005</v>
      </c>
      <c r="N9" s="432">
        <f t="shared" ca="1" si="3"/>
        <v>33.06</v>
      </c>
      <c r="O9" s="438">
        <f t="shared" ca="1" si="4"/>
        <v>0.52782819116757418</v>
      </c>
      <c r="P9" s="441"/>
      <c r="Q9" s="441"/>
      <c r="R9" s="445"/>
    </row>
    <row r="10" spans="1:18" ht="15.75" customHeight="1">
      <c r="A10" s="418" t="str">
        <f ca="1">IFERROR(__xludf.DUMMYFUNCTION("""COMPUTED_VALUE"""),"113.3Q")</f>
        <v>113.3Q</v>
      </c>
      <c r="B10" s="419">
        <f ca="1">IFERROR(__xludf.DUMMYFUNCTION("""COMPUTED_VALUE"""),25926018)</f>
        <v>25926018</v>
      </c>
      <c r="C10" s="419">
        <f ca="1">IFERROR(__xludf.DUMMYFUNCTION("""COMPUTED_VALUE"""),759692)</f>
        <v>759692</v>
      </c>
      <c r="D10" s="419">
        <f ca="1">IFERROR(__xludf.DUMMYFUNCTION("""COMPUTED_VALUE"""),384187)</f>
        <v>384187</v>
      </c>
      <c r="E10" s="419">
        <f ca="1">IFERROR(__xludf.DUMMYFUNCTION("""COMPUTED_VALUE"""),325258)</f>
        <v>325258</v>
      </c>
      <c r="F10" s="432">
        <f ca="1">IFERROR(__xludf.DUMMYFUNCTION("""COMPUTED_VALUE"""),29.29)</f>
        <v>29.29</v>
      </c>
      <c r="G10" s="432">
        <f ca="1">IFERROR(__xludf.DUMMYFUNCTION("""COMPUTED_VALUE"""),14.82)</f>
        <v>14.82</v>
      </c>
      <c r="H10" s="434">
        <f ca="1">IFERROR(__xludf.DUMMYFUNCTION("""COMPUTED_VALUE"""),12.55)</f>
        <v>12.55</v>
      </c>
      <c r="I10" s="418" t="str">
        <f t="shared" ca="1" si="0"/>
        <v>113.3Q</v>
      </c>
      <c r="J10" s="438">
        <f t="shared" ca="1" si="1"/>
        <v>0.54176904176904173</v>
      </c>
      <c r="K10" s="439">
        <f t="shared" ca="1" si="2"/>
        <v>0.15865662999420937</v>
      </c>
      <c r="L10" s="418" t="str">
        <f t="shared" ca="1" si="5"/>
        <v>113.4Q</v>
      </c>
      <c r="M10" s="432">
        <f t="shared" ca="1" si="6"/>
        <v>45.260000000000005</v>
      </c>
      <c r="N10" s="432">
        <f t="shared" ca="1" si="3"/>
        <v>32.340000000000003</v>
      </c>
      <c r="O10" s="438">
        <f t="shared" ca="1" si="4"/>
        <v>0.39950525664811387</v>
      </c>
      <c r="P10" s="441"/>
      <c r="Q10" s="441"/>
      <c r="R10" s="445"/>
    </row>
    <row r="11" spans="1:18" ht="15.75" customHeight="1">
      <c r="A11" s="418" t="str">
        <f ca="1">IFERROR(__xludf.DUMMYFUNCTION("""COMPUTED_VALUE"""),"113.2Q")</f>
        <v>113.2Q</v>
      </c>
      <c r="B11" s="419">
        <f ca="1">IFERROR(__xludf.DUMMYFUNCTION("""COMPUTED_VALUE"""),25928972)</f>
        <v>25928972</v>
      </c>
      <c r="C11" s="419">
        <f ca="1">IFERROR(__xludf.DUMMYFUNCTION("""COMPUTED_VALUE"""),673510)</f>
        <v>673510</v>
      </c>
      <c r="D11" s="419">
        <f ca="1">IFERROR(__xludf.DUMMYFUNCTION("""COMPUTED_VALUE"""),306311)</f>
        <v>306311</v>
      </c>
      <c r="E11" s="419">
        <f ca="1">IFERROR(__xludf.DUMMYFUNCTION("""COMPUTED_VALUE"""),247846)</f>
        <v>247846</v>
      </c>
      <c r="F11" s="432">
        <f ca="1">IFERROR(__xludf.DUMMYFUNCTION("""COMPUTED_VALUE"""),25.97)</f>
        <v>25.97</v>
      </c>
      <c r="G11" s="432">
        <f ca="1">IFERROR(__xludf.DUMMYFUNCTION("""COMPUTED_VALUE"""),11.81)</f>
        <v>11.81</v>
      </c>
      <c r="H11" s="434">
        <f ca="1">IFERROR(__xludf.DUMMYFUNCTION("""COMPUTED_VALUE"""),9.56)</f>
        <v>9.56</v>
      </c>
      <c r="I11" s="418" t="str">
        <f t="shared" ca="1" si="0"/>
        <v>113.2Q</v>
      </c>
      <c r="J11" s="438">
        <f t="shared" ca="1" si="1"/>
        <v>0.36376604850213989</v>
      </c>
      <c r="K11" s="439">
        <f t="shared" ca="1" si="2"/>
        <v>-4.3513295729250556E-2</v>
      </c>
      <c r="L11" s="418" t="str">
        <f t="shared" ca="1" si="5"/>
        <v>113.3Q</v>
      </c>
      <c r="M11" s="432">
        <f t="shared" ca="1" si="6"/>
        <v>40.019999999999996</v>
      </c>
      <c r="N11" s="432">
        <f t="shared" ca="1" si="3"/>
        <v>34.540000000000006</v>
      </c>
      <c r="O11" s="438">
        <f t="shared" ca="1" si="4"/>
        <v>0.15865662999420937</v>
      </c>
      <c r="P11" s="441"/>
      <c r="Q11" s="441"/>
      <c r="R11" s="445"/>
    </row>
    <row r="12" spans="1:18" ht="15.75" customHeight="1">
      <c r="A12" s="418" t="str">
        <f ca="1">IFERROR(__xludf.DUMMYFUNCTION("""COMPUTED_VALUE"""),"113.1Q")</f>
        <v>113.1Q</v>
      </c>
      <c r="B12" s="419">
        <f ca="1">IFERROR(__xludf.DUMMYFUNCTION("""COMPUTED_VALUE"""),25929267)</f>
        <v>25929267</v>
      </c>
      <c r="C12" s="419">
        <f ca="1">IFERROR(__xludf.DUMMYFUNCTION("""COMPUTED_VALUE"""),592644)</f>
        <v>592644</v>
      </c>
      <c r="D12" s="419">
        <f ca="1">IFERROR(__xludf.DUMMYFUNCTION("""COMPUTED_VALUE"""),266543)</f>
        <v>266543</v>
      </c>
      <c r="E12" s="419">
        <f ca="1">IFERROR(__xludf.DUMMYFUNCTION("""COMPUTED_VALUE"""),225485)</f>
        <v>225485</v>
      </c>
      <c r="F12" s="432">
        <f ca="1">IFERROR(__xludf.DUMMYFUNCTION("""COMPUTED_VALUE"""),22.85)</f>
        <v>22.85</v>
      </c>
      <c r="G12" s="432">
        <f ca="1">IFERROR(__xludf.DUMMYFUNCTION("""COMPUTED_VALUE"""),10.28)</f>
        <v>10.28</v>
      </c>
      <c r="H12" s="434">
        <f ca="1">IFERROR(__xludf.DUMMYFUNCTION("""COMPUTED_VALUE"""),8.7)</f>
        <v>8.6999999999999993</v>
      </c>
      <c r="I12" s="418" t="str">
        <f t="shared" ca="1" si="0"/>
        <v>113.1Q</v>
      </c>
      <c r="J12" s="438">
        <f t="shared" ca="1" si="1"/>
        <v>9.0225563909774209E-2</v>
      </c>
      <c r="K12" s="439">
        <f t="shared" ca="1" si="2"/>
        <v>-0.16006097560975607</v>
      </c>
      <c r="L12" s="418" t="str">
        <f t="shared" ca="1" si="5"/>
        <v>113.2Q</v>
      </c>
      <c r="M12" s="432">
        <f t="shared" ca="1" si="6"/>
        <v>35.61</v>
      </c>
      <c r="N12" s="432">
        <f t="shared" ca="1" si="3"/>
        <v>37.229999999999997</v>
      </c>
      <c r="O12" s="438">
        <f t="shared" ca="1" si="4"/>
        <v>-4.3513295729250556E-2</v>
      </c>
      <c r="P12" s="441"/>
      <c r="Q12" s="441"/>
      <c r="R12" s="445"/>
    </row>
    <row r="13" spans="1:18" ht="15.75" customHeight="1">
      <c r="A13" s="418" t="str">
        <f ca="1">IFERROR(__xludf.DUMMYFUNCTION("""COMPUTED_VALUE"""),"112.4Q")</f>
        <v>112.4Q</v>
      </c>
      <c r="B13" s="419">
        <f ca="1">IFERROR(__xludf.DUMMYFUNCTION("""COMPUTED_VALUE"""),25929223)</f>
        <v>25929223</v>
      </c>
      <c r="C13" s="419">
        <f ca="1">IFERROR(__xludf.DUMMYFUNCTION("""COMPUTED_VALUE"""),625529)</f>
        <v>625529</v>
      </c>
      <c r="D13" s="419">
        <f ca="1">IFERROR(__xludf.DUMMYFUNCTION("""COMPUTED_VALUE"""),278281)</f>
        <v>278281</v>
      </c>
      <c r="E13" s="419">
        <f ca="1">IFERROR(__xludf.DUMMYFUNCTION("""COMPUTED_VALUE"""),238712)</f>
        <v>238712</v>
      </c>
      <c r="F13" s="432">
        <f ca="1">IFERROR(__xludf.DUMMYFUNCTION("""COMPUTED_VALUE"""),24.12)</f>
        <v>24.12</v>
      </c>
      <c r="G13" s="432">
        <f ca="1">IFERROR(__xludf.DUMMYFUNCTION("""COMPUTED_VALUE"""),10.73)</f>
        <v>10.73</v>
      </c>
      <c r="H13" s="434">
        <f ca="1">IFERROR(__xludf.DUMMYFUNCTION("""COMPUTED_VALUE"""),9.21)</f>
        <v>9.2100000000000009</v>
      </c>
      <c r="I13" s="418" t="str">
        <f t="shared" ca="1" si="0"/>
        <v>112.4Q</v>
      </c>
      <c r="J13" s="438">
        <f t="shared" ca="1" si="1"/>
        <v>-0.19281332164767739</v>
      </c>
      <c r="K13" s="439">
        <f t="shared" ca="1" si="2"/>
        <v>-0.17499999999999993</v>
      </c>
      <c r="L13" s="418" t="str">
        <f t="shared" ca="1" si="5"/>
        <v>113.1Q</v>
      </c>
      <c r="M13" s="432">
        <f t="shared" ca="1" si="6"/>
        <v>33.06</v>
      </c>
      <c r="N13" s="432">
        <f t="shared" ca="1" si="3"/>
        <v>39.36</v>
      </c>
      <c r="O13" s="438">
        <f t="shared" ca="1" si="4"/>
        <v>-0.16006097560975607</v>
      </c>
      <c r="P13" s="441"/>
      <c r="Q13" s="441"/>
      <c r="R13" s="445"/>
    </row>
    <row r="14" spans="1:18" ht="15.75" customHeight="1">
      <c r="A14" s="418" t="str">
        <f ca="1">IFERROR(__xludf.DUMMYFUNCTION("""COMPUTED_VALUE"""),"112.3Q")</f>
        <v>112.3Q</v>
      </c>
      <c r="B14" s="419">
        <f ca="1">IFERROR(__xludf.DUMMYFUNCTION("""COMPUTED_VALUE"""),25929267)</f>
        <v>25929267</v>
      </c>
      <c r="C14" s="419">
        <f ca="1">IFERROR(__xludf.DUMMYFUNCTION("""COMPUTED_VALUE"""),546733)</f>
        <v>546733</v>
      </c>
      <c r="D14" s="419">
        <f ca="1">IFERROR(__xludf.DUMMYFUNCTION("""COMPUTED_VALUE"""),241941)</f>
        <v>241941</v>
      </c>
      <c r="E14" s="419">
        <f ca="1">IFERROR(__xludf.DUMMYFUNCTION("""COMPUTED_VALUE"""),211000)</f>
        <v>211000</v>
      </c>
      <c r="F14" s="432">
        <f ca="1">IFERROR(__xludf.DUMMYFUNCTION("""COMPUTED_VALUE"""),21.08)</f>
        <v>21.08</v>
      </c>
      <c r="G14" s="432">
        <f ca="1">IFERROR(__xludf.DUMMYFUNCTION("""COMPUTED_VALUE"""),9.33)</f>
        <v>9.33</v>
      </c>
      <c r="H14" s="434">
        <f ca="1">IFERROR(__xludf.DUMMYFUNCTION("""COMPUTED_VALUE"""),8.14)</f>
        <v>8.14</v>
      </c>
      <c r="I14" s="418" t="str">
        <f t="shared" ca="1" si="0"/>
        <v>112.3Q</v>
      </c>
      <c r="J14" s="438">
        <f t="shared" ca="1" si="1"/>
        <v>-0.24838411819021233</v>
      </c>
      <c r="K14" s="439">
        <f t="shared" ca="1" si="2"/>
        <v>9.9415204678363622E-3</v>
      </c>
      <c r="L14" s="418" t="str">
        <f t="shared" ca="1" si="5"/>
        <v>112.4Q</v>
      </c>
      <c r="M14" s="432">
        <f t="shared" ca="1" si="6"/>
        <v>32.340000000000003</v>
      </c>
      <c r="N14" s="432">
        <f t="shared" ca="1" si="3"/>
        <v>39.200000000000003</v>
      </c>
      <c r="O14" s="438">
        <f t="shared" ca="1" si="4"/>
        <v>-0.17499999999999993</v>
      </c>
      <c r="P14" s="441"/>
      <c r="Q14" s="441"/>
      <c r="R14" s="445"/>
    </row>
    <row r="15" spans="1:18" ht="15.75" customHeight="1">
      <c r="A15" s="418" t="str">
        <f ca="1">IFERROR(__xludf.DUMMYFUNCTION("""COMPUTED_VALUE"""),"112.2Q")</f>
        <v>112.2Q</v>
      </c>
      <c r="B15" s="419">
        <f ca="1">IFERROR(__xludf.DUMMYFUNCTION("""COMPUTED_VALUE"""),25929268)</f>
        <v>25929268</v>
      </c>
      <c r="C15" s="419">
        <f ca="1">IFERROR(__xludf.DUMMYFUNCTION("""COMPUTED_VALUE"""),480841)</f>
        <v>480841</v>
      </c>
      <c r="D15" s="419">
        <f ca="1">IFERROR(__xludf.DUMMYFUNCTION("""COMPUTED_VALUE"""),214675)</f>
        <v>214675</v>
      </c>
      <c r="E15" s="419">
        <f ca="1">IFERROR(__xludf.DUMMYFUNCTION("""COMPUTED_VALUE"""),181799)</f>
        <v>181799</v>
      </c>
      <c r="F15" s="432">
        <f ca="1">IFERROR(__xludf.DUMMYFUNCTION("""COMPUTED_VALUE"""),18.54)</f>
        <v>18.54</v>
      </c>
      <c r="G15" s="432">
        <f ca="1">IFERROR(__xludf.DUMMYFUNCTION("""COMPUTED_VALUE"""),8.28)</f>
        <v>8.2799999999999994</v>
      </c>
      <c r="H15" s="434">
        <f ca="1">IFERROR(__xludf.DUMMYFUNCTION("""COMPUTED_VALUE"""),7.01)</f>
        <v>7.01</v>
      </c>
      <c r="I15" s="418" t="str">
        <f t="shared" ca="1" si="0"/>
        <v>112.2Q</v>
      </c>
      <c r="J15" s="438">
        <f t="shared" ca="1" si="1"/>
        <v>-0.23304157549234139</v>
      </c>
      <c r="K15" s="439">
        <f t="shared" ca="1" si="2"/>
        <v>0.26632653061224465</v>
      </c>
      <c r="L15" s="418" t="str">
        <f t="shared" ca="1" si="5"/>
        <v>112.3Q</v>
      </c>
      <c r="M15" s="432">
        <f t="shared" ca="1" si="6"/>
        <v>34.540000000000006</v>
      </c>
      <c r="N15" s="432">
        <f t="shared" ca="1" si="3"/>
        <v>34.200000000000003</v>
      </c>
      <c r="O15" s="438">
        <f t="shared" ca="1" si="4"/>
        <v>9.9415204678363622E-3</v>
      </c>
      <c r="P15" s="441"/>
      <c r="Q15" s="441"/>
      <c r="R15" s="445"/>
    </row>
    <row r="16" spans="1:18" ht="15.75" customHeight="1">
      <c r="A16" s="418" t="str">
        <f ca="1">IFERROR(__xludf.DUMMYFUNCTION("""COMPUTED_VALUE"""),"112.1Q")</f>
        <v>112.1Q</v>
      </c>
      <c r="B16" s="419">
        <f ca="1">IFERROR(__xludf.DUMMYFUNCTION("""COMPUTED_VALUE"""),25929088)</f>
        <v>25929088</v>
      </c>
      <c r="C16" s="419">
        <f ca="1">IFERROR(__xludf.DUMMYFUNCTION("""COMPUTED_VALUE"""),508633)</f>
        <v>508633</v>
      </c>
      <c r="D16" s="419">
        <f ca="1">IFERROR(__xludf.DUMMYFUNCTION("""COMPUTED_VALUE"""),244275)</f>
        <v>244275</v>
      </c>
      <c r="E16" s="419">
        <f ca="1">IFERROR(__xludf.DUMMYFUNCTION("""COMPUTED_VALUE"""),206987)</f>
        <v>206987</v>
      </c>
      <c r="F16" s="432">
        <f ca="1">IFERROR(__xludf.DUMMYFUNCTION("""COMPUTED_VALUE"""),19.61)</f>
        <v>19.61</v>
      </c>
      <c r="G16" s="432">
        <f ca="1">IFERROR(__xludf.DUMMYFUNCTION("""COMPUTED_VALUE"""),9.42)</f>
        <v>9.42</v>
      </c>
      <c r="H16" s="434">
        <f ca="1">IFERROR(__xludf.DUMMYFUNCTION("""COMPUTED_VALUE"""),7.98)</f>
        <v>7.98</v>
      </c>
      <c r="I16" s="418" t="str">
        <f t="shared" ca="1" si="0"/>
        <v>112.1Q</v>
      </c>
      <c r="J16" s="438">
        <f t="shared" ca="1" si="1"/>
        <v>2.0460358056265893E-2</v>
      </c>
      <c r="K16" s="440"/>
      <c r="L16" s="418" t="str">
        <f t="shared" ca="1" si="5"/>
        <v>112.2Q</v>
      </c>
      <c r="M16" s="432">
        <f t="shared" ca="1" si="6"/>
        <v>37.229999999999997</v>
      </c>
      <c r="N16" s="432">
        <f t="shared" ca="1" si="3"/>
        <v>29.400000000000002</v>
      </c>
      <c r="O16" s="438">
        <f t="shared" ca="1" si="4"/>
        <v>0.26632653061224465</v>
      </c>
      <c r="P16" s="441"/>
      <c r="Q16" s="441"/>
      <c r="R16" s="445"/>
    </row>
    <row r="17" spans="1:18" ht="15.75" customHeight="1">
      <c r="A17" s="418" t="str">
        <f ca="1">IFERROR(__xludf.DUMMYFUNCTION("""COMPUTED_VALUE"""),"111.4Q")</f>
        <v>111.4Q</v>
      </c>
      <c r="B17" s="419">
        <f ca="1">IFERROR(__xludf.DUMMYFUNCTION("""COMPUTED_VALUE"""),25929190)</f>
        <v>25929190</v>
      </c>
      <c r="C17" s="419">
        <f ca="1">IFERROR(__xludf.DUMMYFUNCTION("""COMPUTED_VALUE"""),625532)</f>
        <v>625532</v>
      </c>
      <c r="D17" s="419">
        <f ca="1">IFERROR(__xludf.DUMMYFUNCTION("""COMPUTED_VALUE"""),334670)</f>
        <v>334670</v>
      </c>
      <c r="E17" s="419">
        <f ca="1">IFERROR(__xludf.DUMMYFUNCTION("""COMPUTED_VALUE"""),295904)</f>
        <v>295904</v>
      </c>
      <c r="F17" s="432">
        <f ca="1">IFERROR(__xludf.DUMMYFUNCTION("""COMPUTED_VALUE"""),24.12)</f>
        <v>24.12</v>
      </c>
      <c r="G17" s="432">
        <f ca="1">IFERROR(__xludf.DUMMYFUNCTION("""COMPUTED_VALUE"""),12.91)</f>
        <v>12.91</v>
      </c>
      <c r="H17" s="434">
        <f ca="1">IFERROR(__xludf.DUMMYFUNCTION("""COMPUTED_VALUE"""),11.41)</f>
        <v>11.41</v>
      </c>
      <c r="I17" s="418" t="str">
        <f t="shared" ca="1" si="0"/>
        <v>111.4Q</v>
      </c>
      <c r="J17" s="438">
        <f t="shared" ca="1" si="1"/>
        <v>0.78003120124804992</v>
      </c>
      <c r="K17" s="440"/>
      <c r="L17" s="418" t="str">
        <f t="shared" ca="1" si="5"/>
        <v>112.1Q</v>
      </c>
      <c r="M17" s="432">
        <f t="shared" ca="1" si="6"/>
        <v>39.36</v>
      </c>
      <c r="N17" s="288"/>
      <c r="O17" s="438" t="str">
        <f t="shared" ref="O17:O23" ca="1" si="7">IFERROR(IF(N17&lt;0,1-(M17/N17),(M17/N17)-1),"")</f>
        <v/>
      </c>
      <c r="P17" s="441"/>
      <c r="Q17" s="441"/>
      <c r="R17" s="445"/>
    </row>
    <row r="18" spans="1:18" ht="15.75" customHeight="1">
      <c r="A18" s="418" t="str">
        <f ca="1">IFERROR(__xludf.DUMMYFUNCTION("""COMPUTED_VALUE"""),"111.3Q")</f>
        <v>111.3Q</v>
      </c>
      <c r="B18" s="419">
        <f ca="1">IFERROR(__xludf.DUMMYFUNCTION("""COMPUTED_VALUE"""),25928993)</f>
        <v>25928993</v>
      </c>
      <c r="C18" s="419">
        <f ca="1">IFERROR(__xludf.DUMMYFUNCTION("""COMPUTED_VALUE"""),613143)</f>
        <v>613143</v>
      </c>
      <c r="D18" s="419">
        <f ca="1">IFERROR(__xludf.DUMMYFUNCTION("""COMPUTED_VALUE"""),316691)</f>
        <v>316691</v>
      </c>
      <c r="E18" s="419">
        <f ca="1">IFERROR(__xludf.DUMMYFUNCTION("""COMPUTED_VALUE"""),280866)</f>
        <v>280866</v>
      </c>
      <c r="F18" s="432">
        <f ca="1">IFERROR(__xludf.DUMMYFUNCTION("""COMPUTED_VALUE"""),23.65)</f>
        <v>23.65</v>
      </c>
      <c r="G18" s="432">
        <f ca="1">IFERROR(__xludf.DUMMYFUNCTION("""COMPUTED_VALUE"""),12.21)</f>
        <v>12.21</v>
      </c>
      <c r="H18" s="434">
        <f ca="1">IFERROR(__xludf.DUMMYFUNCTION("""COMPUTED_VALUE"""),10.83)</f>
        <v>10.83</v>
      </c>
      <c r="I18" s="418" t="str">
        <f t="shared" ca="1" si="0"/>
        <v>111.3Q</v>
      </c>
      <c r="J18" s="438">
        <f t="shared" ca="1" si="1"/>
        <v>0.79601990049751237</v>
      </c>
      <c r="K18" s="440"/>
      <c r="L18" s="418" t="str">
        <f t="shared" ca="1" si="5"/>
        <v>111.4Q</v>
      </c>
      <c r="M18" s="432">
        <f t="shared" ca="1" si="6"/>
        <v>39.200000000000003</v>
      </c>
      <c r="N18" s="288"/>
      <c r="O18" s="438" t="str">
        <f t="shared" ca="1" si="7"/>
        <v/>
      </c>
      <c r="P18" s="441"/>
      <c r="Q18" s="441"/>
      <c r="R18" s="445"/>
    </row>
    <row r="19" spans="1:18" ht="15.75" customHeight="1">
      <c r="A19" s="418" t="str">
        <f ca="1">IFERROR(__xludf.DUMMYFUNCTION("""COMPUTED_VALUE"""),"111.2Q")</f>
        <v>111.2Q</v>
      </c>
      <c r="B19" s="419">
        <f ca="1">IFERROR(__xludf.DUMMYFUNCTION("""COMPUTED_VALUE"""),25928993)</f>
        <v>25928993</v>
      </c>
      <c r="C19" s="419">
        <f ca="1">IFERROR(__xludf.DUMMYFUNCTION("""COMPUTED_VALUE"""),534141)</f>
        <v>534141</v>
      </c>
      <c r="D19" s="419">
        <f ca="1">IFERROR(__xludf.DUMMYFUNCTION("""COMPUTED_VALUE"""),265998)</f>
        <v>265998</v>
      </c>
      <c r="E19" s="419">
        <f ca="1">IFERROR(__xludf.DUMMYFUNCTION("""COMPUTED_VALUE"""),237027)</f>
        <v>237027</v>
      </c>
      <c r="F19" s="432">
        <f ca="1">IFERROR(__xludf.DUMMYFUNCTION("""COMPUTED_VALUE"""),20.6)</f>
        <v>20.6</v>
      </c>
      <c r="G19" s="432">
        <f ca="1">IFERROR(__xludf.DUMMYFUNCTION("""COMPUTED_VALUE"""),10.26)</f>
        <v>10.26</v>
      </c>
      <c r="H19" s="434">
        <f ca="1">IFERROR(__xludf.DUMMYFUNCTION("""COMPUTED_VALUE"""),9.14)</f>
        <v>9.14</v>
      </c>
      <c r="I19" s="418" t="str">
        <f t="shared" ca="1" si="0"/>
        <v>111.2Q</v>
      </c>
      <c r="J19" s="438" t="str">
        <f ca="1">IFERROR(IF(H23&lt;0,((H19/H23)-1)*-1,(H19/H23)-1),"")</f>
        <v/>
      </c>
      <c r="K19" s="440"/>
      <c r="L19" s="418" t="str">
        <f t="shared" ca="1" si="5"/>
        <v>111.3Q</v>
      </c>
      <c r="M19" s="432">
        <f t="shared" ca="1" si="6"/>
        <v>34.200000000000003</v>
      </c>
      <c r="N19" s="288"/>
      <c r="O19" s="438" t="str">
        <f t="shared" ca="1" si="7"/>
        <v/>
      </c>
      <c r="P19" s="441"/>
      <c r="Q19" s="441"/>
      <c r="R19" s="445"/>
    </row>
    <row r="20" spans="1:18" ht="15.75" customHeight="1">
      <c r="A20" s="418" t="str">
        <f ca="1">IFERROR(__xludf.DUMMYFUNCTION("""COMPUTED_VALUE"""),"111.1Q")</f>
        <v>111.1Q</v>
      </c>
      <c r="B20" s="419">
        <f ca="1">IFERROR(__xludf.DUMMYFUNCTION("""COMPUTED_VALUE"""),25929791)</f>
        <v>25929791</v>
      </c>
      <c r="C20" s="419">
        <f ca="1">IFERROR(__xludf.DUMMYFUNCTION("""COMPUTED_VALUE"""),491076)</f>
        <v>491076</v>
      </c>
      <c r="D20" s="419">
        <f ca="1">IFERROR(__xludf.DUMMYFUNCTION("""COMPUTED_VALUE"""),226832)</f>
        <v>226832</v>
      </c>
      <c r="E20" s="419">
        <f ca="1">IFERROR(__xludf.DUMMYFUNCTION("""COMPUTED_VALUE"""),202733)</f>
        <v>202733</v>
      </c>
      <c r="F20" s="432">
        <f ca="1">IFERROR(__xludf.DUMMYFUNCTION("""COMPUTED_VALUE"""),18.94)</f>
        <v>18.940000000000001</v>
      </c>
      <c r="G20" s="432">
        <f ca="1">IFERROR(__xludf.DUMMYFUNCTION("""COMPUTED_VALUE"""),8.75)</f>
        <v>8.75</v>
      </c>
      <c r="H20" s="434">
        <f ca="1">IFERROR(__xludf.DUMMYFUNCTION("""COMPUTED_VALUE"""),7.82)</f>
        <v>7.82</v>
      </c>
      <c r="I20" s="418" t="str">
        <f t="shared" ca="1" si="0"/>
        <v>111.1Q</v>
      </c>
      <c r="J20" s="438" t="str">
        <f ca="1">IFERROR(IF(H24&lt;0,((H20/H24)-1)*-1,(H20/H24)-1),"")</f>
        <v/>
      </c>
      <c r="K20" s="440"/>
      <c r="L20" s="418" t="str">
        <f t="shared" ca="1" si="5"/>
        <v>111.2Q</v>
      </c>
      <c r="M20" s="432">
        <f t="shared" ca="1" si="6"/>
        <v>29.400000000000002</v>
      </c>
      <c r="N20" s="432" t="str">
        <f t="shared" ref="N20:N23" si="8">IF(SUM(H23:H26)=0,"",SUM(H23:H26))</f>
        <v/>
      </c>
      <c r="O20" s="438" t="str">
        <f t="shared" ca="1" si="7"/>
        <v/>
      </c>
      <c r="P20" s="441"/>
      <c r="Q20" s="441"/>
      <c r="R20" s="445"/>
    </row>
    <row r="21" spans="1:18" ht="15.75" customHeight="1">
      <c r="A21" s="418" t="str">
        <f ca="1">IFERROR(__xludf.DUMMYFUNCTION("""COMPUTED_VALUE"""),"110.4Q")</f>
        <v>110.4Q</v>
      </c>
      <c r="B21" s="419">
        <f ca="1">IFERROR(__xludf.DUMMYFUNCTION("""COMPUTED_VALUE"""),25930380)</f>
        <v>25930380</v>
      </c>
      <c r="C21" s="419">
        <f ca="1">IFERROR(__xludf.DUMMYFUNCTION("""COMPUTED_VALUE"""),438189)</f>
        <v>438189</v>
      </c>
      <c r="D21" s="419">
        <f ca="1">IFERROR(__xludf.DUMMYFUNCTION("""COMPUTED_VALUE"""),184819)</f>
        <v>184819</v>
      </c>
      <c r="E21" s="419">
        <f ca="1">IFERROR(__xludf.DUMMYFUNCTION("""COMPUTED_VALUE"""),166232)</f>
        <v>166232</v>
      </c>
      <c r="F21" s="432">
        <f ca="1">IFERROR(__xludf.DUMMYFUNCTION("""COMPUTED_VALUE"""),16.9)</f>
        <v>16.899999999999999</v>
      </c>
      <c r="G21" s="432">
        <f ca="1">IFERROR(__xludf.DUMMYFUNCTION("""COMPUTED_VALUE"""),7.13)</f>
        <v>7.13</v>
      </c>
      <c r="H21" s="434">
        <f ca="1">IFERROR(__xludf.DUMMYFUNCTION("""COMPUTED_VALUE"""),6.41)</f>
        <v>6.41</v>
      </c>
      <c r="I21" s="418" t="str">
        <f t="shared" ca="1" si="0"/>
        <v>110.4Q</v>
      </c>
      <c r="J21" s="438" t="str">
        <f ca="1">IFERROR(IF(H25&lt;0,((H21/H25)-1)*-1,(H21/H25)-1),"")</f>
        <v/>
      </c>
      <c r="K21" s="440"/>
      <c r="L21" s="418" t="str">
        <f t="shared" ca="1" si="5"/>
        <v>111.1Q</v>
      </c>
      <c r="M21" s="432">
        <f t="shared" ca="1" si="6"/>
        <v>20.260000000000002</v>
      </c>
      <c r="N21" s="432" t="str">
        <f t="shared" si="8"/>
        <v/>
      </c>
      <c r="O21" s="438" t="str">
        <f t="shared" ca="1" si="7"/>
        <v/>
      </c>
      <c r="P21" s="441"/>
      <c r="Q21" s="441"/>
      <c r="R21" s="445"/>
    </row>
    <row r="22" spans="1:18" ht="15.75" customHeight="1">
      <c r="A22" s="418" t="str">
        <f ca="1">IFERROR(__xludf.DUMMYFUNCTION("""COMPUTED_VALUE"""),"110.3Q")</f>
        <v>110.3Q</v>
      </c>
      <c r="B22" s="419">
        <f ca="1">IFERROR(__xludf.DUMMYFUNCTION("""COMPUTED_VALUE"""),25930380)</f>
        <v>25930380</v>
      </c>
      <c r="C22" s="419">
        <f ca="1">IFERROR(__xludf.DUMMYFUNCTION("""COMPUTED_VALUE"""),414670)</f>
        <v>414670</v>
      </c>
      <c r="D22" s="419">
        <f ca="1">IFERROR(__xludf.DUMMYFUNCTION("""COMPUTED_VALUE"""),173852)</f>
        <v>173852</v>
      </c>
      <c r="E22" s="419">
        <f ca="1">IFERROR(__xludf.DUMMYFUNCTION("""COMPUTED_VALUE"""),156258)</f>
        <v>156258</v>
      </c>
      <c r="F22" s="432">
        <f ca="1">IFERROR(__xludf.DUMMYFUNCTION("""COMPUTED_VALUE"""),15.99)</f>
        <v>15.99</v>
      </c>
      <c r="G22" s="432">
        <f ca="1">IFERROR(__xludf.DUMMYFUNCTION("""COMPUTED_VALUE"""),6.7)</f>
        <v>6.7</v>
      </c>
      <c r="H22" s="434">
        <f ca="1">IFERROR(__xludf.DUMMYFUNCTION("""COMPUTED_VALUE"""),6.03)</f>
        <v>6.03</v>
      </c>
      <c r="I22" s="418" t="str">
        <f t="shared" ca="1" si="0"/>
        <v>110.3Q</v>
      </c>
      <c r="J22" s="438" t="str">
        <f ca="1">IFERROR(IF(H26&lt;0,((H22/H26)-1)*-1,(H22/H26)-1),"")</f>
        <v/>
      </c>
      <c r="K22" s="440"/>
      <c r="L22" s="418" t="str">
        <f t="shared" ca="1" si="5"/>
        <v>110.4Q</v>
      </c>
      <c r="M22" s="432">
        <f t="shared" ca="1" si="6"/>
        <v>12.440000000000001</v>
      </c>
      <c r="N22" s="432" t="str">
        <f t="shared" si="8"/>
        <v/>
      </c>
      <c r="O22" s="438" t="str">
        <f t="shared" ca="1" si="7"/>
        <v/>
      </c>
      <c r="P22" s="441"/>
      <c r="Q22" s="441"/>
      <c r="R22" s="445"/>
    </row>
    <row r="23" spans="1:18" ht="15.75" customHeight="1">
      <c r="A23" s="421"/>
      <c r="B23" s="289"/>
      <c r="C23" s="289"/>
      <c r="D23" s="289"/>
      <c r="E23" s="289"/>
      <c r="F23" s="288"/>
      <c r="G23" s="288"/>
      <c r="H23" s="435"/>
      <c r="I23" s="421"/>
      <c r="J23" s="441"/>
      <c r="K23" s="440"/>
      <c r="L23" s="418" t="str">
        <f t="shared" ca="1" si="5"/>
        <v>110.3Q</v>
      </c>
      <c r="M23" s="432">
        <f t="shared" ca="1" si="6"/>
        <v>6.03</v>
      </c>
      <c r="N23" s="432" t="str">
        <f t="shared" si="8"/>
        <v/>
      </c>
      <c r="O23" s="438" t="str">
        <f t="shared" ca="1" si="7"/>
        <v/>
      </c>
      <c r="P23" s="441"/>
      <c r="Q23" s="441"/>
      <c r="R23" s="445"/>
    </row>
    <row r="24" spans="1:18" ht="15.75" customHeight="1">
      <c r="A24" s="421"/>
      <c r="B24" s="289"/>
      <c r="C24" s="289"/>
      <c r="D24" s="289"/>
      <c r="E24" s="289"/>
      <c r="F24" s="288"/>
      <c r="G24" s="288"/>
      <c r="H24" s="435"/>
      <c r="I24" s="421"/>
      <c r="J24" s="441"/>
      <c r="K24" s="440"/>
      <c r="L24" s="421"/>
      <c r="M24" s="288"/>
      <c r="N24" s="288"/>
      <c r="O24" s="438"/>
      <c r="P24" s="441"/>
      <c r="Q24" s="441"/>
      <c r="R24" s="445"/>
    </row>
    <row r="25" spans="1:18" ht="15.75" customHeight="1">
      <c r="A25" s="421"/>
      <c r="B25" s="289"/>
      <c r="C25" s="289"/>
      <c r="D25" s="289"/>
      <c r="E25" s="289"/>
      <c r="F25" s="288"/>
      <c r="G25" s="288"/>
      <c r="H25" s="435"/>
      <c r="I25" s="421"/>
      <c r="J25" s="441"/>
      <c r="K25" s="440"/>
      <c r="L25" s="421"/>
      <c r="M25" s="288"/>
      <c r="N25" s="288"/>
      <c r="O25" s="441"/>
      <c r="P25" s="441"/>
      <c r="Q25" s="441"/>
      <c r="R25" s="445"/>
    </row>
    <row r="26" spans="1:18" ht="15.75" customHeight="1">
      <c r="A26" s="421"/>
      <c r="B26" s="419" t="s">
        <v>38</v>
      </c>
      <c r="C26" s="419" t="s">
        <v>39</v>
      </c>
      <c r="D26" s="419" t="s">
        <v>5</v>
      </c>
      <c r="E26" s="419" t="str">
        <f t="shared" ref="E26:G26" si="9">M2</f>
        <v>累積EPS</v>
      </c>
      <c r="F26" s="432" t="str">
        <f t="shared" si="9"/>
        <v>去年累積EPS</v>
      </c>
      <c r="G26" s="432" t="str">
        <f t="shared" si="9"/>
        <v>EPS累積年增率</v>
      </c>
      <c r="H26" s="435"/>
      <c r="I26" s="421"/>
      <c r="J26" s="441"/>
      <c r="K26" s="440"/>
      <c r="L26" s="421"/>
      <c r="M26" s="288"/>
      <c r="N26" s="288"/>
      <c r="O26" s="441"/>
      <c r="P26" s="441"/>
      <c r="Q26" s="441"/>
      <c r="R26" s="445"/>
    </row>
    <row r="27" spans="1:18" ht="15.75" customHeight="1">
      <c r="A27" s="418" t="str">
        <f t="shared" ref="A27:A39" ca="1" si="10">A3</f>
        <v>115.2Q</v>
      </c>
      <c r="B27" s="419">
        <f t="shared" ref="B27:B39" ca="1" si="11">H3</f>
        <v>27.25</v>
      </c>
      <c r="C27" s="419">
        <f t="shared" ref="C27:C39" ca="1" si="12">H7</f>
        <v>15.36</v>
      </c>
      <c r="D27" s="419">
        <f t="shared" ref="D27:D39" ca="1" si="13">J3</f>
        <v>0.77408854166666674</v>
      </c>
      <c r="E27" s="419">
        <f t="shared" ref="E27:G27" ca="1" si="14">M3</f>
        <v>98.108724539147389</v>
      </c>
      <c r="F27" s="432">
        <f t="shared" ca="1" si="14"/>
        <v>61.2</v>
      </c>
      <c r="G27" s="432">
        <f t="shared" ca="1" si="14"/>
        <v>0.60308373429979389</v>
      </c>
      <c r="H27" s="435"/>
      <c r="I27" s="421"/>
      <c r="J27" s="441"/>
      <c r="K27" s="440"/>
      <c r="L27" s="421"/>
      <c r="M27" s="288"/>
      <c r="N27" s="288"/>
      <c r="O27" s="441"/>
      <c r="P27" s="441"/>
      <c r="Q27" s="441"/>
      <c r="R27" s="445"/>
    </row>
    <row r="28" spans="1:18" ht="15.75" customHeight="1">
      <c r="A28" s="418" t="str">
        <f t="shared" ca="1" si="10"/>
        <v>115.1Q</v>
      </c>
      <c r="B28" s="419">
        <f t="shared" ca="1" si="11"/>
        <v>22.08</v>
      </c>
      <c r="C28" s="419">
        <f t="shared" ca="1" si="12"/>
        <v>13.95</v>
      </c>
      <c r="D28" s="419">
        <f t="shared" ca="1" si="13"/>
        <v>0.58279569892473115</v>
      </c>
      <c r="E28" s="419">
        <f t="shared" ref="E28:G28" ca="1" si="15">M4</f>
        <v>86.28</v>
      </c>
      <c r="F28" s="432">
        <f t="shared" ca="1" si="15"/>
        <v>56.31</v>
      </c>
      <c r="G28" s="432">
        <f t="shared" ca="1" si="15"/>
        <v>0.53223228556206714</v>
      </c>
      <c r="H28" s="435"/>
      <c r="I28" s="421"/>
      <c r="J28" s="441"/>
      <c r="K28" s="440"/>
      <c r="L28" s="421"/>
      <c r="M28" s="288"/>
      <c r="N28" s="288"/>
      <c r="O28" s="441"/>
      <c r="P28" s="441"/>
      <c r="Q28" s="441"/>
      <c r="R28" s="445"/>
    </row>
    <row r="29" spans="1:18" ht="15.75" customHeight="1">
      <c r="A29" s="418" t="str">
        <f t="shared" ca="1" si="10"/>
        <v>114.4Q</v>
      </c>
      <c r="B29" s="419">
        <f t="shared" ca="1" si="11"/>
        <v>19.510000000000002</v>
      </c>
      <c r="C29" s="419">
        <f t="shared" ca="1" si="12"/>
        <v>14.45</v>
      </c>
      <c r="D29" s="419">
        <f t="shared" ca="1" si="13"/>
        <v>0.3501730103806231</v>
      </c>
      <c r="E29" s="419">
        <f t="shared" ref="E29:G29" ca="1" si="16">M5</f>
        <v>74.39</v>
      </c>
      <c r="F29" s="432">
        <f t="shared" ca="1" si="16"/>
        <v>50.510000000000005</v>
      </c>
      <c r="G29" s="432">
        <f t="shared" ca="1" si="16"/>
        <v>0.47277766778855668</v>
      </c>
      <c r="H29" s="435"/>
      <c r="I29" s="421"/>
      <c r="J29" s="441"/>
      <c r="K29" s="440"/>
      <c r="L29" s="421"/>
      <c r="M29" s="288"/>
      <c r="N29" s="288"/>
      <c r="O29" s="441"/>
      <c r="P29" s="441"/>
      <c r="Q29" s="441"/>
      <c r="R29" s="445"/>
    </row>
    <row r="30" spans="1:18" ht="15.75" customHeight="1">
      <c r="A30" s="418" t="str">
        <f t="shared" ca="1" si="10"/>
        <v>114.3Q</v>
      </c>
      <c r="B30" s="419">
        <f t="shared" ca="1" si="11"/>
        <v>17.440000000000001</v>
      </c>
      <c r="C30" s="419">
        <f t="shared" ca="1" si="12"/>
        <v>12.55</v>
      </c>
      <c r="D30" s="419">
        <f t="shared" ca="1" si="13"/>
        <v>0.38964143426294817</v>
      </c>
      <c r="E30" s="419">
        <f t="shared" ref="E30:G30" ca="1" si="17">M6</f>
        <v>66.260000000000005</v>
      </c>
      <c r="F30" s="432">
        <f t="shared" ca="1" si="17"/>
        <v>45.260000000000005</v>
      </c>
      <c r="G30" s="432">
        <f t="shared" ca="1" si="17"/>
        <v>0.46398585947856819</v>
      </c>
      <c r="H30" s="435"/>
      <c r="I30" s="421"/>
      <c r="J30" s="441"/>
      <c r="K30" s="440"/>
      <c r="L30" s="421"/>
      <c r="M30" s="288"/>
      <c r="N30" s="288"/>
      <c r="O30" s="441"/>
      <c r="P30" s="441"/>
      <c r="Q30" s="441"/>
      <c r="R30" s="445"/>
    </row>
    <row r="31" spans="1:18" ht="15.75" customHeight="1">
      <c r="A31" s="418" t="str">
        <f t="shared" ca="1" si="10"/>
        <v>114.2Q</v>
      </c>
      <c r="B31" s="419">
        <f t="shared" ca="1" si="11"/>
        <v>15.36</v>
      </c>
      <c r="C31" s="419">
        <f t="shared" ca="1" si="12"/>
        <v>9.56</v>
      </c>
      <c r="D31" s="419">
        <f t="shared" ca="1" si="13"/>
        <v>0.60669456066945582</v>
      </c>
      <c r="E31" s="419">
        <f t="shared" ref="E31:G31" ca="1" si="18">M7</f>
        <v>61.2</v>
      </c>
      <c r="F31" s="432">
        <f t="shared" ca="1" si="18"/>
        <v>40.019999999999996</v>
      </c>
      <c r="G31" s="432">
        <f t="shared" ca="1" si="18"/>
        <v>0.52923538230884581</v>
      </c>
      <c r="H31" s="435"/>
      <c r="I31" s="421"/>
      <c r="J31" s="441"/>
      <c r="K31" s="440"/>
      <c r="L31" s="421"/>
      <c r="M31" s="288"/>
      <c r="N31" s="288"/>
      <c r="O31" s="441"/>
      <c r="P31" s="441"/>
      <c r="Q31" s="441"/>
      <c r="R31" s="445"/>
    </row>
    <row r="32" spans="1:18" ht="15.75" customHeight="1">
      <c r="A32" s="418" t="str">
        <f t="shared" ca="1" si="10"/>
        <v>114.1Q</v>
      </c>
      <c r="B32" s="419">
        <f t="shared" ca="1" si="11"/>
        <v>13.95</v>
      </c>
      <c r="C32" s="419">
        <f t="shared" ca="1" si="12"/>
        <v>8.6999999999999993</v>
      </c>
      <c r="D32" s="419">
        <f t="shared" ca="1" si="13"/>
        <v>0.60344827586206895</v>
      </c>
      <c r="E32" s="289"/>
      <c r="F32" s="288"/>
      <c r="G32" s="288"/>
      <c r="H32" s="435"/>
      <c r="I32" s="421"/>
      <c r="J32" s="441"/>
      <c r="K32" s="440"/>
      <c r="L32" s="421"/>
      <c r="M32" s="288"/>
      <c r="N32" s="288"/>
      <c r="O32" s="441"/>
      <c r="P32" s="441"/>
      <c r="Q32" s="441"/>
      <c r="R32" s="445"/>
    </row>
    <row r="33" spans="1:18" ht="15.75" customHeight="1">
      <c r="A33" s="418" t="str">
        <f t="shared" ca="1" si="10"/>
        <v>113.4Q</v>
      </c>
      <c r="B33" s="419">
        <f t="shared" ca="1" si="11"/>
        <v>14.45</v>
      </c>
      <c r="C33" s="419">
        <f t="shared" ca="1" si="12"/>
        <v>9.2100000000000009</v>
      </c>
      <c r="D33" s="419">
        <f t="shared" ca="1" si="13"/>
        <v>0.56894679695982608</v>
      </c>
      <c r="E33" s="289"/>
      <c r="F33" s="288"/>
      <c r="G33" s="288"/>
      <c r="H33" s="435"/>
      <c r="I33" s="421"/>
      <c r="J33" s="441"/>
      <c r="K33" s="440"/>
      <c r="L33" s="421"/>
      <c r="M33" s="288"/>
      <c r="N33" s="288"/>
      <c r="O33" s="441"/>
      <c r="P33" s="441"/>
      <c r="Q33" s="441"/>
      <c r="R33" s="445"/>
    </row>
    <row r="34" spans="1:18" ht="15.75" customHeight="1">
      <c r="A34" s="418" t="str">
        <f t="shared" ca="1" si="10"/>
        <v>113.3Q</v>
      </c>
      <c r="B34" s="419">
        <f t="shared" ca="1" si="11"/>
        <v>12.55</v>
      </c>
      <c r="C34" s="419">
        <f t="shared" ca="1" si="12"/>
        <v>8.14</v>
      </c>
      <c r="D34" s="419">
        <f t="shared" ca="1" si="13"/>
        <v>0.54176904176904173</v>
      </c>
      <c r="E34" s="289"/>
      <c r="F34" s="288"/>
      <c r="G34" s="288"/>
      <c r="H34" s="435"/>
      <c r="I34" s="421"/>
      <c r="J34" s="441"/>
      <c r="K34" s="440"/>
      <c r="L34" s="421"/>
      <c r="M34" s="288"/>
      <c r="N34" s="288"/>
      <c r="O34" s="441"/>
      <c r="P34" s="441"/>
      <c r="Q34" s="441"/>
      <c r="R34" s="445"/>
    </row>
    <row r="35" spans="1:18" ht="15.75" customHeight="1">
      <c r="A35" s="418" t="str">
        <f t="shared" ca="1" si="10"/>
        <v>113.2Q</v>
      </c>
      <c r="B35" s="419">
        <f t="shared" ca="1" si="11"/>
        <v>9.56</v>
      </c>
      <c r="C35" s="419">
        <f t="shared" ca="1" si="12"/>
        <v>7.01</v>
      </c>
      <c r="D35" s="419">
        <f t="shared" ca="1" si="13"/>
        <v>0.36376604850213989</v>
      </c>
      <c r="E35" s="289"/>
      <c r="F35" s="288"/>
      <c r="G35" s="288"/>
      <c r="H35" s="435"/>
      <c r="I35" s="421"/>
      <c r="J35" s="441"/>
      <c r="K35" s="440"/>
      <c r="L35" s="421"/>
      <c r="M35" s="288"/>
      <c r="N35" s="288"/>
      <c r="O35" s="441"/>
      <c r="P35" s="441"/>
      <c r="Q35" s="441"/>
      <c r="R35" s="445"/>
    </row>
    <row r="36" spans="1:18" ht="15.75" customHeight="1">
      <c r="A36" s="418" t="str">
        <f t="shared" ca="1" si="10"/>
        <v>113.1Q</v>
      </c>
      <c r="B36" s="419">
        <f t="shared" ca="1" si="11"/>
        <v>8.6999999999999993</v>
      </c>
      <c r="C36" s="419">
        <f t="shared" ca="1" si="12"/>
        <v>7.98</v>
      </c>
      <c r="D36" s="419">
        <f t="shared" ca="1" si="13"/>
        <v>9.0225563909774209E-2</v>
      </c>
      <c r="E36" s="289"/>
      <c r="F36" s="288"/>
      <c r="G36" s="288"/>
      <c r="H36" s="435"/>
      <c r="I36" s="421"/>
      <c r="J36" s="441"/>
      <c r="K36" s="440"/>
      <c r="L36" s="421"/>
      <c r="M36" s="288"/>
      <c r="N36" s="288"/>
      <c r="O36" s="441"/>
      <c r="P36" s="441"/>
      <c r="Q36" s="441"/>
      <c r="R36" s="445"/>
    </row>
    <row r="37" spans="1:18" ht="15.75" customHeight="1">
      <c r="A37" s="418" t="str">
        <f t="shared" ca="1" si="10"/>
        <v>112.4Q</v>
      </c>
      <c r="B37" s="419">
        <f t="shared" ca="1" si="11"/>
        <v>9.2100000000000009</v>
      </c>
      <c r="C37" s="419">
        <f t="shared" ca="1" si="12"/>
        <v>11.41</v>
      </c>
      <c r="D37" s="419">
        <f t="shared" ca="1" si="13"/>
        <v>-0.19281332164767739</v>
      </c>
      <c r="E37" s="289"/>
      <c r="F37" s="288"/>
      <c r="G37" s="288"/>
      <c r="H37" s="435"/>
      <c r="I37" s="421"/>
      <c r="J37" s="441"/>
      <c r="K37" s="439" t="s">
        <v>40</v>
      </c>
      <c r="L37" s="421"/>
      <c r="M37" s="288"/>
      <c r="N37" s="288"/>
      <c r="O37" s="441"/>
      <c r="P37" s="441"/>
      <c r="Q37" s="441"/>
      <c r="R37" s="445"/>
    </row>
    <row r="38" spans="1:18" ht="15.75" customHeight="1">
      <c r="A38" s="418" t="str">
        <f t="shared" ca="1" si="10"/>
        <v>112.3Q</v>
      </c>
      <c r="B38" s="419">
        <f t="shared" ca="1" si="11"/>
        <v>8.14</v>
      </c>
      <c r="C38" s="419">
        <f t="shared" ca="1" si="12"/>
        <v>10.83</v>
      </c>
      <c r="D38" s="419">
        <f t="shared" ca="1" si="13"/>
        <v>-0.24838411819021233</v>
      </c>
      <c r="E38" s="289"/>
      <c r="F38" s="288"/>
      <c r="G38" s="288"/>
      <c r="H38" s="435"/>
      <c r="I38" s="421"/>
      <c r="J38" s="441"/>
      <c r="K38" s="440"/>
      <c r="L38" s="421"/>
      <c r="M38" s="288"/>
      <c r="N38" s="288"/>
      <c r="O38" s="441"/>
      <c r="P38" s="441"/>
      <c r="Q38" s="441"/>
      <c r="R38" s="445"/>
    </row>
    <row r="39" spans="1:18" ht="15.75" customHeight="1" thickBot="1">
      <c r="A39" s="423" t="str">
        <f t="shared" ca="1" si="10"/>
        <v>112.2Q</v>
      </c>
      <c r="B39" s="430">
        <f t="shared" ca="1" si="11"/>
        <v>7.01</v>
      </c>
      <c r="C39" s="430">
        <f t="shared" ca="1" si="12"/>
        <v>9.14</v>
      </c>
      <c r="D39" s="430">
        <f t="shared" ca="1" si="13"/>
        <v>-0.23304157549234139</v>
      </c>
      <c r="E39" s="431"/>
      <c r="F39" s="436"/>
      <c r="G39" s="436"/>
      <c r="H39" s="437"/>
      <c r="I39" s="425"/>
      <c r="J39" s="442"/>
      <c r="K39" s="443"/>
      <c r="L39" s="425"/>
      <c r="M39" s="436"/>
      <c r="N39" s="436"/>
      <c r="O39" s="442"/>
      <c r="P39" s="442"/>
      <c r="Q39" s="442"/>
      <c r="R39" s="446"/>
    </row>
    <row r="41" spans="1:18" ht="15.75" customHeight="1">
      <c r="I41" s="5"/>
    </row>
    <row r="42" spans="1:18" ht="15.75" customHeight="1">
      <c r="I42" s="5"/>
    </row>
    <row r="43" spans="1:18" ht="15.75" customHeight="1" thickBot="1"/>
    <row r="44" spans="1:18" ht="15.75" customHeight="1">
      <c r="B44" s="452" t="s">
        <v>41</v>
      </c>
      <c r="C44" s="428"/>
      <c r="D44" s="428"/>
      <c r="E44" s="428" t="s">
        <v>42</v>
      </c>
      <c r="F44" s="428"/>
      <c r="G44" s="428"/>
      <c r="H44" s="428" t="s">
        <v>43</v>
      </c>
      <c r="I44" s="429" t="s">
        <v>38</v>
      </c>
      <c r="J44" s="19" t="s">
        <v>44</v>
      </c>
      <c r="K44" s="20" t="s">
        <v>45</v>
      </c>
    </row>
    <row r="45" spans="1:18" ht="15.75" customHeight="1">
      <c r="B45" s="453">
        <f ca="1">H96</f>
        <v>40.80585621322065</v>
      </c>
      <c r="C45" s="454">
        <f ca="1">G96</f>
        <v>34.906365680608637</v>
      </c>
      <c r="D45" s="455">
        <f ca="1">F96</f>
        <v>29.006875147996624</v>
      </c>
      <c r="E45" s="454">
        <f ca="1">E96</f>
        <v>23.107384615384614</v>
      </c>
      <c r="F45" s="454">
        <f ca="1">D96</f>
        <v>17.207894082772604</v>
      </c>
      <c r="G45" s="454">
        <f ca="1">C96</f>
        <v>11.308403550160593</v>
      </c>
      <c r="H45" s="454">
        <f ca="1">B96</f>
        <v>5.4089130175485813</v>
      </c>
      <c r="I45" s="444"/>
      <c r="J45" s="21">
        <f ca="1">股價預估!E42</f>
        <v>27.758460825220212</v>
      </c>
      <c r="K45" s="22">
        <f ca="1">股價預估!G45</f>
        <v>24.411692346936444</v>
      </c>
    </row>
    <row r="46" spans="1:18" ht="15.75" customHeight="1">
      <c r="A46" s="459" t="s">
        <v>16</v>
      </c>
      <c r="B46" s="460">
        <f ca="1">B45*I46</f>
        <v>4003.4105068069207</v>
      </c>
      <c r="C46" s="461">
        <f ca="1">C45*I46</f>
        <v>3424.6190152215809</v>
      </c>
      <c r="D46" s="461">
        <f ca="1">D45*I46</f>
        <v>2845.827523636241</v>
      </c>
      <c r="E46" s="461">
        <f ca="1">E45*I46</f>
        <v>2267.0360320509012</v>
      </c>
      <c r="F46" s="461">
        <f ca="1">F45*I46</f>
        <v>1688.2445404655618</v>
      </c>
      <c r="G46" s="461">
        <f ca="1">G45*I46</f>
        <v>1109.453048880222</v>
      </c>
      <c r="H46" s="461">
        <f ca="1">H45*I46</f>
        <v>530.6615572948823</v>
      </c>
      <c r="I46" s="462">
        <f ca="1">股價預估!F45</f>
        <v>98.108724539147389</v>
      </c>
      <c r="J46" s="17">
        <f ca="1">J45*I46</f>
        <v>2723.3471867322437</v>
      </c>
      <c r="K46" s="17">
        <f ca="1">K45*I46</f>
        <v>2395</v>
      </c>
    </row>
    <row r="47" spans="1:18" ht="15.75" customHeight="1">
      <c r="A47" s="4" t="str">
        <f t="shared" ref="A47:A64" ca="1" si="19">A3</f>
        <v>115.2Q</v>
      </c>
      <c r="B47" s="456">
        <f ca="1">B45*I47</f>
        <v>3520.7292740766779</v>
      </c>
      <c r="C47" s="419">
        <f ca="1">C45*I47</f>
        <v>3011.721230922913</v>
      </c>
      <c r="D47" s="419">
        <f ca="1">D45*I47</f>
        <v>2502.7131877691486</v>
      </c>
      <c r="E47" s="419">
        <f ca="1">E45*I47</f>
        <v>1993.7051446153846</v>
      </c>
      <c r="F47" s="419">
        <f ca="1">F45*I47</f>
        <v>1484.6971014616204</v>
      </c>
      <c r="G47" s="419">
        <f ca="1">G45*I47</f>
        <v>975.68905830785593</v>
      </c>
      <c r="H47" s="419">
        <f ca="1">H45*I47</f>
        <v>466.6810151540916</v>
      </c>
      <c r="I47" s="444">
        <f t="shared" ref="I47:I63" ca="1" si="20">IF(SUM(H3:H6)=0,"",SUM(H3:H6))</f>
        <v>86.28</v>
      </c>
      <c r="J47" s="17">
        <f ca="1">J45*I47</f>
        <v>2395</v>
      </c>
      <c r="K47" s="17">
        <f ca="1">K45*I47</f>
        <v>2106.2408156936763</v>
      </c>
    </row>
    <row r="48" spans="1:18" ht="15.75" customHeight="1">
      <c r="A48" s="4" t="str">
        <f t="shared" ca="1" si="19"/>
        <v>115.1Q</v>
      </c>
      <c r="B48" s="456">
        <f ca="1">B45*I48</f>
        <v>3035.547643701484</v>
      </c>
      <c r="C48" s="419">
        <f ca="1">C45*I48</f>
        <v>2596.6845429804766</v>
      </c>
      <c r="D48" s="419">
        <f ca="1">D45*I48</f>
        <v>2157.8214422594688</v>
      </c>
      <c r="E48" s="419">
        <f ca="1">E45*I48</f>
        <v>1718.9583415384614</v>
      </c>
      <c r="F48" s="419">
        <f ca="1">F45*I48</f>
        <v>1280.0952408174539</v>
      </c>
      <c r="G48" s="419">
        <f ca="1">G45*I48</f>
        <v>841.23214009644653</v>
      </c>
      <c r="H48" s="419">
        <f ca="1">H45*I48</f>
        <v>402.36903937543894</v>
      </c>
      <c r="I48" s="444">
        <f t="shared" ca="1" si="20"/>
        <v>74.39</v>
      </c>
      <c r="J48" s="17">
        <f ca="1">J45*I48</f>
        <v>2064.9519007881318</v>
      </c>
      <c r="K48" s="17">
        <f ca="1">K45*I48</f>
        <v>1815.9857936886021</v>
      </c>
    </row>
    <row r="49" spans="1:20" ht="15.75" customHeight="1">
      <c r="A49" s="4" t="str">
        <f t="shared" ca="1" si="19"/>
        <v>114.4Q</v>
      </c>
      <c r="B49" s="456">
        <f ca="1">B45*I49</f>
        <v>2703.7960326880007</v>
      </c>
      <c r="C49" s="419">
        <f ca="1">C45*I49</f>
        <v>2312.8957899971283</v>
      </c>
      <c r="D49" s="419">
        <f ca="1">D45*I49</f>
        <v>1921.9955473062564</v>
      </c>
      <c r="E49" s="419">
        <f ca="1">E45*I49</f>
        <v>1531.0953046153847</v>
      </c>
      <c r="F49" s="419">
        <f ca="1">F45*I49</f>
        <v>1140.1950619245129</v>
      </c>
      <c r="G49" s="419">
        <f ca="1">G45*I49</f>
        <v>749.29481923364096</v>
      </c>
      <c r="H49" s="419">
        <f ca="1">H45*I49</f>
        <v>358.39457654276902</v>
      </c>
      <c r="I49" s="444">
        <f t="shared" ca="1" si="20"/>
        <v>66.260000000000005</v>
      </c>
      <c r="J49" s="17">
        <f ca="1">J45*I49</f>
        <v>1839.2756142790913</v>
      </c>
      <c r="K49" s="17">
        <f ca="1">K45*I49</f>
        <v>1617.518734908009</v>
      </c>
    </row>
    <row r="50" spans="1:20" ht="15.75" customHeight="1" thickBot="1">
      <c r="A50" s="4" t="str">
        <f t="shared" ca="1" si="19"/>
        <v>114.3Q</v>
      </c>
      <c r="B50" s="457">
        <f ca="1">B45*I50</f>
        <v>2497.3184002491039</v>
      </c>
      <c r="C50" s="430">
        <f ca="1">C45*I50</f>
        <v>2136.2695796532489</v>
      </c>
      <c r="D50" s="430">
        <f ca="1">D45*I50</f>
        <v>1775.2207590573935</v>
      </c>
      <c r="E50" s="430">
        <f ca="1">E45*I50</f>
        <v>1414.1719384615385</v>
      </c>
      <c r="F50" s="430">
        <f ca="1">F45*I50</f>
        <v>1053.1231178656835</v>
      </c>
      <c r="G50" s="430">
        <f ca="1">G45*I50</f>
        <v>692.07429726982832</v>
      </c>
      <c r="H50" s="430">
        <f ca="1">H45*I50</f>
        <v>331.02547667397317</v>
      </c>
      <c r="I50" s="458">
        <f t="shared" ca="1" si="20"/>
        <v>61.2</v>
      </c>
      <c r="J50" s="17">
        <f ca="1">J45*I50</f>
        <v>1698.817802503477</v>
      </c>
      <c r="K50" s="17">
        <f ca="1">K45*I50</f>
        <v>1493.9955716325105</v>
      </c>
    </row>
    <row r="51" spans="1:20" ht="15.75" customHeight="1">
      <c r="A51" s="4" t="str">
        <f t="shared" ca="1" si="19"/>
        <v>114.2Q</v>
      </c>
      <c r="B51" s="5"/>
      <c r="C51" s="5"/>
      <c r="I51" s="4">
        <f t="shared" ca="1" si="20"/>
        <v>56.31</v>
      </c>
    </row>
    <row r="52" spans="1:20" ht="15.75" customHeight="1">
      <c r="A52" s="4" t="str">
        <f t="shared" ca="1" si="19"/>
        <v>114.1Q</v>
      </c>
      <c r="B52" s="5"/>
      <c r="C52" s="5"/>
      <c r="I52" s="4">
        <f t="shared" ca="1" si="20"/>
        <v>50.510000000000005</v>
      </c>
    </row>
    <row r="53" spans="1:20" ht="15.75" customHeight="1">
      <c r="A53" s="4" t="str">
        <f t="shared" ca="1" si="19"/>
        <v>113.4Q</v>
      </c>
      <c r="I53" s="4">
        <f t="shared" ca="1" si="20"/>
        <v>45.260000000000005</v>
      </c>
    </row>
    <row r="54" spans="1:20" ht="15.75" customHeight="1">
      <c r="A54" s="4" t="str">
        <f t="shared" ca="1" si="19"/>
        <v>113.3Q</v>
      </c>
      <c r="I54" s="4">
        <f t="shared" ca="1" si="20"/>
        <v>40.019999999999996</v>
      </c>
    </row>
    <row r="55" spans="1:20" ht="15.75" customHeight="1">
      <c r="A55" s="4" t="str">
        <f t="shared" ca="1" si="19"/>
        <v>113.2Q</v>
      </c>
      <c r="I55" s="4">
        <f t="shared" ca="1" si="20"/>
        <v>35.61</v>
      </c>
    </row>
    <row r="56" spans="1:20" ht="12.5">
      <c r="A56" s="4" t="str">
        <f t="shared" ca="1" si="19"/>
        <v>113.1Q</v>
      </c>
      <c r="I56" s="4">
        <f t="shared" ca="1" si="20"/>
        <v>33.06</v>
      </c>
    </row>
    <row r="57" spans="1:20" ht="12.5">
      <c r="A57" s="4" t="str">
        <f t="shared" ca="1" si="19"/>
        <v>112.4Q</v>
      </c>
      <c r="I57" s="4">
        <f t="shared" ca="1" si="20"/>
        <v>32.340000000000003</v>
      </c>
    </row>
    <row r="58" spans="1:20" ht="12.5">
      <c r="A58" s="4" t="str">
        <f t="shared" ca="1" si="19"/>
        <v>112.3Q</v>
      </c>
      <c r="I58" s="4">
        <f t="shared" ca="1" si="20"/>
        <v>34.540000000000006</v>
      </c>
    </row>
    <row r="59" spans="1:20" ht="12.5">
      <c r="A59" s="4" t="str">
        <f t="shared" ca="1" si="19"/>
        <v>112.2Q</v>
      </c>
      <c r="I59" s="4">
        <f t="shared" ca="1" si="20"/>
        <v>37.229999999999997</v>
      </c>
    </row>
    <row r="60" spans="1:20" ht="12.5">
      <c r="A60" s="4" t="str">
        <f t="shared" ca="1" si="19"/>
        <v>112.1Q</v>
      </c>
      <c r="I60" s="4">
        <f t="shared" ca="1" si="20"/>
        <v>39.36</v>
      </c>
    </row>
    <row r="61" spans="1:20" ht="12.5">
      <c r="A61" s="4" t="str">
        <f t="shared" ca="1" si="19"/>
        <v>111.4Q</v>
      </c>
      <c r="I61" s="4">
        <f t="shared" ca="1" si="20"/>
        <v>39.200000000000003</v>
      </c>
    </row>
    <row r="62" spans="1:20" ht="12.5">
      <c r="A62" s="4" t="str">
        <f t="shared" ca="1" si="19"/>
        <v>111.3Q</v>
      </c>
      <c r="I62" s="4">
        <f t="shared" ca="1" si="20"/>
        <v>34.200000000000003</v>
      </c>
    </row>
    <row r="63" spans="1:20" ht="12.5">
      <c r="A63" s="4" t="str">
        <f t="shared" ca="1" si="19"/>
        <v>111.2Q</v>
      </c>
      <c r="I63" s="4">
        <f t="shared" ca="1" si="20"/>
        <v>29.400000000000002</v>
      </c>
    </row>
    <row r="64" spans="1:20" ht="12.5">
      <c r="A64" s="4" t="str">
        <f t="shared" ca="1" si="19"/>
        <v>111.1Q</v>
      </c>
      <c r="R64" s="8"/>
      <c r="S64" s="8"/>
      <c r="T64" s="8"/>
    </row>
    <row r="65" spans="2:23" ht="12.5">
      <c r="R65" s="8"/>
      <c r="S65" s="8"/>
      <c r="T65" s="8"/>
    </row>
    <row r="66" spans="2:23" ht="12.5">
      <c r="R66" s="8"/>
      <c r="S66" s="8"/>
      <c r="T66" s="8"/>
    </row>
    <row r="67" spans="2:23" ht="12.5">
      <c r="R67" s="8"/>
      <c r="S67" s="8"/>
      <c r="T67" s="8"/>
    </row>
    <row r="68" spans="2:23" ht="12.5">
      <c r="R68" s="8"/>
      <c r="S68" s="8"/>
      <c r="T68" s="8"/>
    </row>
    <row r="69" spans="2:23" ht="12.5">
      <c r="R69" s="8"/>
      <c r="S69" s="8"/>
      <c r="T69" s="8"/>
    </row>
    <row r="70" spans="2:23" ht="12.5">
      <c r="R70" s="8"/>
      <c r="S70" s="8"/>
      <c r="T70" s="8"/>
    </row>
    <row r="71" spans="2:23" ht="12.5">
      <c r="R71" s="8"/>
      <c r="S71" s="8"/>
      <c r="T71" s="8"/>
    </row>
    <row r="74" spans="2:23" ht="15.75" customHeight="1" thickBot="1"/>
    <row r="75" spans="2:23" ht="13">
      <c r="B75" s="414" t="str">
        <f ca="1">IFERROR(__xludf.DUMMYFUNCTION("IMPORTHTML(SUBSTITUTE(""https://histock.tw/stock/financial.aspx?no=股票代碼&amp;t=6"", ""股票代碼"",'股價預估'!E1),""table"",0)"),"年度/月份")</f>
        <v>年度/月份</v>
      </c>
      <c r="C75" s="413" t="str">
        <f ca="1">IFERROR(__xludf.DUMMYFUNCTION("""COMPUTED_VALUE"""),"本益比")</f>
        <v>本益比</v>
      </c>
      <c r="D75" s="413" t="str">
        <f ca="1">IFERROR(__xludf.DUMMYFUNCTION("""COMPUTED_VALUE"""),"年度/月份")</f>
        <v>年度/月份</v>
      </c>
      <c r="E75" s="413" t="str">
        <f ca="1">IFERROR(__xludf.DUMMYFUNCTION("""COMPUTED_VALUE"""),"本益比")</f>
        <v>本益比</v>
      </c>
      <c r="F75" s="413" t="str">
        <f ca="1">IFERROR(__xludf.DUMMYFUNCTION("""COMPUTED_VALUE"""),"年度/月份")</f>
        <v>年度/月份</v>
      </c>
      <c r="G75" s="413" t="str">
        <f ca="1">IFERROR(__xludf.DUMMYFUNCTION("""COMPUTED_VALUE"""),"本益比")</f>
        <v>本益比</v>
      </c>
      <c r="H75" s="413" t="str">
        <f ca="1">IFERROR(__xludf.DUMMYFUNCTION("""COMPUTED_VALUE"""),"年度/月份")</f>
        <v>年度/月份</v>
      </c>
      <c r="I75" s="415" t="str">
        <f ca="1">IFERROR(__xludf.DUMMYFUNCTION("""COMPUTED_VALUE"""),"本益比")</f>
        <v>本益比</v>
      </c>
      <c r="J75" s="4" t="str">
        <f ca="1">IFERROR(__xludf.DUMMYFUNCTION("""COMPUTED_VALUE"""),"年度/月份")</f>
        <v>年度/月份</v>
      </c>
      <c r="K75" s="4" t="str">
        <f ca="1">IFERROR(__xludf.DUMMYFUNCTION("""COMPUTED_VALUE"""),"本益比")</f>
        <v>本益比</v>
      </c>
      <c r="O75" s="4" t="str">
        <f t="shared" ref="O75:P75" ca="1" si="21">B75</f>
        <v>年度/月份</v>
      </c>
      <c r="P75" s="4" t="str">
        <f t="shared" ca="1" si="21"/>
        <v>本益比</v>
      </c>
      <c r="Q75" s="4" t="str">
        <f t="shared" ref="Q75:W75" si="22">B95</f>
        <v>-3倍標準差</v>
      </c>
      <c r="R75" s="17" t="str">
        <f t="shared" si="22"/>
        <v>-2倍標準差</v>
      </c>
      <c r="S75" s="17" t="str">
        <f t="shared" si="22"/>
        <v>-1倍標準差</v>
      </c>
      <c r="T75" s="17" t="str">
        <f t="shared" si="22"/>
        <v>5年標準差</v>
      </c>
      <c r="U75" s="17" t="str">
        <f t="shared" si="22"/>
        <v>1倍標準差</v>
      </c>
      <c r="V75" s="17" t="str">
        <f t="shared" si="22"/>
        <v>2倍標準差</v>
      </c>
      <c r="W75" s="4" t="str">
        <f t="shared" si="22"/>
        <v>3倍標準差</v>
      </c>
    </row>
    <row r="76" spans="2:23" ht="12.5">
      <c r="B76" s="475">
        <f ca="1">IFERROR(__xludf.DUMMYFUNCTION("""COMPUTED_VALUE"""),46235)</f>
        <v>46235</v>
      </c>
      <c r="C76" s="17">
        <f ca="1">IFERROR(__xludf.DUMMYFUNCTION("""COMPUTED_VALUE"""),27.76)</f>
        <v>27.76</v>
      </c>
      <c r="D76" s="23">
        <f ca="1">IFERROR(__xludf.DUMMYFUNCTION("""COMPUTED_VALUE"""),45839)</f>
        <v>45839</v>
      </c>
      <c r="E76" s="17">
        <f ca="1">IFERROR(__xludf.DUMMYFUNCTION("""COMPUTED_VALUE"""),22.97)</f>
        <v>22.97</v>
      </c>
      <c r="F76" s="23">
        <f ca="1">IFERROR(__xludf.DUMMYFUNCTION("""COMPUTED_VALUE"""),45444)</f>
        <v>45444</v>
      </c>
      <c r="G76" s="17">
        <f ca="1">IFERROR(__xludf.DUMMYFUNCTION("""COMPUTED_VALUE"""),29.24)</f>
        <v>29.24</v>
      </c>
      <c r="H76" s="23">
        <f ca="1">IFERROR(__xludf.DUMMYFUNCTION("""COMPUTED_VALUE"""),45017)</f>
        <v>45017</v>
      </c>
      <c r="I76" s="477">
        <f ca="1">IFERROR(__xludf.DUMMYFUNCTION("""COMPUTED_VALUE"""),12.81)</f>
        <v>12.81</v>
      </c>
      <c r="J76" s="23">
        <f ca="1">IFERROR(__xludf.DUMMYFUNCTION("""COMPUTED_VALUE"""),44621)</f>
        <v>44621</v>
      </c>
      <c r="K76" s="4">
        <f ca="1">IFERROR(__xludf.DUMMYFUNCTION("""COMPUTED_VALUE"""),25.95)</f>
        <v>25.95</v>
      </c>
      <c r="O76" s="24">
        <f ca="1">DATE(YEAR(TODAY()),MONTH(TODAY())+2,DAY(TODAY()))</f>
        <v>46312</v>
      </c>
      <c r="P76" s="17">
        <f ca="1">J96</f>
        <v>24.411692346936444</v>
      </c>
      <c r="Q76" s="17">
        <f t="shared" ref="Q76:W76" ca="1" si="23">B96</f>
        <v>5.4089130175485813</v>
      </c>
      <c r="R76" s="17">
        <f t="shared" ca="1" si="23"/>
        <v>11.308403550160593</v>
      </c>
      <c r="S76" s="17">
        <f t="shared" ca="1" si="23"/>
        <v>17.207894082772604</v>
      </c>
      <c r="T76" s="17">
        <f t="shared" ca="1" si="23"/>
        <v>23.107384615384614</v>
      </c>
      <c r="U76" s="17">
        <f t="shared" ca="1" si="23"/>
        <v>29.006875147996624</v>
      </c>
      <c r="V76" s="17">
        <f t="shared" ca="1" si="23"/>
        <v>34.906365680608637</v>
      </c>
      <c r="W76" s="17">
        <f t="shared" ca="1" si="23"/>
        <v>40.80585621322065</v>
      </c>
    </row>
    <row r="77" spans="2:23" ht="12.5">
      <c r="B77" s="475">
        <f ca="1">IFERROR(__xludf.DUMMYFUNCTION("""COMPUTED_VALUE"""),46204)</f>
        <v>46204</v>
      </c>
      <c r="C77" s="17">
        <f ca="1">IFERROR(__xludf.DUMMYFUNCTION("""COMPUTED_VALUE"""),32.6)</f>
        <v>32.6</v>
      </c>
      <c r="D77" s="23">
        <f ca="1">IFERROR(__xludf.DUMMYFUNCTION("""COMPUTED_VALUE"""),45809)</f>
        <v>45809</v>
      </c>
      <c r="E77" s="17">
        <f ca="1">IFERROR(__xludf.DUMMYFUNCTION("""COMPUTED_VALUE"""),20.99)</f>
        <v>20.99</v>
      </c>
      <c r="F77" s="23">
        <f ca="1">IFERROR(__xludf.DUMMYFUNCTION("""COMPUTED_VALUE"""),45413)</f>
        <v>45413</v>
      </c>
      <c r="G77" s="17">
        <f ca="1">IFERROR(__xludf.DUMMYFUNCTION("""COMPUTED_VALUE"""),24.85)</f>
        <v>24.85</v>
      </c>
      <c r="H77" s="23">
        <f ca="1">IFERROR(__xludf.DUMMYFUNCTION("""COMPUTED_VALUE"""),44986)</f>
        <v>44986</v>
      </c>
      <c r="I77" s="477">
        <f ca="1">IFERROR(__xludf.DUMMYFUNCTION("""COMPUTED_VALUE"""),13.6)</f>
        <v>13.6</v>
      </c>
      <c r="J77" s="23">
        <f ca="1">IFERROR(__xludf.DUMMYFUNCTION("""COMPUTED_VALUE"""),44593)</f>
        <v>44593</v>
      </c>
      <c r="K77" s="4">
        <f ca="1">IFERROR(__xludf.DUMMYFUNCTION("""COMPUTED_VALUE"""),26.25)</f>
        <v>26.25</v>
      </c>
      <c r="O77" s="25">
        <f ca="1">TODAY()</f>
        <v>46251</v>
      </c>
      <c r="P77" s="17">
        <f ca="1">I96</f>
        <v>27.758460825220212</v>
      </c>
      <c r="Q77" s="17">
        <f t="shared" ref="Q77:W77" ca="1" si="24">Q76</f>
        <v>5.4089130175485813</v>
      </c>
      <c r="R77" s="17">
        <f t="shared" ca="1" si="24"/>
        <v>11.308403550160593</v>
      </c>
      <c r="S77" s="17">
        <f t="shared" ca="1" si="24"/>
        <v>17.207894082772604</v>
      </c>
      <c r="T77" s="17">
        <f t="shared" ca="1" si="24"/>
        <v>23.107384615384614</v>
      </c>
      <c r="U77" s="17">
        <f t="shared" ca="1" si="24"/>
        <v>29.006875147996624</v>
      </c>
      <c r="V77" s="17">
        <f t="shared" ca="1" si="24"/>
        <v>34.906365680608637</v>
      </c>
      <c r="W77" s="17">
        <f t="shared" ca="1" si="24"/>
        <v>40.80585621322065</v>
      </c>
    </row>
    <row r="78" spans="2:23" ht="12.5">
      <c r="B78" s="475">
        <f ca="1">IFERROR(__xludf.DUMMYFUNCTION("""COMPUTED_VALUE"""),46174)</f>
        <v>46174</v>
      </c>
      <c r="C78" s="17">
        <f ca="1">IFERROR(__xludf.DUMMYFUNCTION("""COMPUTED_VALUE"""),32.4)</f>
        <v>32.4</v>
      </c>
      <c r="D78" s="23">
        <f ca="1">IFERROR(__xludf.DUMMYFUNCTION("""COMPUTED_VALUE"""),45778)</f>
        <v>45778</v>
      </c>
      <c r="E78" s="17">
        <f ca="1">IFERROR(__xludf.DUMMYFUNCTION("""COMPUTED_VALUE"""),19.15)</f>
        <v>19.149999999999999</v>
      </c>
      <c r="F78" s="23">
        <f ca="1">IFERROR(__xludf.DUMMYFUNCTION("""COMPUTED_VALUE"""),45383)</f>
        <v>45383</v>
      </c>
      <c r="G78" s="17">
        <f ca="1">IFERROR(__xludf.DUMMYFUNCTION("""COMPUTED_VALUE"""),24.44)</f>
        <v>24.44</v>
      </c>
      <c r="H78" s="23">
        <f ca="1">IFERROR(__xludf.DUMMYFUNCTION("""COMPUTED_VALUE"""),44958)</f>
        <v>44958</v>
      </c>
      <c r="I78" s="477">
        <f ca="1">IFERROR(__xludf.DUMMYFUNCTION("""COMPUTED_VALUE"""),13.04)</f>
        <v>13.04</v>
      </c>
      <c r="J78" s="23">
        <f ca="1">IFERROR(__xludf.DUMMYFUNCTION("""COMPUTED_VALUE"""),44562)</f>
        <v>44562</v>
      </c>
      <c r="K78" s="4">
        <f ca="1">IFERROR(__xludf.DUMMYFUNCTION("""COMPUTED_VALUE"""),28.78)</f>
        <v>28.78</v>
      </c>
      <c r="O78" s="23">
        <f t="shared" ref="O78:P78" ca="1" si="25">B76</f>
        <v>46235</v>
      </c>
      <c r="P78" s="4">
        <f t="shared" ca="1" si="25"/>
        <v>27.76</v>
      </c>
      <c r="Q78" s="17">
        <f t="shared" ref="Q78:W78" ca="1" si="26">Q77</f>
        <v>5.4089130175485813</v>
      </c>
      <c r="R78" s="17">
        <f t="shared" ca="1" si="26"/>
        <v>11.308403550160593</v>
      </c>
      <c r="S78" s="17">
        <f t="shared" ca="1" si="26"/>
        <v>17.207894082772604</v>
      </c>
      <c r="T78" s="17">
        <f t="shared" ca="1" si="26"/>
        <v>23.107384615384614</v>
      </c>
      <c r="U78" s="17">
        <f t="shared" ca="1" si="26"/>
        <v>29.006875147996624</v>
      </c>
      <c r="V78" s="17">
        <f t="shared" ca="1" si="26"/>
        <v>34.906365680608637</v>
      </c>
      <c r="W78" s="17">
        <f t="shared" ca="1" si="26"/>
        <v>40.80585621322065</v>
      </c>
    </row>
    <row r="79" spans="2:23" ht="12.5">
      <c r="B79" s="475">
        <f ca="1">IFERROR(__xludf.DUMMYFUNCTION("""COMPUTED_VALUE"""),46143)</f>
        <v>46143</v>
      </c>
      <c r="C79" s="17">
        <f ca="1">IFERROR(__xludf.DUMMYFUNCTION("""COMPUTED_VALUE"""),31.66)</f>
        <v>31.66</v>
      </c>
      <c r="D79" s="23">
        <f ca="1">IFERROR(__xludf.DUMMYFUNCTION("""COMPUTED_VALUE"""),45748)</f>
        <v>45748</v>
      </c>
      <c r="E79" s="17">
        <f ca="1">IFERROR(__xludf.DUMMYFUNCTION("""COMPUTED_VALUE"""),20.07)</f>
        <v>20.07</v>
      </c>
      <c r="F79" s="23">
        <f ca="1">IFERROR(__xludf.DUMMYFUNCTION("""COMPUTED_VALUE"""),45352)</f>
        <v>45352</v>
      </c>
      <c r="G79" s="17">
        <f ca="1">IFERROR(__xludf.DUMMYFUNCTION("""COMPUTED_VALUE"""),24.1)</f>
        <v>24.1</v>
      </c>
      <c r="H79" s="23">
        <f ca="1">IFERROR(__xludf.DUMMYFUNCTION("""COMPUTED_VALUE"""),44927)</f>
        <v>44927</v>
      </c>
      <c r="I79" s="477">
        <f ca="1">IFERROR(__xludf.DUMMYFUNCTION("""COMPUTED_VALUE"""),15.26)</f>
        <v>15.26</v>
      </c>
      <c r="J79" s="26">
        <f ca="1">IFERROR(__xludf.DUMMYFUNCTION("""COMPUTED_VALUE"""),44531)</f>
        <v>44531</v>
      </c>
      <c r="K79" s="4">
        <f ca="1">IFERROR(__xludf.DUMMYFUNCTION("""COMPUTED_VALUE"""),27.83)</f>
        <v>27.83</v>
      </c>
      <c r="O79" s="23">
        <f t="shared" ref="O79:P79" ca="1" si="27">B77</f>
        <v>46204</v>
      </c>
      <c r="P79" s="4">
        <f t="shared" ca="1" si="27"/>
        <v>32.6</v>
      </c>
      <c r="Q79" s="17">
        <f t="shared" ref="Q79:W79" ca="1" si="28">Q78</f>
        <v>5.4089130175485813</v>
      </c>
      <c r="R79" s="17">
        <f t="shared" ca="1" si="28"/>
        <v>11.308403550160593</v>
      </c>
      <c r="S79" s="17">
        <f t="shared" ca="1" si="28"/>
        <v>17.207894082772604</v>
      </c>
      <c r="T79" s="17">
        <f t="shared" ca="1" si="28"/>
        <v>23.107384615384614</v>
      </c>
      <c r="U79" s="17">
        <f t="shared" ca="1" si="28"/>
        <v>29.006875147996624</v>
      </c>
      <c r="V79" s="17">
        <f t="shared" ca="1" si="28"/>
        <v>34.906365680608637</v>
      </c>
      <c r="W79" s="17">
        <f t="shared" ca="1" si="28"/>
        <v>40.80585621322065</v>
      </c>
    </row>
    <row r="80" spans="2:23" ht="12.5">
      <c r="B80" s="475">
        <f ca="1">IFERROR(__xludf.DUMMYFUNCTION("""COMPUTED_VALUE"""),46113)</f>
        <v>46113</v>
      </c>
      <c r="C80" s="17">
        <f ca="1">IFERROR(__xludf.DUMMYFUNCTION("""COMPUTED_VALUE"""),32.23)</f>
        <v>32.229999999999997</v>
      </c>
      <c r="D80" s="23">
        <f ca="1">IFERROR(__xludf.DUMMYFUNCTION("""COMPUTED_VALUE"""),45717)</f>
        <v>45717</v>
      </c>
      <c r="E80" s="17">
        <f ca="1">IFERROR(__xludf.DUMMYFUNCTION("""COMPUTED_VALUE"""),20.11)</f>
        <v>20.11</v>
      </c>
      <c r="F80" s="23">
        <f ca="1">IFERROR(__xludf.DUMMYFUNCTION("""COMPUTED_VALUE"""),45323)</f>
        <v>45323</v>
      </c>
      <c r="G80" s="17">
        <f ca="1">IFERROR(__xludf.DUMMYFUNCTION("""COMPUTED_VALUE"""),21.34)</f>
        <v>21.34</v>
      </c>
      <c r="H80" s="23">
        <f ca="1">IFERROR(__xludf.DUMMYFUNCTION("""COMPUTED_VALUE"""),44896)</f>
        <v>44896</v>
      </c>
      <c r="I80" s="477">
        <f ca="1">IFERROR(__xludf.DUMMYFUNCTION("""COMPUTED_VALUE"""),13.11)</f>
        <v>13.11</v>
      </c>
      <c r="J80" s="26">
        <f ca="1">IFERROR(__xludf.DUMMYFUNCTION("""COMPUTED_VALUE"""),44501)</f>
        <v>44501</v>
      </c>
      <c r="K80" s="4">
        <f ca="1">IFERROR(__xludf.DUMMYFUNCTION("""COMPUTED_VALUE"""),26.97)</f>
        <v>26.97</v>
      </c>
      <c r="O80" s="23">
        <f t="shared" ref="O80:P80" ca="1" si="29">B78</f>
        <v>46174</v>
      </c>
      <c r="P80" s="4">
        <f t="shared" ca="1" si="29"/>
        <v>32.4</v>
      </c>
      <c r="Q80" s="17">
        <f t="shared" ref="Q80:W80" ca="1" si="30">Q79</f>
        <v>5.4089130175485813</v>
      </c>
      <c r="R80" s="17">
        <f t="shared" ca="1" si="30"/>
        <v>11.308403550160593</v>
      </c>
      <c r="S80" s="17">
        <f t="shared" ca="1" si="30"/>
        <v>17.207894082772604</v>
      </c>
      <c r="T80" s="17">
        <f t="shared" ca="1" si="30"/>
        <v>23.107384615384614</v>
      </c>
      <c r="U80" s="17">
        <f t="shared" ca="1" si="30"/>
        <v>29.006875147996624</v>
      </c>
      <c r="V80" s="17">
        <f t="shared" ca="1" si="30"/>
        <v>34.906365680608637</v>
      </c>
      <c r="W80" s="17">
        <f t="shared" ca="1" si="30"/>
        <v>40.80585621322065</v>
      </c>
    </row>
    <row r="81" spans="2:23" ht="12.5">
      <c r="B81" s="475">
        <f ca="1">IFERROR(__xludf.DUMMYFUNCTION("""COMPUTED_VALUE"""),46082)</f>
        <v>46082</v>
      </c>
      <c r="C81" s="17">
        <f ca="1">IFERROR(__xludf.DUMMYFUNCTION("""COMPUTED_VALUE"""),26.57)</f>
        <v>26.57</v>
      </c>
      <c r="D81" s="23">
        <f ca="1">IFERROR(__xludf.DUMMYFUNCTION("""COMPUTED_VALUE"""),45689)</f>
        <v>45689</v>
      </c>
      <c r="E81" s="17">
        <f ca="1">IFERROR(__xludf.DUMMYFUNCTION("""COMPUTED_VALUE"""),22.99)</f>
        <v>22.99</v>
      </c>
      <c r="F81" s="23">
        <f ca="1">IFERROR(__xludf.DUMMYFUNCTION("""COMPUTED_VALUE"""),45292)</f>
        <v>45292</v>
      </c>
      <c r="G81" s="17">
        <f ca="1">IFERROR(__xludf.DUMMYFUNCTION("""COMPUTED_VALUE"""),18.18)</f>
        <v>18.18</v>
      </c>
      <c r="H81" s="23">
        <f ca="1">IFERROR(__xludf.DUMMYFUNCTION("""COMPUTED_VALUE"""),44866)</f>
        <v>44866</v>
      </c>
      <c r="I81" s="477">
        <f ca="1">IFERROR(__xludf.DUMMYFUNCTION("""COMPUTED_VALUE"""),14.33)</f>
        <v>14.33</v>
      </c>
      <c r="J81" s="26">
        <f ca="1">IFERROR(__xludf.DUMMYFUNCTION("""COMPUTED_VALUE"""),44470)</f>
        <v>44470</v>
      </c>
      <c r="K81" s="4">
        <f ca="1">IFERROR(__xludf.DUMMYFUNCTION("""COMPUTED_VALUE"""),27.61)</f>
        <v>27.61</v>
      </c>
      <c r="O81" s="23">
        <f t="shared" ref="O81:P81" ca="1" si="31">B79</f>
        <v>46143</v>
      </c>
      <c r="P81" s="4">
        <f t="shared" ca="1" si="31"/>
        <v>31.66</v>
      </c>
      <c r="Q81" s="17">
        <f t="shared" ref="Q81:W81" ca="1" si="32">Q80</f>
        <v>5.4089130175485813</v>
      </c>
      <c r="R81" s="17">
        <f t="shared" ca="1" si="32"/>
        <v>11.308403550160593</v>
      </c>
      <c r="S81" s="17">
        <f t="shared" ca="1" si="32"/>
        <v>17.207894082772604</v>
      </c>
      <c r="T81" s="17">
        <f t="shared" ca="1" si="32"/>
        <v>23.107384615384614</v>
      </c>
      <c r="U81" s="17">
        <f t="shared" ca="1" si="32"/>
        <v>29.006875147996624</v>
      </c>
      <c r="V81" s="17">
        <f t="shared" ca="1" si="32"/>
        <v>34.906365680608637</v>
      </c>
      <c r="W81" s="17">
        <f t="shared" ca="1" si="32"/>
        <v>40.80585621322065</v>
      </c>
    </row>
    <row r="82" spans="2:23" ht="12.5">
      <c r="B82" s="475">
        <f ca="1">IFERROR(__xludf.DUMMYFUNCTION("""COMPUTED_VALUE"""),46054)</f>
        <v>46054</v>
      </c>
      <c r="C82" s="17">
        <f ca="1">IFERROR(__xludf.DUMMYFUNCTION("""COMPUTED_VALUE"""),30.12)</f>
        <v>30.12</v>
      </c>
      <c r="D82" s="23">
        <f ca="1">IFERROR(__xludf.DUMMYFUNCTION("""COMPUTED_VALUE"""),45658)</f>
        <v>45658</v>
      </c>
      <c r="E82" s="17">
        <f ca="1">IFERROR(__xludf.DUMMYFUNCTION("""COMPUTED_VALUE"""),28.38)</f>
        <v>28.38</v>
      </c>
      <c r="F82" s="23">
        <f ca="1">IFERROR(__xludf.DUMMYFUNCTION("""COMPUTED_VALUE"""),45261)</f>
        <v>45261</v>
      </c>
      <c r="G82" s="17">
        <f ca="1">IFERROR(__xludf.DUMMYFUNCTION("""COMPUTED_VALUE"""),17.17)</f>
        <v>17.170000000000002</v>
      </c>
      <c r="H82" s="23">
        <f ca="1">IFERROR(__xludf.DUMMYFUNCTION("""COMPUTED_VALUE"""),44835)</f>
        <v>44835</v>
      </c>
      <c r="I82" s="477">
        <f ca="1">IFERROR(__xludf.DUMMYFUNCTION("""COMPUTED_VALUE"""),13.27)</f>
        <v>13.27</v>
      </c>
      <c r="J82" s="23">
        <f ca="1">IFERROR(__xludf.DUMMYFUNCTION("""COMPUTED_VALUE"""),44440)</f>
        <v>44440</v>
      </c>
      <c r="K82" s="4">
        <f ca="1">IFERROR(__xludf.DUMMYFUNCTION("""COMPUTED_VALUE"""),27.14)</f>
        <v>27.14</v>
      </c>
      <c r="O82" s="23">
        <f t="shared" ref="O82:P82" ca="1" si="33">B80</f>
        <v>46113</v>
      </c>
      <c r="P82" s="4">
        <f t="shared" ca="1" si="33"/>
        <v>32.229999999999997</v>
      </c>
      <c r="Q82" s="17">
        <f t="shared" ref="Q82:W82" ca="1" si="34">Q81</f>
        <v>5.4089130175485813</v>
      </c>
      <c r="R82" s="17">
        <f t="shared" ca="1" si="34"/>
        <v>11.308403550160593</v>
      </c>
      <c r="S82" s="17">
        <f t="shared" ca="1" si="34"/>
        <v>17.207894082772604</v>
      </c>
      <c r="T82" s="17">
        <f t="shared" ca="1" si="34"/>
        <v>23.107384615384614</v>
      </c>
      <c r="U82" s="17">
        <f t="shared" ca="1" si="34"/>
        <v>29.006875147996624</v>
      </c>
      <c r="V82" s="17">
        <f t="shared" ca="1" si="34"/>
        <v>34.906365680608637</v>
      </c>
      <c r="W82" s="17">
        <f t="shared" ca="1" si="34"/>
        <v>40.80585621322065</v>
      </c>
    </row>
    <row r="83" spans="2:23" ht="12.5">
      <c r="B83" s="475">
        <f ca="1">IFERROR(__xludf.DUMMYFUNCTION("""COMPUTED_VALUE"""),46023)</f>
        <v>46023</v>
      </c>
      <c r="C83" s="17">
        <f ca="1">IFERROR(__xludf.DUMMYFUNCTION("""COMPUTED_VALUE"""),29.01)</f>
        <v>29.01</v>
      </c>
      <c r="D83" s="23">
        <f ca="1">IFERROR(__xludf.DUMMYFUNCTION("""COMPUTED_VALUE"""),45627)</f>
        <v>45627</v>
      </c>
      <c r="E83" s="17">
        <f ca="1">IFERROR(__xludf.DUMMYFUNCTION("""COMPUTED_VALUE"""),26.88)</f>
        <v>26.88</v>
      </c>
      <c r="F83" s="23">
        <f ca="1">IFERROR(__xludf.DUMMYFUNCTION("""COMPUTED_VALUE"""),45231)</f>
        <v>45231</v>
      </c>
      <c r="G83" s="17">
        <f ca="1">IFERROR(__xludf.DUMMYFUNCTION("""COMPUTED_VALUE"""),16.62)</f>
        <v>16.62</v>
      </c>
      <c r="H83" s="23">
        <f ca="1">IFERROR(__xludf.DUMMYFUNCTION("""COMPUTED_VALUE"""),44805)</f>
        <v>44805</v>
      </c>
      <c r="I83" s="477">
        <f ca="1">IFERROR(__xludf.DUMMYFUNCTION("""COMPUTED_VALUE"""),14.35)</f>
        <v>14.35</v>
      </c>
      <c r="J83" s="23">
        <f ca="1">IFERROR(__xludf.DUMMYFUNCTION("""COMPUTED_VALUE"""),44409)</f>
        <v>44409</v>
      </c>
      <c r="K83" s="4">
        <f ca="1">IFERROR(__xludf.DUMMYFUNCTION("""COMPUTED_VALUE"""),28.73)</f>
        <v>28.73</v>
      </c>
      <c r="O83" s="23">
        <f t="shared" ref="O83:P83" ca="1" si="35">B81</f>
        <v>46082</v>
      </c>
      <c r="P83" s="4">
        <f t="shared" ca="1" si="35"/>
        <v>26.57</v>
      </c>
      <c r="Q83" s="17">
        <f t="shared" ref="Q83:W83" ca="1" si="36">Q82</f>
        <v>5.4089130175485813</v>
      </c>
      <c r="R83" s="17">
        <f t="shared" ca="1" si="36"/>
        <v>11.308403550160593</v>
      </c>
      <c r="S83" s="17">
        <f t="shared" ca="1" si="36"/>
        <v>17.207894082772604</v>
      </c>
      <c r="T83" s="17">
        <f t="shared" ca="1" si="36"/>
        <v>23.107384615384614</v>
      </c>
      <c r="U83" s="17">
        <f t="shared" ca="1" si="36"/>
        <v>29.006875147996624</v>
      </c>
      <c r="V83" s="17">
        <f t="shared" ca="1" si="36"/>
        <v>34.906365680608637</v>
      </c>
      <c r="W83" s="17">
        <f t="shared" ca="1" si="36"/>
        <v>40.80585621322065</v>
      </c>
    </row>
    <row r="84" spans="2:23" ht="12.5">
      <c r="B84" s="475">
        <f ca="1">IFERROR(__xludf.DUMMYFUNCTION("""COMPUTED_VALUE"""),45992)</f>
        <v>45992</v>
      </c>
      <c r="C84" s="17">
        <f ca="1">IFERROR(__xludf.DUMMYFUNCTION("""COMPUTED_VALUE"""),25.33)</f>
        <v>25.33</v>
      </c>
      <c r="D84" s="23">
        <f ca="1">IFERROR(__xludf.DUMMYFUNCTION("""COMPUTED_VALUE"""),45597)</f>
        <v>45597</v>
      </c>
      <c r="E84" s="17">
        <f ca="1">IFERROR(__xludf.DUMMYFUNCTION("""COMPUTED_VALUE"""),24.9)</f>
        <v>24.9</v>
      </c>
      <c r="F84" s="23">
        <f ca="1">IFERROR(__xludf.DUMMYFUNCTION("""COMPUTED_VALUE"""),45200)</f>
        <v>45200</v>
      </c>
      <c r="G84" s="17">
        <f ca="1">IFERROR(__xludf.DUMMYFUNCTION("""COMPUTED_VALUE"""),14.21)</f>
        <v>14.21</v>
      </c>
      <c r="H84" s="23">
        <f ca="1">IFERROR(__xludf.DUMMYFUNCTION("""COMPUTED_VALUE"""),44774)</f>
        <v>44774</v>
      </c>
      <c r="I84" s="477">
        <f ca="1">IFERROR(__xludf.DUMMYFUNCTION("""COMPUTED_VALUE"""),17.18)</f>
        <v>17.18</v>
      </c>
      <c r="J84" s="23">
        <f ca="1">IFERROR(__xludf.DUMMYFUNCTION("""COMPUTED_VALUE"""),44378)</f>
        <v>44378</v>
      </c>
      <c r="K84" s="4">
        <f ca="1">IFERROR(__xludf.DUMMYFUNCTION("""COMPUTED_VALUE"""),27.82)</f>
        <v>27.82</v>
      </c>
      <c r="O84" s="23">
        <f t="shared" ref="O84:P84" ca="1" si="37">B82</f>
        <v>46054</v>
      </c>
      <c r="P84" s="4">
        <f t="shared" ca="1" si="37"/>
        <v>30.12</v>
      </c>
      <c r="Q84" s="17">
        <f t="shared" ref="Q84:W84" ca="1" si="38">Q83</f>
        <v>5.4089130175485813</v>
      </c>
      <c r="R84" s="17">
        <f t="shared" ca="1" si="38"/>
        <v>11.308403550160593</v>
      </c>
      <c r="S84" s="17">
        <f t="shared" ca="1" si="38"/>
        <v>17.207894082772604</v>
      </c>
      <c r="T84" s="17">
        <f t="shared" ca="1" si="38"/>
        <v>23.107384615384614</v>
      </c>
      <c r="U84" s="17">
        <f t="shared" ca="1" si="38"/>
        <v>29.006875147996624</v>
      </c>
      <c r="V84" s="17">
        <f t="shared" ca="1" si="38"/>
        <v>34.906365680608637</v>
      </c>
      <c r="W84" s="17">
        <f t="shared" ca="1" si="38"/>
        <v>40.80585621322065</v>
      </c>
    </row>
    <row r="85" spans="2:23" ht="12.5">
      <c r="B85" s="475">
        <f ca="1">IFERROR(__xludf.DUMMYFUNCTION("""COMPUTED_VALUE"""),45962)</f>
        <v>45962</v>
      </c>
      <c r="C85" s="17">
        <f ca="1">IFERROR(__xludf.DUMMYFUNCTION("""COMPUTED_VALUE"""),23.53)</f>
        <v>23.53</v>
      </c>
      <c r="D85" s="23">
        <f ca="1">IFERROR(__xludf.DUMMYFUNCTION("""COMPUTED_VALUE"""),45566)</f>
        <v>45566</v>
      </c>
      <c r="E85" s="17">
        <f ca="1">IFERROR(__xludf.DUMMYFUNCTION("""COMPUTED_VALUE"""),28.93)</f>
        <v>28.93</v>
      </c>
      <c r="F85" s="23">
        <f ca="1">IFERROR(__xludf.DUMMYFUNCTION("""COMPUTED_VALUE"""),45170)</f>
        <v>45170</v>
      </c>
      <c r="G85" s="17">
        <f ca="1">IFERROR(__xludf.DUMMYFUNCTION("""COMPUTED_VALUE"""),14.82)</f>
        <v>14.82</v>
      </c>
      <c r="H85" s="23">
        <f ca="1">IFERROR(__xludf.DUMMYFUNCTION("""COMPUTED_VALUE"""),44743)</f>
        <v>44743</v>
      </c>
      <c r="I85" s="477">
        <f ca="1">IFERROR(__xludf.DUMMYFUNCTION("""COMPUTED_VALUE"""),20.01)</f>
        <v>20.010000000000002</v>
      </c>
      <c r="J85" s="23">
        <f ca="1">IFERROR(__xludf.DUMMYFUNCTION("""COMPUTED_VALUE"""),44348)</f>
        <v>44348</v>
      </c>
      <c r="K85" s="4">
        <f ca="1">IFERROR(__xludf.DUMMYFUNCTION("""COMPUTED_VALUE"""),28.54)</f>
        <v>28.54</v>
      </c>
      <c r="O85" s="23">
        <f t="shared" ref="O85:P85" ca="1" si="39">B83</f>
        <v>46023</v>
      </c>
      <c r="P85" s="4">
        <f t="shared" ca="1" si="39"/>
        <v>29.01</v>
      </c>
      <c r="Q85" s="17">
        <f t="shared" ref="Q85:W85" ca="1" si="40">Q84</f>
        <v>5.4089130175485813</v>
      </c>
      <c r="R85" s="17">
        <f t="shared" ca="1" si="40"/>
        <v>11.308403550160593</v>
      </c>
      <c r="S85" s="17">
        <f t="shared" ca="1" si="40"/>
        <v>17.207894082772604</v>
      </c>
      <c r="T85" s="17">
        <f t="shared" ca="1" si="40"/>
        <v>23.107384615384614</v>
      </c>
      <c r="U85" s="17">
        <f t="shared" ca="1" si="40"/>
        <v>29.006875147996624</v>
      </c>
      <c r="V85" s="17">
        <f t="shared" ca="1" si="40"/>
        <v>34.906365680608637</v>
      </c>
      <c r="W85" s="17">
        <f t="shared" ca="1" si="40"/>
        <v>40.80585621322065</v>
      </c>
    </row>
    <row r="86" spans="2:23" ht="12.5">
      <c r="B86" s="475">
        <f ca="1">IFERROR(__xludf.DUMMYFUNCTION("""COMPUTED_VALUE"""),45931)</f>
        <v>45931</v>
      </c>
      <c r="C86" s="17">
        <f ca="1">IFERROR(__xludf.DUMMYFUNCTION("""COMPUTED_VALUE"""),26.65)</f>
        <v>26.65</v>
      </c>
      <c r="D86" s="23">
        <f ca="1">IFERROR(__xludf.DUMMYFUNCTION("""COMPUTED_VALUE"""),45536)</f>
        <v>45536</v>
      </c>
      <c r="E86" s="17">
        <f ca="1">IFERROR(__xludf.DUMMYFUNCTION("""COMPUTED_VALUE"""),26.88)</f>
        <v>26.88</v>
      </c>
      <c r="F86" s="23">
        <f ca="1">IFERROR(__xludf.DUMMYFUNCTION("""COMPUTED_VALUE"""),45108)</f>
        <v>45108</v>
      </c>
      <c r="G86" s="17">
        <f ca="1">IFERROR(__xludf.DUMMYFUNCTION("""COMPUTED_VALUE"""),14.76)</f>
        <v>14.76</v>
      </c>
      <c r="H86" s="23">
        <f ca="1">IFERROR(__xludf.DUMMYFUNCTION("""COMPUTED_VALUE"""),44713)</f>
        <v>44713</v>
      </c>
      <c r="I86" s="477">
        <f ca="1">IFERROR(__xludf.DUMMYFUNCTION("""COMPUTED_VALUE"""),18.71)</f>
        <v>18.71</v>
      </c>
      <c r="J86" s="23">
        <f ca="1">IFERROR(__xludf.DUMMYFUNCTION("""COMPUTED_VALUE"""),44317)</f>
        <v>44317</v>
      </c>
      <c r="K86" s="4">
        <f ca="1">IFERROR(__xludf.DUMMYFUNCTION("""COMPUTED_VALUE"""),28.63)</f>
        <v>28.63</v>
      </c>
      <c r="O86" s="26">
        <f t="shared" ref="O86:P86" ca="1" si="41">B84</f>
        <v>45992</v>
      </c>
      <c r="P86" s="4">
        <f t="shared" ca="1" si="41"/>
        <v>25.33</v>
      </c>
      <c r="Q86" s="17">
        <f t="shared" ref="Q86:W86" ca="1" si="42">Q85</f>
        <v>5.4089130175485813</v>
      </c>
      <c r="R86" s="17">
        <f t="shared" ca="1" si="42"/>
        <v>11.308403550160593</v>
      </c>
      <c r="S86" s="17">
        <f t="shared" ca="1" si="42"/>
        <v>17.207894082772604</v>
      </c>
      <c r="T86" s="17">
        <f t="shared" ca="1" si="42"/>
        <v>23.107384615384614</v>
      </c>
      <c r="U86" s="17">
        <f t="shared" ca="1" si="42"/>
        <v>29.006875147996624</v>
      </c>
      <c r="V86" s="17">
        <f t="shared" ca="1" si="42"/>
        <v>34.906365680608637</v>
      </c>
      <c r="W86" s="17">
        <f t="shared" ca="1" si="42"/>
        <v>40.80585621322065</v>
      </c>
    </row>
    <row r="87" spans="2:23" ht="12.5">
      <c r="B87" s="475">
        <f ca="1">IFERROR(__xludf.DUMMYFUNCTION("""COMPUTED_VALUE"""),45901)</f>
        <v>45901</v>
      </c>
      <c r="C87" s="17">
        <f ca="1">IFERROR(__xludf.DUMMYFUNCTION("""COMPUTED_VALUE"""),23.18)</f>
        <v>23.18</v>
      </c>
      <c r="D87" s="23">
        <f ca="1">IFERROR(__xludf.DUMMYFUNCTION("""COMPUTED_VALUE"""),45505)</f>
        <v>45505</v>
      </c>
      <c r="E87" s="17">
        <f ca="1">IFERROR(__xludf.DUMMYFUNCTION("""COMPUTED_VALUE"""),26.52)</f>
        <v>26.52</v>
      </c>
      <c r="F87" s="23">
        <f ca="1">IFERROR(__xludf.DUMMYFUNCTION("""COMPUTED_VALUE"""),45078)</f>
        <v>45078</v>
      </c>
      <c r="G87" s="17">
        <f ca="1">IFERROR(__xludf.DUMMYFUNCTION("""COMPUTED_VALUE"""),14.63)</f>
        <v>14.63</v>
      </c>
      <c r="H87" s="23">
        <f ca="1">IFERROR(__xludf.DUMMYFUNCTION("""COMPUTED_VALUE"""),44682)</f>
        <v>44682</v>
      </c>
      <c r="I87" s="477">
        <f ca="1">IFERROR(__xludf.DUMMYFUNCTION("""COMPUTED_VALUE"""),22.01)</f>
        <v>22.01</v>
      </c>
      <c r="J87" s="23">
        <f ca="1">IFERROR(__xludf.DUMMYFUNCTION("""COMPUTED_VALUE"""),44287)</f>
        <v>44287</v>
      </c>
      <c r="K87" s="4">
        <f ca="1">IFERROR(__xludf.DUMMYFUNCTION("""COMPUTED_VALUE"""),30.05)</f>
        <v>30.05</v>
      </c>
      <c r="O87" s="26">
        <f t="shared" ref="O87:P87" ca="1" si="43">B85</f>
        <v>45962</v>
      </c>
      <c r="P87" s="4">
        <f t="shared" ca="1" si="43"/>
        <v>23.53</v>
      </c>
      <c r="Q87" s="17">
        <f t="shared" ref="Q87:W87" ca="1" si="44">Q86</f>
        <v>5.4089130175485813</v>
      </c>
      <c r="R87" s="17">
        <f t="shared" ca="1" si="44"/>
        <v>11.308403550160593</v>
      </c>
      <c r="S87" s="17">
        <f t="shared" ca="1" si="44"/>
        <v>17.207894082772604</v>
      </c>
      <c r="T87" s="17">
        <f t="shared" ca="1" si="44"/>
        <v>23.107384615384614</v>
      </c>
      <c r="U87" s="17">
        <f t="shared" ca="1" si="44"/>
        <v>29.006875147996624</v>
      </c>
      <c r="V87" s="17">
        <f t="shared" ca="1" si="44"/>
        <v>34.906365680608637</v>
      </c>
      <c r="W87" s="17">
        <f t="shared" ca="1" si="44"/>
        <v>40.80585621322065</v>
      </c>
    </row>
    <row r="88" spans="2:23" ht="13" thickBot="1">
      <c r="B88" s="476">
        <f ca="1">IFERROR(__xludf.DUMMYFUNCTION("""COMPUTED_VALUE"""),45870)</f>
        <v>45870</v>
      </c>
      <c r="C88" s="451">
        <f ca="1">IFERROR(__xludf.DUMMYFUNCTION("""COMPUTED_VALUE"""),20.61)</f>
        <v>20.61</v>
      </c>
      <c r="D88" s="474">
        <f ca="1">IFERROR(__xludf.DUMMYFUNCTION("""COMPUTED_VALUE"""),45474)</f>
        <v>45474</v>
      </c>
      <c r="E88" s="451">
        <f ca="1">IFERROR(__xludf.DUMMYFUNCTION("""COMPUTED_VALUE"""),28.27)</f>
        <v>28.27</v>
      </c>
      <c r="F88" s="474">
        <f ca="1">IFERROR(__xludf.DUMMYFUNCTION("""COMPUTED_VALUE"""),45047)</f>
        <v>45047</v>
      </c>
      <c r="G88" s="451">
        <f ca="1">IFERROR(__xludf.DUMMYFUNCTION("""COMPUTED_VALUE"""),14.18)</f>
        <v>14.18</v>
      </c>
      <c r="H88" s="474">
        <f ca="1">IFERROR(__xludf.DUMMYFUNCTION("""COMPUTED_VALUE"""),44652)</f>
        <v>44652</v>
      </c>
      <c r="I88" s="478">
        <f ca="1">IFERROR(__xludf.DUMMYFUNCTION("""COMPUTED_VALUE"""),23.38)</f>
        <v>23.38</v>
      </c>
      <c r="J88" s="23">
        <f ca="1">IFERROR(__xludf.DUMMYFUNCTION("""COMPUTED_VALUE"""),44256)</f>
        <v>44256</v>
      </c>
      <c r="K88" s="4">
        <f ca="1">IFERROR(__xludf.DUMMYFUNCTION("""COMPUTED_VALUE"""),29.39)</f>
        <v>29.39</v>
      </c>
      <c r="O88" s="26">
        <f t="shared" ref="O88:P88" ca="1" si="45">B86</f>
        <v>45931</v>
      </c>
      <c r="P88" s="4">
        <f t="shared" ca="1" si="45"/>
        <v>26.65</v>
      </c>
      <c r="Q88" s="17">
        <f t="shared" ref="Q88:W88" ca="1" si="46">Q87</f>
        <v>5.4089130175485813</v>
      </c>
      <c r="R88" s="17">
        <f t="shared" ca="1" si="46"/>
        <v>11.308403550160593</v>
      </c>
      <c r="S88" s="17">
        <f t="shared" ca="1" si="46"/>
        <v>17.207894082772604</v>
      </c>
      <c r="T88" s="17">
        <f t="shared" ca="1" si="46"/>
        <v>23.107384615384614</v>
      </c>
      <c r="U88" s="17">
        <f t="shared" ca="1" si="46"/>
        <v>29.006875147996624</v>
      </c>
      <c r="V88" s="17">
        <f t="shared" ca="1" si="46"/>
        <v>34.906365680608637</v>
      </c>
      <c r="W88" s="17">
        <f t="shared" ca="1" si="46"/>
        <v>40.80585621322065</v>
      </c>
    </row>
    <row r="89" spans="2:23" ht="12.5">
      <c r="O89" s="23">
        <f t="shared" ref="O89:P89" ca="1" si="47">B87</f>
        <v>45901</v>
      </c>
      <c r="P89" s="4">
        <f t="shared" ca="1" si="47"/>
        <v>23.18</v>
      </c>
      <c r="Q89" s="17">
        <f t="shared" ref="Q89:W89" ca="1" si="48">Q88</f>
        <v>5.4089130175485813</v>
      </c>
      <c r="R89" s="17">
        <f t="shared" ca="1" si="48"/>
        <v>11.308403550160593</v>
      </c>
      <c r="S89" s="17">
        <f t="shared" ca="1" si="48"/>
        <v>17.207894082772604</v>
      </c>
      <c r="T89" s="17">
        <f t="shared" ca="1" si="48"/>
        <v>23.107384615384614</v>
      </c>
      <c r="U89" s="17">
        <f t="shared" ca="1" si="48"/>
        <v>29.006875147996624</v>
      </c>
      <c r="V89" s="17">
        <f t="shared" ca="1" si="48"/>
        <v>34.906365680608637</v>
      </c>
      <c r="W89" s="17">
        <f t="shared" ca="1" si="48"/>
        <v>40.80585621322065</v>
      </c>
    </row>
    <row r="90" spans="2:23" ht="12.5">
      <c r="O90" s="23">
        <f t="shared" ref="O90:P90" ca="1" si="49">D76</f>
        <v>45839</v>
      </c>
      <c r="P90" s="4">
        <f t="shared" ca="1" si="49"/>
        <v>22.97</v>
      </c>
      <c r="Q90" s="17">
        <f t="shared" ref="Q90:W90" ca="1" si="50">Q88</f>
        <v>5.4089130175485813</v>
      </c>
      <c r="R90" s="17">
        <f t="shared" ca="1" si="50"/>
        <v>11.308403550160593</v>
      </c>
      <c r="S90" s="17">
        <f t="shared" ca="1" si="50"/>
        <v>17.207894082772604</v>
      </c>
      <c r="T90" s="17">
        <f t="shared" ca="1" si="50"/>
        <v>23.107384615384614</v>
      </c>
      <c r="U90" s="17">
        <f t="shared" ca="1" si="50"/>
        <v>29.006875147996624</v>
      </c>
      <c r="V90" s="17">
        <f t="shared" ca="1" si="50"/>
        <v>34.906365680608637</v>
      </c>
      <c r="W90" s="17">
        <f t="shared" ca="1" si="50"/>
        <v>40.80585621322065</v>
      </c>
    </row>
    <row r="91" spans="2:23" ht="12.5">
      <c r="O91" s="23">
        <f t="shared" ref="O91:P91" ca="1" si="51">D77</f>
        <v>45809</v>
      </c>
      <c r="P91" s="4">
        <f t="shared" ca="1" si="51"/>
        <v>20.99</v>
      </c>
      <c r="Q91" s="17">
        <f t="shared" ref="Q91:W91" ca="1" si="52">Q90</f>
        <v>5.4089130175485813</v>
      </c>
      <c r="R91" s="17">
        <f t="shared" ca="1" si="52"/>
        <v>11.308403550160593</v>
      </c>
      <c r="S91" s="17">
        <f t="shared" ca="1" si="52"/>
        <v>17.207894082772604</v>
      </c>
      <c r="T91" s="17">
        <f t="shared" ca="1" si="52"/>
        <v>23.107384615384614</v>
      </c>
      <c r="U91" s="17">
        <f t="shared" ca="1" si="52"/>
        <v>29.006875147996624</v>
      </c>
      <c r="V91" s="17">
        <f t="shared" ca="1" si="52"/>
        <v>34.906365680608637</v>
      </c>
      <c r="W91" s="17">
        <f t="shared" ca="1" si="52"/>
        <v>40.80585621322065</v>
      </c>
    </row>
    <row r="92" spans="2:23" ht="12.5">
      <c r="J92" s="27"/>
      <c r="O92" s="23">
        <f t="shared" ref="O92:P92" ca="1" si="53">D78</f>
        <v>45778</v>
      </c>
      <c r="P92" s="4">
        <f t="shared" ca="1" si="53"/>
        <v>19.149999999999999</v>
      </c>
      <c r="Q92" s="17">
        <f t="shared" ref="Q92:W92" ca="1" si="54">Q91</f>
        <v>5.4089130175485813</v>
      </c>
      <c r="R92" s="17">
        <f t="shared" ca="1" si="54"/>
        <v>11.308403550160593</v>
      </c>
      <c r="S92" s="17">
        <f t="shared" ca="1" si="54"/>
        <v>17.207894082772604</v>
      </c>
      <c r="T92" s="17">
        <f t="shared" ca="1" si="54"/>
        <v>23.107384615384614</v>
      </c>
      <c r="U92" s="17">
        <f t="shared" ca="1" si="54"/>
        <v>29.006875147996624</v>
      </c>
      <c r="V92" s="17">
        <f t="shared" ca="1" si="54"/>
        <v>34.906365680608637</v>
      </c>
      <c r="W92" s="17">
        <f t="shared" ca="1" si="54"/>
        <v>40.80585621322065</v>
      </c>
    </row>
    <row r="93" spans="2:23" ht="12.5">
      <c r="J93" s="28"/>
      <c r="O93" s="23">
        <f t="shared" ref="O93:P93" ca="1" si="55">D79</f>
        <v>45748</v>
      </c>
      <c r="P93" s="4">
        <f t="shared" ca="1" si="55"/>
        <v>20.07</v>
      </c>
      <c r="Q93" s="17">
        <f t="shared" ref="Q93:W93" ca="1" si="56">Q92</f>
        <v>5.4089130175485813</v>
      </c>
      <c r="R93" s="17">
        <f t="shared" ca="1" si="56"/>
        <v>11.308403550160593</v>
      </c>
      <c r="S93" s="17">
        <f t="shared" ca="1" si="56"/>
        <v>17.207894082772604</v>
      </c>
      <c r="T93" s="17">
        <f t="shared" ca="1" si="56"/>
        <v>23.107384615384614</v>
      </c>
      <c r="U93" s="17">
        <f t="shared" ca="1" si="56"/>
        <v>29.006875147996624</v>
      </c>
      <c r="V93" s="17">
        <f t="shared" ca="1" si="56"/>
        <v>34.906365680608637</v>
      </c>
      <c r="W93" s="17">
        <f t="shared" ca="1" si="56"/>
        <v>40.80585621322065</v>
      </c>
    </row>
    <row r="94" spans="2:23" ht="13" thickBot="1">
      <c r="C94" s="8"/>
      <c r="D94" s="8"/>
      <c r="E94" s="12">
        <f ca="1">STDEVP(C76:C91,E76:E91,G76:G91,I76:I91,K76:K91)</f>
        <v>5.8994905326120106</v>
      </c>
      <c r="F94" s="8"/>
      <c r="G94" s="8"/>
      <c r="H94" s="8"/>
      <c r="I94" s="8"/>
      <c r="J94" s="28"/>
      <c r="O94" s="23">
        <f t="shared" ref="O94:P94" ca="1" si="57">D80</f>
        <v>45717</v>
      </c>
      <c r="P94" s="4">
        <f t="shared" ca="1" si="57"/>
        <v>20.11</v>
      </c>
      <c r="Q94" s="17">
        <f t="shared" ref="Q94:W94" ca="1" si="58">Q93</f>
        <v>5.4089130175485813</v>
      </c>
      <c r="R94" s="17">
        <f t="shared" ca="1" si="58"/>
        <v>11.308403550160593</v>
      </c>
      <c r="S94" s="17">
        <f t="shared" ca="1" si="58"/>
        <v>17.207894082772604</v>
      </c>
      <c r="T94" s="17">
        <f t="shared" ca="1" si="58"/>
        <v>23.107384615384614</v>
      </c>
      <c r="U94" s="17">
        <f t="shared" ca="1" si="58"/>
        <v>29.006875147996624</v>
      </c>
      <c r="V94" s="17">
        <f t="shared" ca="1" si="58"/>
        <v>34.906365680608637</v>
      </c>
      <c r="W94" s="17">
        <f t="shared" ca="1" si="58"/>
        <v>40.80585621322065</v>
      </c>
    </row>
    <row r="95" spans="2:23" ht="13">
      <c r="B95" s="452" t="s">
        <v>21</v>
      </c>
      <c r="C95" s="463" t="s">
        <v>22</v>
      </c>
      <c r="D95" s="463" t="s">
        <v>23</v>
      </c>
      <c r="E95" s="463" t="s">
        <v>24</v>
      </c>
      <c r="F95" s="463" t="s">
        <v>25</v>
      </c>
      <c r="G95" s="463" t="s">
        <v>26</v>
      </c>
      <c r="H95" s="428" t="s">
        <v>27</v>
      </c>
      <c r="I95" s="464" t="s">
        <v>44</v>
      </c>
      <c r="J95" s="12" t="s">
        <v>45</v>
      </c>
      <c r="O95" s="23">
        <f t="shared" ref="O95:P95" ca="1" si="59">D81</f>
        <v>45689</v>
      </c>
      <c r="P95" s="4">
        <f t="shared" ca="1" si="59"/>
        <v>22.99</v>
      </c>
      <c r="Q95" s="17">
        <f t="shared" ref="Q95:W95" ca="1" si="60">Q94</f>
        <v>5.4089130175485813</v>
      </c>
      <c r="R95" s="17">
        <f t="shared" ca="1" si="60"/>
        <v>11.308403550160593</v>
      </c>
      <c r="S95" s="17">
        <f t="shared" ca="1" si="60"/>
        <v>17.207894082772604</v>
      </c>
      <c r="T95" s="17">
        <f t="shared" ca="1" si="60"/>
        <v>23.107384615384614</v>
      </c>
      <c r="U95" s="17">
        <f t="shared" ca="1" si="60"/>
        <v>29.006875147996624</v>
      </c>
      <c r="V95" s="17">
        <f t="shared" ca="1" si="60"/>
        <v>34.906365680608637</v>
      </c>
      <c r="W95" s="17">
        <f t="shared" ca="1" si="60"/>
        <v>40.80585621322065</v>
      </c>
    </row>
    <row r="96" spans="2:23" ht="12.5">
      <c r="B96" s="468">
        <f ca="1">IF(E96-E94*3&lt;0,0,E96-E94*3)</f>
        <v>5.4089130175485813</v>
      </c>
      <c r="C96" s="469">
        <f ca="1">IF(E96-E94*2&lt;0,0,E96-E94*2)</f>
        <v>11.308403550160593</v>
      </c>
      <c r="D96" s="469">
        <f ca="1">IF(E96-E94*1&lt;0,0,E96-E94*1)</f>
        <v>17.207894082772604</v>
      </c>
      <c r="E96" s="469">
        <f ca="1">AVERAGE(C76:C91,E76:E91,G76:G91,I76:I91,K76:K91)</f>
        <v>23.107384615384614</v>
      </c>
      <c r="F96" s="469">
        <f ca="1">E96+E94*1</f>
        <v>29.006875147996624</v>
      </c>
      <c r="G96" s="469">
        <f ca="1">E96+E94*2</f>
        <v>34.906365680608637</v>
      </c>
      <c r="H96" s="469">
        <f ca="1">E96+E94*3</f>
        <v>40.80585621322065</v>
      </c>
      <c r="I96" s="470">
        <f ca="1">股價預估!E42</f>
        <v>27.758460825220212</v>
      </c>
      <c r="J96" s="12">
        <f ca="1">股價預估!G45</f>
        <v>24.411692346936444</v>
      </c>
      <c r="O96" s="23">
        <f t="shared" ref="O96:P96" ca="1" si="61">D82</f>
        <v>45658</v>
      </c>
      <c r="P96" s="4">
        <f t="shared" ca="1" si="61"/>
        <v>28.38</v>
      </c>
      <c r="Q96" s="17">
        <f t="shared" ref="Q96:W96" ca="1" si="62">Q95</f>
        <v>5.4089130175485813</v>
      </c>
      <c r="R96" s="17">
        <f t="shared" ca="1" si="62"/>
        <v>11.308403550160593</v>
      </c>
      <c r="S96" s="17">
        <f t="shared" ca="1" si="62"/>
        <v>17.207894082772604</v>
      </c>
      <c r="T96" s="17">
        <f t="shared" ca="1" si="62"/>
        <v>23.107384615384614</v>
      </c>
      <c r="U96" s="17">
        <f t="shared" ca="1" si="62"/>
        <v>29.006875147996624</v>
      </c>
      <c r="V96" s="17">
        <f t="shared" ca="1" si="62"/>
        <v>34.906365680608637</v>
      </c>
      <c r="W96" s="17">
        <f t="shared" ca="1" si="62"/>
        <v>40.80585621322065</v>
      </c>
    </row>
    <row r="97" spans="2:23" ht="13" thickBot="1">
      <c r="B97" s="471">
        <f ca="1">B96*I46</f>
        <v>530.6615572948823</v>
      </c>
      <c r="C97" s="472">
        <f ca="1">C96*I46</f>
        <v>1109.453048880222</v>
      </c>
      <c r="D97" s="472">
        <f ca="1">D96*I46</f>
        <v>1688.2445404655618</v>
      </c>
      <c r="E97" s="472">
        <f ca="1">E96*I46</f>
        <v>2267.0360320509012</v>
      </c>
      <c r="F97" s="472">
        <f ca="1">F96*I46</f>
        <v>2845.827523636241</v>
      </c>
      <c r="G97" s="472">
        <f ca="1">G96*I46</f>
        <v>3424.6190152215809</v>
      </c>
      <c r="H97" s="472">
        <f ca="1">H96*I46</f>
        <v>4003.4105068069207</v>
      </c>
      <c r="I97" s="473">
        <f ca="1">I96*I46</f>
        <v>2723.3471867322437</v>
      </c>
      <c r="J97" s="12">
        <f ca="1">J96*I46</f>
        <v>2395</v>
      </c>
      <c r="O97" s="26">
        <f t="shared" ref="O97:P97" ca="1" si="63">D83</f>
        <v>45627</v>
      </c>
      <c r="P97" s="4">
        <f t="shared" ca="1" si="63"/>
        <v>26.88</v>
      </c>
      <c r="Q97" s="17">
        <f t="shared" ref="Q97:W97" ca="1" si="64">Q96</f>
        <v>5.4089130175485813</v>
      </c>
      <c r="R97" s="17">
        <f t="shared" ca="1" si="64"/>
        <v>11.308403550160593</v>
      </c>
      <c r="S97" s="17">
        <f t="shared" ca="1" si="64"/>
        <v>17.207894082772604</v>
      </c>
      <c r="T97" s="17">
        <f t="shared" ca="1" si="64"/>
        <v>23.107384615384614</v>
      </c>
      <c r="U97" s="17">
        <f t="shared" ca="1" si="64"/>
        <v>29.006875147996624</v>
      </c>
      <c r="V97" s="17">
        <f t="shared" ca="1" si="64"/>
        <v>34.906365680608637</v>
      </c>
      <c r="W97" s="17">
        <f t="shared" ca="1" si="64"/>
        <v>40.80585621322065</v>
      </c>
    </row>
    <row r="98" spans="2:23" ht="12.5">
      <c r="G98" s="12"/>
      <c r="I98" s="29"/>
      <c r="J98" s="27"/>
      <c r="O98" s="26">
        <f t="shared" ref="O98:P98" ca="1" si="65">D84</f>
        <v>45597</v>
      </c>
      <c r="P98" s="4">
        <f t="shared" ca="1" si="65"/>
        <v>24.9</v>
      </c>
      <c r="Q98" s="17">
        <f t="shared" ref="Q98:W98" ca="1" si="66">Q97</f>
        <v>5.4089130175485813</v>
      </c>
      <c r="R98" s="17">
        <f t="shared" ca="1" si="66"/>
        <v>11.308403550160593</v>
      </c>
      <c r="S98" s="17">
        <f t="shared" ca="1" si="66"/>
        <v>17.207894082772604</v>
      </c>
      <c r="T98" s="17">
        <f t="shared" ca="1" si="66"/>
        <v>23.107384615384614</v>
      </c>
      <c r="U98" s="17">
        <f t="shared" ca="1" si="66"/>
        <v>29.006875147996624</v>
      </c>
      <c r="V98" s="17">
        <f t="shared" ca="1" si="66"/>
        <v>34.906365680608637</v>
      </c>
      <c r="W98" s="17">
        <f t="shared" ca="1" si="66"/>
        <v>40.80585621322065</v>
      </c>
    </row>
    <row r="99" spans="2:23" ht="12.5">
      <c r="G99" s="8"/>
      <c r="I99" s="29">
        <f ca="1">IF(D96=0,(I96-E96)/E96,IF(C96=0,(I96-E96)/E96,(I96-E96)/E94))</f>
        <v>0.78838607912407732</v>
      </c>
      <c r="J99" s="29">
        <f ca="1">IF(D96=0,(J96-E96)/E96,IF(C96=0,(J96-E96)/E96,(J96-E96)/E94))</f>
        <v>0.22108819809807298</v>
      </c>
      <c r="O99" s="26">
        <f t="shared" ref="O99:P99" ca="1" si="67">D85</f>
        <v>45566</v>
      </c>
      <c r="P99" s="4">
        <f t="shared" ca="1" si="67"/>
        <v>28.93</v>
      </c>
      <c r="Q99" s="17">
        <f t="shared" ref="Q99:W99" ca="1" si="68">Q98</f>
        <v>5.4089130175485813</v>
      </c>
      <c r="R99" s="17">
        <f t="shared" ca="1" si="68"/>
        <v>11.308403550160593</v>
      </c>
      <c r="S99" s="17">
        <f t="shared" ca="1" si="68"/>
        <v>17.207894082772604</v>
      </c>
      <c r="T99" s="17">
        <f t="shared" ca="1" si="68"/>
        <v>23.107384615384614</v>
      </c>
      <c r="U99" s="17">
        <f t="shared" ca="1" si="68"/>
        <v>29.006875147996624</v>
      </c>
      <c r="V99" s="17">
        <f t="shared" ca="1" si="68"/>
        <v>34.906365680608637</v>
      </c>
      <c r="W99" s="17">
        <f t="shared" ca="1" si="68"/>
        <v>40.80585621322065</v>
      </c>
    </row>
    <row r="100" spans="2:23" ht="12.5">
      <c r="H100" s="10"/>
      <c r="I100" s="10"/>
      <c r="J100" s="10"/>
      <c r="O100" s="23">
        <f t="shared" ref="O100:P100" ca="1" si="69">D86</f>
        <v>45536</v>
      </c>
      <c r="P100" s="4">
        <f t="shared" ca="1" si="69"/>
        <v>26.88</v>
      </c>
      <c r="Q100" s="17">
        <f t="shared" ref="Q100:W100" ca="1" si="70">Q99</f>
        <v>5.4089130175485813</v>
      </c>
      <c r="R100" s="17">
        <f t="shared" ca="1" si="70"/>
        <v>11.308403550160593</v>
      </c>
      <c r="S100" s="17">
        <f t="shared" ca="1" si="70"/>
        <v>17.207894082772604</v>
      </c>
      <c r="T100" s="17">
        <f t="shared" ca="1" si="70"/>
        <v>23.107384615384614</v>
      </c>
      <c r="U100" s="17">
        <f t="shared" ca="1" si="70"/>
        <v>29.006875147996624</v>
      </c>
      <c r="V100" s="17">
        <f t="shared" ca="1" si="70"/>
        <v>34.906365680608637</v>
      </c>
      <c r="W100" s="17">
        <f t="shared" ca="1" si="70"/>
        <v>40.80585621322065</v>
      </c>
    </row>
    <row r="101" spans="2:23" ht="12.5">
      <c r="H101" s="10"/>
      <c r="I101" s="10"/>
      <c r="J101" s="10"/>
      <c r="O101" s="23">
        <f t="shared" ref="O101:P101" ca="1" si="71">D87</f>
        <v>45505</v>
      </c>
      <c r="P101" s="4">
        <f t="shared" ca="1" si="71"/>
        <v>26.52</v>
      </c>
      <c r="Q101" s="17">
        <f t="shared" ref="Q101:W101" ca="1" si="72">Q100</f>
        <v>5.4089130175485813</v>
      </c>
      <c r="R101" s="17">
        <f t="shared" ca="1" si="72"/>
        <v>11.308403550160593</v>
      </c>
      <c r="S101" s="17">
        <f t="shared" ca="1" si="72"/>
        <v>17.207894082772604</v>
      </c>
      <c r="T101" s="17">
        <f t="shared" ca="1" si="72"/>
        <v>23.107384615384614</v>
      </c>
      <c r="U101" s="17">
        <f t="shared" ca="1" si="72"/>
        <v>29.006875147996624</v>
      </c>
      <c r="V101" s="17">
        <f t="shared" ca="1" si="72"/>
        <v>34.906365680608637</v>
      </c>
      <c r="W101" s="17">
        <f t="shared" ca="1" si="72"/>
        <v>40.80585621322065</v>
      </c>
    </row>
    <row r="102" spans="2:23" ht="12.5">
      <c r="O102" s="23">
        <f t="shared" ref="O102:P102" ca="1" si="73">F76</f>
        <v>45444</v>
      </c>
      <c r="P102" s="4">
        <f t="shared" ca="1" si="73"/>
        <v>29.24</v>
      </c>
      <c r="Q102" s="17">
        <f t="shared" ref="Q102:W102" ca="1" si="74">Q100</f>
        <v>5.4089130175485813</v>
      </c>
      <c r="R102" s="17">
        <f t="shared" ca="1" si="74"/>
        <v>11.308403550160593</v>
      </c>
      <c r="S102" s="17">
        <f t="shared" ca="1" si="74"/>
        <v>17.207894082772604</v>
      </c>
      <c r="T102" s="17">
        <f t="shared" ca="1" si="74"/>
        <v>23.107384615384614</v>
      </c>
      <c r="U102" s="17">
        <f t="shared" ca="1" si="74"/>
        <v>29.006875147996624</v>
      </c>
      <c r="V102" s="17">
        <f t="shared" ca="1" si="74"/>
        <v>34.906365680608637</v>
      </c>
      <c r="W102" s="17">
        <f t="shared" ca="1" si="74"/>
        <v>40.80585621322065</v>
      </c>
    </row>
    <row r="103" spans="2:23" ht="12.5">
      <c r="O103" s="23">
        <f t="shared" ref="O103:P103" ca="1" si="75">F77</f>
        <v>45413</v>
      </c>
      <c r="P103" s="4">
        <f t="shared" ca="1" si="75"/>
        <v>24.85</v>
      </c>
      <c r="Q103" s="17">
        <f t="shared" ref="Q103:W103" ca="1" si="76">Q102</f>
        <v>5.4089130175485813</v>
      </c>
      <c r="R103" s="17">
        <f t="shared" ca="1" si="76"/>
        <v>11.308403550160593</v>
      </c>
      <c r="S103" s="17">
        <f t="shared" ca="1" si="76"/>
        <v>17.207894082772604</v>
      </c>
      <c r="T103" s="17">
        <f t="shared" ca="1" si="76"/>
        <v>23.107384615384614</v>
      </c>
      <c r="U103" s="17">
        <f t="shared" ca="1" si="76"/>
        <v>29.006875147996624</v>
      </c>
      <c r="V103" s="17">
        <f t="shared" ca="1" si="76"/>
        <v>34.906365680608637</v>
      </c>
      <c r="W103" s="17">
        <f t="shared" ca="1" si="76"/>
        <v>40.80585621322065</v>
      </c>
    </row>
    <row r="104" spans="2:23" ht="12.5">
      <c r="O104" s="23">
        <f t="shared" ref="O104:P104" ca="1" si="77">F78</f>
        <v>45383</v>
      </c>
      <c r="P104" s="4">
        <f t="shared" ca="1" si="77"/>
        <v>24.44</v>
      </c>
      <c r="Q104" s="17">
        <f t="shared" ref="Q104:W104" ca="1" si="78">Q103</f>
        <v>5.4089130175485813</v>
      </c>
      <c r="R104" s="17">
        <f t="shared" ca="1" si="78"/>
        <v>11.308403550160593</v>
      </c>
      <c r="S104" s="17">
        <f t="shared" ca="1" si="78"/>
        <v>17.207894082772604</v>
      </c>
      <c r="T104" s="17">
        <f t="shared" ca="1" si="78"/>
        <v>23.107384615384614</v>
      </c>
      <c r="U104" s="17">
        <f t="shared" ca="1" si="78"/>
        <v>29.006875147996624</v>
      </c>
      <c r="V104" s="17">
        <f t="shared" ca="1" si="78"/>
        <v>34.906365680608637</v>
      </c>
      <c r="W104" s="17">
        <f t="shared" ca="1" si="78"/>
        <v>40.80585621322065</v>
      </c>
    </row>
    <row r="105" spans="2:23" ht="13" thickBot="1">
      <c r="O105" s="23">
        <f t="shared" ref="O105:P105" ca="1" si="79">F79</f>
        <v>45352</v>
      </c>
      <c r="P105" s="4">
        <f t="shared" ca="1" si="79"/>
        <v>24.1</v>
      </c>
      <c r="Q105" s="17">
        <f t="shared" ref="Q105:W105" ca="1" si="80">Q104</f>
        <v>5.4089130175485813</v>
      </c>
      <c r="R105" s="17">
        <f t="shared" ca="1" si="80"/>
        <v>11.308403550160593</v>
      </c>
      <c r="S105" s="17">
        <f t="shared" ca="1" si="80"/>
        <v>17.207894082772604</v>
      </c>
      <c r="T105" s="17">
        <f t="shared" ca="1" si="80"/>
        <v>23.107384615384614</v>
      </c>
      <c r="U105" s="17">
        <f t="shared" ca="1" si="80"/>
        <v>29.006875147996624</v>
      </c>
      <c r="V105" s="17">
        <f t="shared" ca="1" si="80"/>
        <v>34.906365680608637</v>
      </c>
      <c r="W105" s="17">
        <f t="shared" ca="1" si="80"/>
        <v>40.80585621322065</v>
      </c>
    </row>
    <row r="106" spans="2:23" ht="13">
      <c r="B106" s="479" t="str">
        <f ca="1">IFERROR(__xludf.DUMMYFUNCTION("IMPORTHTML(SUBSTITUTE(""https://histock.tw/stock/股票代碼/股價淨值比"", ""股票代碼"",'股價預估'!E1),""table"",0)"),"年度/月份")</f>
        <v>年度/月份</v>
      </c>
      <c r="C106" s="413" t="str">
        <f ca="1">IFERROR(__xludf.DUMMYFUNCTION("""COMPUTED_VALUE"""),"股價淨值比")</f>
        <v>股價淨值比</v>
      </c>
      <c r="D106" s="413" t="str">
        <f ca="1">IFERROR(__xludf.DUMMYFUNCTION("""COMPUTED_VALUE"""),"年度/月份")</f>
        <v>年度/月份</v>
      </c>
      <c r="E106" s="413" t="str">
        <f ca="1">IFERROR(__xludf.DUMMYFUNCTION("""COMPUTED_VALUE"""),"股價淨值比")</f>
        <v>股價淨值比</v>
      </c>
      <c r="F106" s="413" t="str">
        <f ca="1">IFERROR(__xludf.DUMMYFUNCTION("""COMPUTED_VALUE"""),"年度/月份")</f>
        <v>年度/月份</v>
      </c>
      <c r="G106" s="413" t="str">
        <f ca="1">IFERROR(__xludf.DUMMYFUNCTION("""COMPUTED_VALUE"""),"股價淨值比")</f>
        <v>股價淨值比</v>
      </c>
      <c r="H106" s="413" t="str">
        <f ca="1">IFERROR(__xludf.DUMMYFUNCTION("""COMPUTED_VALUE"""),"年度/月份")</f>
        <v>年度/月份</v>
      </c>
      <c r="I106" s="415" t="str">
        <f ca="1">IFERROR(__xludf.DUMMYFUNCTION("""COMPUTED_VALUE"""),"股價淨值比")</f>
        <v>股價淨值比</v>
      </c>
      <c r="J106" s="4" t="str">
        <f ca="1">IFERROR(__xludf.DUMMYFUNCTION("""COMPUTED_VALUE"""),"年度/月份")</f>
        <v>年度/月份</v>
      </c>
      <c r="K106" s="4" t="str">
        <f ca="1">IFERROR(__xludf.DUMMYFUNCTION("""COMPUTED_VALUE"""),"股價淨值比")</f>
        <v>股價淨值比</v>
      </c>
      <c r="O106" s="23">
        <f t="shared" ref="O106:P106" ca="1" si="81">F80</f>
        <v>45323</v>
      </c>
      <c r="P106" s="4">
        <f t="shared" ca="1" si="81"/>
        <v>21.34</v>
      </c>
      <c r="Q106" s="17">
        <f t="shared" ref="Q106:W106" ca="1" si="82">Q105</f>
        <v>5.4089130175485813</v>
      </c>
      <c r="R106" s="17">
        <f t="shared" ca="1" si="82"/>
        <v>11.308403550160593</v>
      </c>
      <c r="S106" s="17">
        <f t="shared" ca="1" si="82"/>
        <v>17.207894082772604</v>
      </c>
      <c r="T106" s="17">
        <f t="shared" ca="1" si="82"/>
        <v>23.107384615384614</v>
      </c>
      <c r="U106" s="17">
        <f t="shared" ca="1" si="82"/>
        <v>29.006875147996624</v>
      </c>
      <c r="V106" s="17">
        <f t="shared" ca="1" si="82"/>
        <v>34.906365680608637</v>
      </c>
      <c r="W106" s="17">
        <f t="shared" ca="1" si="82"/>
        <v>40.80585621322065</v>
      </c>
    </row>
    <row r="107" spans="2:23" ht="12.5">
      <c r="B107" s="475">
        <f ca="1">IFERROR(__xludf.DUMMYFUNCTION("""COMPUTED_VALUE"""),46235)</f>
        <v>46235</v>
      </c>
      <c r="C107" s="17">
        <f ca="1">IFERROR(__xludf.DUMMYFUNCTION("""COMPUTED_VALUE"""),9.66)</f>
        <v>9.66</v>
      </c>
      <c r="D107" s="23">
        <f ca="1">IFERROR(__xludf.DUMMYFUNCTION("""COMPUTED_VALUE"""),45839)</f>
        <v>45839</v>
      </c>
      <c r="E107" s="17">
        <f ca="1">IFERROR(__xludf.DUMMYFUNCTION("""COMPUTED_VALUE"""),6.59)</f>
        <v>6.59</v>
      </c>
      <c r="F107" s="23">
        <f ca="1">IFERROR(__xludf.DUMMYFUNCTION("""COMPUTED_VALUE"""),45444)</f>
        <v>45444</v>
      </c>
      <c r="G107" s="17">
        <f ca="1">IFERROR(__xludf.DUMMYFUNCTION("""COMPUTED_VALUE"""),6.89)</f>
        <v>6.89</v>
      </c>
      <c r="H107" s="23">
        <f ca="1">IFERROR(__xludf.DUMMYFUNCTION("""COMPUTED_VALUE"""),45017)</f>
        <v>45017</v>
      </c>
      <c r="I107" s="477">
        <f ca="1">IFERROR(__xludf.DUMMYFUNCTION("""COMPUTED_VALUE"""),4.42)</f>
        <v>4.42</v>
      </c>
      <c r="J107" s="23">
        <f ca="1">IFERROR(__xludf.DUMMYFUNCTION("""COMPUTED_VALUE"""),44621)</f>
        <v>44621</v>
      </c>
      <c r="K107" s="4">
        <f ca="1">IFERROR(__xludf.DUMMYFUNCTION("""COMPUTED_VALUE"""),7.14)</f>
        <v>7.14</v>
      </c>
      <c r="O107" s="23">
        <f t="shared" ref="O107:P107" ca="1" si="83">F81</f>
        <v>45292</v>
      </c>
      <c r="P107" s="4">
        <f t="shared" ca="1" si="83"/>
        <v>18.18</v>
      </c>
      <c r="Q107" s="17">
        <f t="shared" ref="Q107:W107" ca="1" si="84">Q106</f>
        <v>5.4089130175485813</v>
      </c>
      <c r="R107" s="17">
        <f t="shared" ca="1" si="84"/>
        <v>11.308403550160593</v>
      </c>
      <c r="S107" s="17">
        <f t="shared" ca="1" si="84"/>
        <v>17.207894082772604</v>
      </c>
      <c r="T107" s="17">
        <f t="shared" ca="1" si="84"/>
        <v>23.107384615384614</v>
      </c>
      <c r="U107" s="17">
        <f t="shared" ca="1" si="84"/>
        <v>29.006875147996624</v>
      </c>
      <c r="V107" s="17">
        <f t="shared" ca="1" si="84"/>
        <v>34.906365680608637</v>
      </c>
      <c r="W107" s="17">
        <f t="shared" ca="1" si="84"/>
        <v>40.80585621322065</v>
      </c>
    </row>
    <row r="108" spans="2:23" ht="12.5">
      <c r="B108" s="475">
        <f ca="1">IFERROR(__xludf.DUMMYFUNCTION("""COMPUTED_VALUE"""),46204)</f>
        <v>46204</v>
      </c>
      <c r="C108" s="17">
        <f ca="1">IFERROR(__xludf.DUMMYFUNCTION("""COMPUTED_VALUE"""),10.67)</f>
        <v>10.67</v>
      </c>
      <c r="D108" s="23">
        <f ca="1">IFERROR(__xludf.DUMMYFUNCTION("""COMPUTED_VALUE"""),45809)</f>
        <v>45809</v>
      </c>
      <c r="E108" s="17">
        <f ca="1">IFERROR(__xludf.DUMMYFUNCTION("""COMPUTED_VALUE"""),6.02)</f>
        <v>6.02</v>
      </c>
      <c r="F108" s="23">
        <f ca="1">IFERROR(__xludf.DUMMYFUNCTION("""COMPUTED_VALUE"""),45413)</f>
        <v>45413</v>
      </c>
      <c r="G108" s="17">
        <f ca="1">IFERROR(__xludf.DUMMYFUNCTION("""COMPUTED_VALUE"""),5.86)</f>
        <v>5.86</v>
      </c>
      <c r="H108" s="23">
        <f ca="1">IFERROR(__xludf.DUMMYFUNCTION("""COMPUTED_VALUE"""),44986)</f>
        <v>44986</v>
      </c>
      <c r="I108" s="477">
        <f ca="1">IFERROR(__xludf.DUMMYFUNCTION("""COMPUTED_VALUE"""),4.69)</f>
        <v>4.6900000000000004</v>
      </c>
      <c r="J108" s="23">
        <f ca="1">IFERROR(__xludf.DUMMYFUNCTION("""COMPUTED_VALUE"""),44593)</f>
        <v>44593</v>
      </c>
      <c r="K108" s="4">
        <f ca="1">IFERROR(__xludf.DUMMYFUNCTION("""COMPUTED_VALUE"""),7.22)</f>
        <v>7.22</v>
      </c>
      <c r="O108" s="26">
        <f t="shared" ref="O108:P108" ca="1" si="85">F82</f>
        <v>45261</v>
      </c>
      <c r="P108" s="4">
        <f t="shared" ca="1" si="85"/>
        <v>17.170000000000002</v>
      </c>
      <c r="Q108" s="17">
        <f t="shared" ref="Q108:W108" ca="1" si="86">Q107</f>
        <v>5.4089130175485813</v>
      </c>
      <c r="R108" s="17">
        <f t="shared" ca="1" si="86"/>
        <v>11.308403550160593</v>
      </c>
      <c r="S108" s="17">
        <f t="shared" ca="1" si="86"/>
        <v>17.207894082772604</v>
      </c>
      <c r="T108" s="17">
        <f t="shared" ca="1" si="86"/>
        <v>23.107384615384614</v>
      </c>
      <c r="U108" s="17">
        <f t="shared" ca="1" si="86"/>
        <v>29.006875147996624</v>
      </c>
      <c r="V108" s="17">
        <f t="shared" ca="1" si="86"/>
        <v>34.906365680608637</v>
      </c>
      <c r="W108" s="17">
        <f t="shared" ca="1" si="86"/>
        <v>40.80585621322065</v>
      </c>
    </row>
    <row r="109" spans="2:23" ht="12.5">
      <c r="B109" s="475">
        <f ca="1">IFERROR(__xludf.DUMMYFUNCTION("""COMPUTED_VALUE"""),46174)</f>
        <v>46174</v>
      </c>
      <c r="C109" s="17">
        <f ca="1">IFERROR(__xludf.DUMMYFUNCTION("""COMPUTED_VALUE"""),10.61)</f>
        <v>10.61</v>
      </c>
      <c r="D109" s="23">
        <f ca="1">IFERROR(__xludf.DUMMYFUNCTION("""COMPUTED_VALUE"""),45778)</f>
        <v>45778</v>
      </c>
      <c r="E109" s="17">
        <f ca="1">IFERROR(__xludf.DUMMYFUNCTION("""COMPUTED_VALUE"""),5.49)</f>
        <v>5.49</v>
      </c>
      <c r="F109" s="23">
        <f ca="1">IFERROR(__xludf.DUMMYFUNCTION("""COMPUTED_VALUE"""),45383)</f>
        <v>45383</v>
      </c>
      <c r="G109" s="17">
        <f ca="1">IFERROR(__xludf.DUMMYFUNCTION("""COMPUTED_VALUE"""),5.92)</f>
        <v>5.92</v>
      </c>
      <c r="H109" s="23">
        <f ca="1">IFERROR(__xludf.DUMMYFUNCTION("""COMPUTED_VALUE"""),44958)</f>
        <v>44958</v>
      </c>
      <c r="I109" s="477">
        <f ca="1">IFERROR(__xludf.DUMMYFUNCTION("""COMPUTED_VALUE"""),4.5)</f>
        <v>4.5</v>
      </c>
      <c r="J109" s="23">
        <f ca="1">IFERROR(__xludf.DUMMYFUNCTION("""COMPUTED_VALUE"""),44562)</f>
        <v>44562</v>
      </c>
      <c r="K109" s="4">
        <f ca="1">IFERROR(__xludf.DUMMYFUNCTION("""COMPUTED_VALUE"""),7.94)</f>
        <v>7.94</v>
      </c>
      <c r="O109" s="26">
        <f t="shared" ref="O109:P109" ca="1" si="87">F83</f>
        <v>45231</v>
      </c>
      <c r="P109" s="4">
        <f t="shared" ca="1" si="87"/>
        <v>16.62</v>
      </c>
      <c r="Q109" s="17">
        <f t="shared" ref="Q109:W109" ca="1" si="88">Q108</f>
        <v>5.4089130175485813</v>
      </c>
      <c r="R109" s="17">
        <f t="shared" ca="1" si="88"/>
        <v>11.308403550160593</v>
      </c>
      <c r="S109" s="17">
        <f t="shared" ca="1" si="88"/>
        <v>17.207894082772604</v>
      </c>
      <c r="T109" s="17">
        <f t="shared" ca="1" si="88"/>
        <v>23.107384615384614</v>
      </c>
      <c r="U109" s="17">
        <f t="shared" ca="1" si="88"/>
        <v>29.006875147996624</v>
      </c>
      <c r="V109" s="17">
        <f t="shared" ca="1" si="88"/>
        <v>34.906365680608637</v>
      </c>
      <c r="W109" s="17">
        <f t="shared" ca="1" si="88"/>
        <v>40.80585621322065</v>
      </c>
    </row>
    <row r="110" spans="2:23" ht="12.5">
      <c r="B110" s="475">
        <f ca="1">IFERROR(__xludf.DUMMYFUNCTION("""COMPUTED_VALUE"""),46143)</f>
        <v>46143</v>
      </c>
      <c r="C110" s="17">
        <f ca="1">IFERROR(__xludf.DUMMYFUNCTION("""COMPUTED_VALUE"""),10.37)</f>
        <v>10.37</v>
      </c>
      <c r="D110" s="23">
        <f ca="1">IFERROR(__xludf.DUMMYFUNCTION("""COMPUTED_VALUE"""),45748)</f>
        <v>45748</v>
      </c>
      <c r="E110" s="17">
        <f ca="1">IFERROR(__xludf.DUMMYFUNCTION("""COMPUTED_VALUE"""),5.49)</f>
        <v>5.49</v>
      </c>
      <c r="F110" s="23">
        <f ca="1">IFERROR(__xludf.DUMMYFUNCTION("""COMPUTED_VALUE"""),45352)</f>
        <v>45352</v>
      </c>
      <c r="G110" s="17">
        <f ca="1">IFERROR(__xludf.DUMMYFUNCTION("""COMPUTED_VALUE"""),5.84)</f>
        <v>5.84</v>
      </c>
      <c r="H110" s="23">
        <f ca="1">IFERROR(__xludf.DUMMYFUNCTION("""COMPUTED_VALUE"""),44927)</f>
        <v>44927</v>
      </c>
      <c r="I110" s="477">
        <f ca="1">IFERROR(__xludf.DUMMYFUNCTION("""COMPUTED_VALUE"""),4.94)</f>
        <v>4.9400000000000004</v>
      </c>
      <c r="J110" s="26">
        <f ca="1">IFERROR(__xludf.DUMMYFUNCTION("""COMPUTED_VALUE"""),44531)</f>
        <v>44531</v>
      </c>
      <c r="K110" s="4">
        <f ca="1">IFERROR(__xludf.DUMMYFUNCTION("""COMPUTED_VALUE"""),7.68)</f>
        <v>7.68</v>
      </c>
      <c r="O110" s="26">
        <f t="shared" ref="O110:P110" ca="1" si="89">F84</f>
        <v>45200</v>
      </c>
      <c r="P110" s="4">
        <f t="shared" ca="1" si="89"/>
        <v>14.21</v>
      </c>
      <c r="Q110" s="17">
        <f t="shared" ref="Q110:W110" ca="1" si="90">Q109</f>
        <v>5.4089130175485813</v>
      </c>
      <c r="R110" s="17">
        <f t="shared" ca="1" si="90"/>
        <v>11.308403550160593</v>
      </c>
      <c r="S110" s="17">
        <f t="shared" ca="1" si="90"/>
        <v>17.207894082772604</v>
      </c>
      <c r="T110" s="17">
        <f t="shared" ca="1" si="90"/>
        <v>23.107384615384614</v>
      </c>
      <c r="U110" s="17">
        <f t="shared" ca="1" si="90"/>
        <v>29.006875147996624</v>
      </c>
      <c r="V110" s="17">
        <f t="shared" ca="1" si="90"/>
        <v>34.906365680608637</v>
      </c>
      <c r="W110" s="17">
        <f t="shared" ca="1" si="90"/>
        <v>40.80585621322065</v>
      </c>
    </row>
    <row r="111" spans="2:23" ht="12.5">
      <c r="B111" s="475">
        <f ca="1">IFERROR(__xludf.DUMMYFUNCTION("""COMPUTED_VALUE"""),46113)</f>
        <v>46113</v>
      </c>
      <c r="C111" s="17">
        <f ca="1">IFERROR(__xludf.DUMMYFUNCTION("""COMPUTED_VALUE"""),10.22)</f>
        <v>10.220000000000001</v>
      </c>
      <c r="D111" s="23">
        <f ca="1">IFERROR(__xludf.DUMMYFUNCTION("""COMPUTED_VALUE"""),45717)</f>
        <v>45717</v>
      </c>
      <c r="E111" s="17">
        <f ca="1">IFERROR(__xludf.DUMMYFUNCTION("""COMPUTED_VALUE"""),5.5)</f>
        <v>5.5</v>
      </c>
      <c r="F111" s="23">
        <f ca="1">IFERROR(__xludf.DUMMYFUNCTION("""COMPUTED_VALUE"""),45323)</f>
        <v>45323</v>
      </c>
      <c r="G111" s="17">
        <f ca="1">IFERROR(__xludf.DUMMYFUNCTION("""COMPUTED_VALUE"""),5.17)</f>
        <v>5.17</v>
      </c>
      <c r="H111" s="23">
        <f ca="1">IFERROR(__xludf.DUMMYFUNCTION("""COMPUTED_VALUE"""),44896)</f>
        <v>44896</v>
      </c>
      <c r="I111" s="477">
        <f ca="1">IFERROR(__xludf.DUMMYFUNCTION("""COMPUTED_VALUE"""),4.25)</f>
        <v>4.25</v>
      </c>
      <c r="J111" s="26">
        <f ca="1">IFERROR(__xludf.DUMMYFUNCTION("""COMPUTED_VALUE"""),44501)</f>
        <v>44501</v>
      </c>
      <c r="K111" s="4">
        <f ca="1">IFERROR(__xludf.DUMMYFUNCTION("""COMPUTED_VALUE"""),7.44)</f>
        <v>7.44</v>
      </c>
      <c r="O111" s="23">
        <f t="shared" ref="O111:P111" ca="1" si="91">F85</f>
        <v>45170</v>
      </c>
      <c r="P111" s="4">
        <f t="shared" ca="1" si="91"/>
        <v>14.82</v>
      </c>
      <c r="Q111" s="17">
        <f t="shared" ref="Q111:W111" ca="1" si="92">Q110</f>
        <v>5.4089130175485813</v>
      </c>
      <c r="R111" s="17">
        <f t="shared" ca="1" si="92"/>
        <v>11.308403550160593</v>
      </c>
      <c r="S111" s="17">
        <f t="shared" ca="1" si="92"/>
        <v>17.207894082772604</v>
      </c>
      <c r="T111" s="17">
        <f t="shared" ca="1" si="92"/>
        <v>23.107384615384614</v>
      </c>
      <c r="U111" s="17">
        <f t="shared" ca="1" si="92"/>
        <v>29.006875147996624</v>
      </c>
      <c r="V111" s="17">
        <f t="shared" ca="1" si="92"/>
        <v>34.906365680608637</v>
      </c>
      <c r="W111" s="17">
        <f t="shared" ca="1" si="92"/>
        <v>40.80585621322065</v>
      </c>
    </row>
    <row r="112" spans="2:23" ht="12.5">
      <c r="B112" s="475">
        <f ca="1">IFERROR(__xludf.DUMMYFUNCTION("""COMPUTED_VALUE"""),46082)</f>
        <v>46082</v>
      </c>
      <c r="C112" s="17">
        <f ca="1">IFERROR(__xludf.DUMMYFUNCTION("""COMPUTED_VALUE"""),8.42)</f>
        <v>8.42</v>
      </c>
      <c r="D112" s="23">
        <f ca="1">IFERROR(__xludf.DUMMYFUNCTION("""COMPUTED_VALUE"""),45689)</f>
        <v>45689</v>
      </c>
      <c r="E112" s="17">
        <f ca="1">IFERROR(__xludf.DUMMYFUNCTION("""COMPUTED_VALUE"""),6.29)</f>
        <v>6.29</v>
      </c>
      <c r="F112" s="23">
        <f ca="1">IFERROR(__xludf.DUMMYFUNCTION("""COMPUTED_VALUE"""),45292)</f>
        <v>45292</v>
      </c>
      <c r="G112" s="17">
        <f ca="1">IFERROR(__xludf.DUMMYFUNCTION("""COMPUTED_VALUE"""),4.86)</f>
        <v>4.8600000000000003</v>
      </c>
      <c r="H112" s="23">
        <f ca="1">IFERROR(__xludf.DUMMYFUNCTION("""COMPUTED_VALUE"""),44866)</f>
        <v>44866</v>
      </c>
      <c r="I112" s="477">
        <f ca="1">IFERROR(__xludf.DUMMYFUNCTION("""COMPUTED_VALUE"""),4.64)</f>
        <v>4.6399999999999997</v>
      </c>
      <c r="J112" s="26">
        <f ca="1">IFERROR(__xludf.DUMMYFUNCTION("""COMPUTED_VALUE"""),44470)</f>
        <v>44470</v>
      </c>
      <c r="K112" s="4">
        <f ca="1">IFERROR(__xludf.DUMMYFUNCTION("""COMPUTED_VALUE"""),7.68)</f>
        <v>7.68</v>
      </c>
      <c r="O112" s="23">
        <f t="shared" ref="O112:P112" ca="1" si="93">F86</f>
        <v>45108</v>
      </c>
      <c r="P112" s="4">
        <f t="shared" ca="1" si="93"/>
        <v>14.76</v>
      </c>
      <c r="Q112" s="17">
        <f t="shared" ref="Q112:W112" ca="1" si="94">Q111</f>
        <v>5.4089130175485813</v>
      </c>
      <c r="R112" s="17">
        <f t="shared" ca="1" si="94"/>
        <v>11.308403550160593</v>
      </c>
      <c r="S112" s="17">
        <f t="shared" ca="1" si="94"/>
        <v>17.207894082772604</v>
      </c>
      <c r="T112" s="17">
        <f t="shared" ca="1" si="94"/>
        <v>23.107384615384614</v>
      </c>
      <c r="U112" s="17">
        <f t="shared" ca="1" si="94"/>
        <v>29.006875147996624</v>
      </c>
      <c r="V112" s="17">
        <f t="shared" ca="1" si="94"/>
        <v>34.906365680608637</v>
      </c>
      <c r="W112" s="17">
        <f t="shared" ca="1" si="94"/>
        <v>40.80585621322065</v>
      </c>
    </row>
    <row r="113" spans="2:23" ht="12.5">
      <c r="B113" s="475">
        <f ca="1">IFERROR(__xludf.DUMMYFUNCTION("""COMPUTED_VALUE"""),46054)</f>
        <v>46054</v>
      </c>
      <c r="C113" s="17">
        <f ca="1">IFERROR(__xludf.DUMMYFUNCTION("""COMPUTED_VALUE"""),9.55)</f>
        <v>9.5500000000000007</v>
      </c>
      <c r="D113" s="23">
        <f ca="1">IFERROR(__xludf.DUMMYFUNCTION("""COMPUTED_VALUE"""),45658)</f>
        <v>45658</v>
      </c>
      <c r="E113" s="17">
        <f ca="1">IFERROR(__xludf.DUMMYFUNCTION("""COMPUTED_VALUE"""),7.38)</f>
        <v>7.38</v>
      </c>
      <c r="F113" s="23">
        <f ca="1">IFERROR(__xludf.DUMMYFUNCTION("""COMPUTED_VALUE"""),45261)</f>
        <v>45261</v>
      </c>
      <c r="G113" s="17">
        <f ca="1">IFERROR(__xludf.DUMMYFUNCTION("""COMPUTED_VALUE"""),4.59)</f>
        <v>4.59</v>
      </c>
      <c r="H113" s="23">
        <f ca="1">IFERROR(__xludf.DUMMYFUNCTION("""COMPUTED_VALUE"""),44835)</f>
        <v>44835</v>
      </c>
      <c r="I113" s="477">
        <f ca="1">IFERROR(__xludf.DUMMYFUNCTION("""COMPUTED_VALUE"""),4.05)</f>
        <v>4.05</v>
      </c>
      <c r="J113" s="23">
        <f ca="1">IFERROR(__xludf.DUMMYFUNCTION("""COMPUTED_VALUE"""),44440)</f>
        <v>44440</v>
      </c>
      <c r="K113" s="4">
        <f ca="1">IFERROR(__xludf.DUMMYFUNCTION("""COMPUTED_VALUE"""),7.55)</f>
        <v>7.55</v>
      </c>
      <c r="O113" s="23">
        <f t="shared" ref="O113:P113" ca="1" si="95">F87</f>
        <v>45078</v>
      </c>
      <c r="P113" s="4">
        <f t="shared" ca="1" si="95"/>
        <v>14.63</v>
      </c>
      <c r="Q113" s="17">
        <f t="shared" ref="Q113:W113" ca="1" si="96">Q112</f>
        <v>5.4089130175485813</v>
      </c>
      <c r="R113" s="17">
        <f t="shared" ca="1" si="96"/>
        <v>11.308403550160593</v>
      </c>
      <c r="S113" s="17">
        <f t="shared" ca="1" si="96"/>
        <v>17.207894082772604</v>
      </c>
      <c r="T113" s="17">
        <f t="shared" ca="1" si="96"/>
        <v>23.107384615384614</v>
      </c>
      <c r="U113" s="17">
        <f t="shared" ca="1" si="96"/>
        <v>29.006875147996624</v>
      </c>
      <c r="V113" s="17">
        <f t="shared" ca="1" si="96"/>
        <v>34.906365680608637</v>
      </c>
      <c r="W113" s="17">
        <f t="shared" ca="1" si="96"/>
        <v>40.80585621322065</v>
      </c>
    </row>
    <row r="114" spans="2:23" ht="12.5">
      <c r="B114" s="475">
        <f ca="1">IFERROR(__xludf.DUMMYFUNCTION("""COMPUTED_VALUE"""),46023)</f>
        <v>46023</v>
      </c>
      <c r="C114" s="17">
        <f ca="1">IFERROR(__xludf.DUMMYFUNCTION("""COMPUTED_VALUE"""),9.21)</f>
        <v>9.2100000000000009</v>
      </c>
      <c r="D114" s="23">
        <f ca="1">IFERROR(__xludf.DUMMYFUNCTION("""COMPUTED_VALUE"""),45627)</f>
        <v>45627</v>
      </c>
      <c r="E114" s="17">
        <f ca="1">IFERROR(__xludf.DUMMYFUNCTION("""COMPUTED_VALUE"""),6.99)</f>
        <v>6.99</v>
      </c>
      <c r="F114" s="23">
        <f ca="1">IFERROR(__xludf.DUMMYFUNCTION("""COMPUTED_VALUE"""),45231)</f>
        <v>45231</v>
      </c>
      <c r="G114" s="17">
        <f ca="1">IFERROR(__xludf.DUMMYFUNCTION("""COMPUTED_VALUE"""),4.45)</f>
        <v>4.45</v>
      </c>
      <c r="H114" s="23">
        <f ca="1">IFERROR(__xludf.DUMMYFUNCTION("""COMPUTED_VALUE"""),44805)</f>
        <v>44805</v>
      </c>
      <c r="I114" s="477">
        <f ca="1">IFERROR(__xludf.DUMMYFUNCTION("""COMPUTED_VALUE"""),4.38)</f>
        <v>4.38</v>
      </c>
      <c r="J114" s="23">
        <f ca="1">IFERROR(__xludf.DUMMYFUNCTION("""COMPUTED_VALUE"""),44409)</f>
        <v>44409</v>
      </c>
      <c r="K114" s="4">
        <f ca="1">IFERROR(__xludf.DUMMYFUNCTION("""COMPUTED_VALUE"""),7.99)</f>
        <v>7.99</v>
      </c>
      <c r="O114" s="23">
        <f t="shared" ref="O114:P114" ca="1" si="97">H76</f>
        <v>45017</v>
      </c>
      <c r="P114" s="4">
        <f t="shared" ca="1" si="97"/>
        <v>12.81</v>
      </c>
      <c r="Q114" s="17">
        <f t="shared" ref="Q114:W114" ca="1" si="98">Q112</f>
        <v>5.4089130175485813</v>
      </c>
      <c r="R114" s="17">
        <f t="shared" ca="1" si="98"/>
        <v>11.308403550160593</v>
      </c>
      <c r="S114" s="17">
        <f t="shared" ca="1" si="98"/>
        <v>17.207894082772604</v>
      </c>
      <c r="T114" s="17">
        <f t="shared" ca="1" si="98"/>
        <v>23.107384615384614</v>
      </c>
      <c r="U114" s="17">
        <f t="shared" ca="1" si="98"/>
        <v>29.006875147996624</v>
      </c>
      <c r="V114" s="17">
        <f t="shared" ca="1" si="98"/>
        <v>34.906365680608637</v>
      </c>
      <c r="W114" s="17">
        <f t="shared" ca="1" si="98"/>
        <v>40.80585621322065</v>
      </c>
    </row>
    <row r="115" spans="2:23" ht="12.5">
      <c r="B115" s="475">
        <f ca="1">IFERROR(__xludf.DUMMYFUNCTION("""COMPUTED_VALUE"""),45992)</f>
        <v>45992</v>
      </c>
      <c r="C115" s="17">
        <f ca="1">IFERROR(__xludf.DUMMYFUNCTION("""COMPUTED_VALUE"""),8.04)</f>
        <v>8.0399999999999991</v>
      </c>
      <c r="D115" s="23">
        <f ca="1">IFERROR(__xludf.DUMMYFUNCTION("""COMPUTED_VALUE"""),45597)</f>
        <v>45597</v>
      </c>
      <c r="E115" s="17">
        <f ca="1">IFERROR(__xludf.DUMMYFUNCTION("""COMPUTED_VALUE"""),6.47)</f>
        <v>6.47</v>
      </c>
      <c r="F115" s="23">
        <f ca="1">IFERROR(__xludf.DUMMYFUNCTION("""COMPUTED_VALUE"""),45200)</f>
        <v>45200</v>
      </c>
      <c r="G115" s="17">
        <f ca="1">IFERROR(__xludf.DUMMYFUNCTION("""COMPUTED_VALUE"""),4.3)</f>
        <v>4.3</v>
      </c>
      <c r="H115" s="23">
        <f ca="1">IFERROR(__xludf.DUMMYFUNCTION("""COMPUTED_VALUE"""),44774)</f>
        <v>44774</v>
      </c>
      <c r="I115" s="477">
        <f ca="1">IFERROR(__xludf.DUMMYFUNCTION("""COMPUTED_VALUE"""),5.25)</f>
        <v>5.25</v>
      </c>
      <c r="J115" s="23">
        <f ca="1">IFERROR(__xludf.DUMMYFUNCTION("""COMPUTED_VALUE"""),44378)</f>
        <v>44378</v>
      </c>
      <c r="K115" s="4">
        <f ca="1">IFERROR(__xludf.DUMMYFUNCTION("""COMPUTED_VALUE"""),7.76)</f>
        <v>7.76</v>
      </c>
      <c r="O115" s="23">
        <f t="shared" ref="O115:P115" ca="1" si="99">H77</f>
        <v>44986</v>
      </c>
      <c r="P115" s="4">
        <f t="shared" ca="1" si="99"/>
        <v>13.6</v>
      </c>
      <c r="Q115" s="17">
        <f t="shared" ref="Q115:W115" ca="1" si="100">Q114</f>
        <v>5.4089130175485813</v>
      </c>
      <c r="R115" s="17">
        <f t="shared" ca="1" si="100"/>
        <v>11.308403550160593</v>
      </c>
      <c r="S115" s="17">
        <f t="shared" ca="1" si="100"/>
        <v>17.207894082772604</v>
      </c>
      <c r="T115" s="17">
        <f t="shared" ca="1" si="100"/>
        <v>23.107384615384614</v>
      </c>
      <c r="U115" s="17">
        <f t="shared" ca="1" si="100"/>
        <v>29.006875147996624</v>
      </c>
      <c r="V115" s="17">
        <f t="shared" ca="1" si="100"/>
        <v>34.906365680608637</v>
      </c>
      <c r="W115" s="17">
        <f t="shared" ca="1" si="100"/>
        <v>40.80585621322065</v>
      </c>
    </row>
    <row r="116" spans="2:23" ht="12.5">
      <c r="B116" s="475">
        <f ca="1">IFERROR(__xludf.DUMMYFUNCTION("""COMPUTED_VALUE"""),45962)</f>
        <v>45962</v>
      </c>
      <c r="C116" s="17">
        <f ca="1">IFERROR(__xludf.DUMMYFUNCTION("""COMPUTED_VALUE"""),7.47)</f>
        <v>7.47</v>
      </c>
      <c r="D116" s="23">
        <f ca="1">IFERROR(__xludf.DUMMYFUNCTION("""COMPUTED_VALUE"""),45566)</f>
        <v>45566</v>
      </c>
      <c r="E116" s="17">
        <f ca="1">IFERROR(__xludf.DUMMYFUNCTION("""COMPUTED_VALUE"""),7.04)</f>
        <v>7.04</v>
      </c>
      <c r="F116" s="23">
        <f ca="1">IFERROR(__xludf.DUMMYFUNCTION("""COMPUTED_VALUE"""),45170)</f>
        <v>45170</v>
      </c>
      <c r="G116" s="17">
        <f ca="1">IFERROR(__xludf.DUMMYFUNCTION("""COMPUTED_VALUE"""),4.49)</f>
        <v>4.49</v>
      </c>
      <c r="H116" s="23">
        <f ca="1">IFERROR(__xludf.DUMMYFUNCTION("""COMPUTED_VALUE"""),44743)</f>
        <v>44743</v>
      </c>
      <c r="I116" s="477">
        <f ca="1">IFERROR(__xludf.DUMMYFUNCTION("""COMPUTED_VALUE"""),5.7)</f>
        <v>5.7</v>
      </c>
      <c r="J116" s="23">
        <f ca="1">IFERROR(__xludf.DUMMYFUNCTION("""COMPUTED_VALUE"""),44348)</f>
        <v>44348</v>
      </c>
      <c r="K116" s="4">
        <f ca="1">IFERROR(__xludf.DUMMYFUNCTION("""COMPUTED_VALUE"""),7.96)</f>
        <v>7.96</v>
      </c>
      <c r="O116" s="23">
        <f t="shared" ref="O116:P116" ca="1" si="101">H78</f>
        <v>44958</v>
      </c>
      <c r="P116" s="4">
        <f t="shared" ca="1" si="101"/>
        <v>13.04</v>
      </c>
      <c r="Q116" s="17">
        <f t="shared" ref="Q116:W116" ca="1" si="102">Q115</f>
        <v>5.4089130175485813</v>
      </c>
      <c r="R116" s="17">
        <f t="shared" ca="1" si="102"/>
        <v>11.308403550160593</v>
      </c>
      <c r="S116" s="17">
        <f t="shared" ca="1" si="102"/>
        <v>17.207894082772604</v>
      </c>
      <c r="T116" s="17">
        <f t="shared" ca="1" si="102"/>
        <v>23.107384615384614</v>
      </c>
      <c r="U116" s="17">
        <f t="shared" ca="1" si="102"/>
        <v>29.006875147996624</v>
      </c>
      <c r="V116" s="17">
        <f t="shared" ca="1" si="102"/>
        <v>34.906365680608637</v>
      </c>
      <c r="W116" s="17">
        <f t="shared" ca="1" si="102"/>
        <v>40.80585621322065</v>
      </c>
    </row>
    <row r="117" spans="2:23" ht="12.5">
      <c r="B117" s="475">
        <f ca="1">IFERROR(__xludf.DUMMYFUNCTION("""COMPUTED_VALUE"""),45931)</f>
        <v>45931</v>
      </c>
      <c r="C117" s="17">
        <f ca="1">IFERROR(__xludf.DUMMYFUNCTION("""COMPUTED_VALUE"""),8.49)</f>
        <v>8.49</v>
      </c>
      <c r="D117" s="23">
        <f ca="1">IFERROR(__xludf.DUMMYFUNCTION("""COMPUTED_VALUE"""),45536)</f>
        <v>45536</v>
      </c>
      <c r="E117" s="17">
        <f ca="1">IFERROR(__xludf.DUMMYFUNCTION("""COMPUTED_VALUE"""),6.55)</f>
        <v>6.55</v>
      </c>
      <c r="F117" s="23">
        <f ca="1">IFERROR(__xludf.DUMMYFUNCTION("""COMPUTED_VALUE"""),45108)</f>
        <v>45108</v>
      </c>
      <c r="G117" s="17">
        <f ca="1">IFERROR(__xludf.DUMMYFUNCTION("""COMPUTED_VALUE"""),4.89)</f>
        <v>4.8899999999999997</v>
      </c>
      <c r="H117" s="23">
        <f ca="1">IFERROR(__xludf.DUMMYFUNCTION("""COMPUTED_VALUE"""),44713)</f>
        <v>44713</v>
      </c>
      <c r="I117" s="477">
        <f ca="1">IFERROR(__xludf.DUMMYFUNCTION("""COMPUTED_VALUE"""),5.33)</f>
        <v>5.33</v>
      </c>
      <c r="J117" s="23">
        <f ca="1">IFERROR(__xludf.DUMMYFUNCTION("""COMPUTED_VALUE"""),44317)</f>
        <v>44317</v>
      </c>
      <c r="K117" s="4">
        <f ca="1">IFERROR(__xludf.DUMMYFUNCTION("""COMPUTED_VALUE"""),7.98)</f>
        <v>7.98</v>
      </c>
      <c r="O117" s="23">
        <f t="shared" ref="O117:P117" ca="1" si="103">H79</f>
        <v>44927</v>
      </c>
      <c r="P117" s="4">
        <f t="shared" ca="1" si="103"/>
        <v>15.26</v>
      </c>
      <c r="Q117" s="17">
        <f t="shared" ref="Q117:W117" ca="1" si="104">Q116</f>
        <v>5.4089130175485813</v>
      </c>
      <c r="R117" s="17">
        <f t="shared" ca="1" si="104"/>
        <v>11.308403550160593</v>
      </c>
      <c r="S117" s="17">
        <f t="shared" ca="1" si="104"/>
        <v>17.207894082772604</v>
      </c>
      <c r="T117" s="17">
        <f t="shared" ca="1" si="104"/>
        <v>23.107384615384614</v>
      </c>
      <c r="U117" s="17">
        <f t="shared" ca="1" si="104"/>
        <v>29.006875147996624</v>
      </c>
      <c r="V117" s="17">
        <f t="shared" ca="1" si="104"/>
        <v>34.906365680608637</v>
      </c>
      <c r="W117" s="17">
        <f t="shared" ca="1" si="104"/>
        <v>40.80585621322065</v>
      </c>
    </row>
    <row r="118" spans="2:23" ht="12.5">
      <c r="B118" s="475">
        <f ca="1">IFERROR(__xludf.DUMMYFUNCTION("""COMPUTED_VALUE"""),45901)</f>
        <v>45901</v>
      </c>
      <c r="C118" s="17">
        <f ca="1">IFERROR(__xludf.DUMMYFUNCTION("""COMPUTED_VALUE"""),7.39)</f>
        <v>7.39</v>
      </c>
      <c r="D118" s="23">
        <f ca="1">IFERROR(__xludf.DUMMYFUNCTION("""COMPUTED_VALUE"""),45505)</f>
        <v>45505</v>
      </c>
      <c r="E118" s="17">
        <f ca="1">IFERROR(__xludf.DUMMYFUNCTION("""COMPUTED_VALUE"""),6.46)</f>
        <v>6.46</v>
      </c>
      <c r="F118" s="23">
        <f ca="1">IFERROR(__xludf.DUMMYFUNCTION("""COMPUTED_VALUE"""),45078)</f>
        <v>45078</v>
      </c>
      <c r="G118" s="17">
        <f ca="1">IFERROR(__xludf.DUMMYFUNCTION("""COMPUTED_VALUE"""),4.85)</f>
        <v>4.8499999999999996</v>
      </c>
      <c r="H118" s="23">
        <f ca="1">IFERROR(__xludf.DUMMYFUNCTION("""COMPUTED_VALUE"""),44682)</f>
        <v>44682</v>
      </c>
      <c r="I118" s="477">
        <f ca="1">IFERROR(__xludf.DUMMYFUNCTION("""COMPUTED_VALUE"""),6.27)</f>
        <v>6.27</v>
      </c>
      <c r="J118" s="23">
        <f ca="1">IFERROR(__xludf.DUMMYFUNCTION("""COMPUTED_VALUE"""),44287)</f>
        <v>44287</v>
      </c>
      <c r="K118" s="4">
        <f ca="1">IFERROR(__xludf.DUMMYFUNCTION("""COMPUTED_VALUE"""),8.41)</f>
        <v>8.41</v>
      </c>
      <c r="O118" s="26">
        <f t="shared" ref="O118:P118" ca="1" si="105">H80</f>
        <v>44896</v>
      </c>
      <c r="P118" s="4">
        <f t="shared" ca="1" si="105"/>
        <v>13.11</v>
      </c>
      <c r="Q118" s="17">
        <f t="shared" ref="Q118:W118" ca="1" si="106">Q117</f>
        <v>5.4089130175485813</v>
      </c>
      <c r="R118" s="17">
        <f t="shared" ca="1" si="106"/>
        <v>11.308403550160593</v>
      </c>
      <c r="S118" s="17">
        <f t="shared" ca="1" si="106"/>
        <v>17.207894082772604</v>
      </c>
      <c r="T118" s="17">
        <f t="shared" ca="1" si="106"/>
        <v>23.107384615384614</v>
      </c>
      <c r="U118" s="17">
        <f t="shared" ca="1" si="106"/>
        <v>29.006875147996624</v>
      </c>
      <c r="V118" s="17">
        <f t="shared" ca="1" si="106"/>
        <v>34.906365680608637</v>
      </c>
      <c r="W118" s="17">
        <f t="shared" ca="1" si="106"/>
        <v>40.80585621322065</v>
      </c>
    </row>
    <row r="119" spans="2:23" ht="13" thickBot="1">
      <c r="B119" s="476">
        <f ca="1">IFERROR(__xludf.DUMMYFUNCTION("""COMPUTED_VALUE"""),45870)</f>
        <v>45870</v>
      </c>
      <c r="C119" s="451">
        <f ca="1">IFERROR(__xludf.DUMMYFUNCTION("""COMPUTED_VALUE"""),6.57)</f>
        <v>6.57</v>
      </c>
      <c r="D119" s="474">
        <f ca="1">IFERROR(__xludf.DUMMYFUNCTION("""COMPUTED_VALUE"""),45474)</f>
        <v>45474</v>
      </c>
      <c r="E119" s="451">
        <f ca="1">IFERROR(__xludf.DUMMYFUNCTION("""COMPUTED_VALUE"""),6.66)</f>
        <v>6.66</v>
      </c>
      <c r="F119" s="474">
        <f ca="1">IFERROR(__xludf.DUMMYFUNCTION("""COMPUTED_VALUE"""),45047)</f>
        <v>45047</v>
      </c>
      <c r="G119" s="451">
        <f ca="1">IFERROR(__xludf.DUMMYFUNCTION("""COMPUTED_VALUE"""),4.7)</f>
        <v>4.7</v>
      </c>
      <c r="H119" s="474">
        <f ca="1">IFERROR(__xludf.DUMMYFUNCTION("""COMPUTED_VALUE"""),44652)</f>
        <v>44652</v>
      </c>
      <c r="I119" s="478">
        <f ca="1">IFERROR(__xludf.DUMMYFUNCTION("""COMPUTED_VALUE"""),6.43)</f>
        <v>6.43</v>
      </c>
      <c r="J119" s="23">
        <f ca="1">IFERROR(__xludf.DUMMYFUNCTION("""COMPUTED_VALUE"""),44256)</f>
        <v>44256</v>
      </c>
      <c r="K119" s="4">
        <f ca="1">IFERROR(__xludf.DUMMYFUNCTION("""COMPUTED_VALUE"""),8.23)</f>
        <v>8.23</v>
      </c>
      <c r="O119" s="26">
        <f t="shared" ref="O119:P119" ca="1" si="107">H81</f>
        <v>44866</v>
      </c>
      <c r="P119" s="4">
        <f t="shared" ca="1" si="107"/>
        <v>14.33</v>
      </c>
      <c r="Q119" s="17">
        <f t="shared" ref="Q119:W119" ca="1" si="108">Q118</f>
        <v>5.4089130175485813</v>
      </c>
      <c r="R119" s="17">
        <f t="shared" ca="1" si="108"/>
        <v>11.308403550160593</v>
      </c>
      <c r="S119" s="17">
        <f t="shared" ca="1" si="108"/>
        <v>17.207894082772604</v>
      </c>
      <c r="T119" s="17">
        <f t="shared" ca="1" si="108"/>
        <v>23.107384615384614</v>
      </c>
      <c r="U119" s="17">
        <f t="shared" ca="1" si="108"/>
        <v>29.006875147996624</v>
      </c>
      <c r="V119" s="17">
        <f t="shared" ca="1" si="108"/>
        <v>34.906365680608637</v>
      </c>
      <c r="W119" s="17">
        <f t="shared" ca="1" si="108"/>
        <v>40.80585621322065</v>
      </c>
    </row>
    <row r="120" spans="2:23" ht="12.5">
      <c r="O120" s="26">
        <f t="shared" ref="O120:P120" ca="1" si="109">H82</f>
        <v>44835</v>
      </c>
      <c r="P120" s="4">
        <f t="shared" ca="1" si="109"/>
        <v>13.27</v>
      </c>
      <c r="Q120" s="17">
        <f t="shared" ref="Q120:W120" ca="1" si="110">Q119</f>
        <v>5.4089130175485813</v>
      </c>
      <c r="R120" s="17">
        <f t="shared" ca="1" si="110"/>
        <v>11.308403550160593</v>
      </c>
      <c r="S120" s="17">
        <f t="shared" ca="1" si="110"/>
        <v>17.207894082772604</v>
      </c>
      <c r="T120" s="17">
        <f t="shared" ca="1" si="110"/>
        <v>23.107384615384614</v>
      </c>
      <c r="U120" s="17">
        <f t="shared" ca="1" si="110"/>
        <v>29.006875147996624</v>
      </c>
      <c r="V120" s="17">
        <f t="shared" ca="1" si="110"/>
        <v>34.906365680608637</v>
      </c>
      <c r="W120" s="17">
        <f t="shared" ca="1" si="110"/>
        <v>40.80585621322065</v>
      </c>
    </row>
    <row r="121" spans="2:23" ht="12.5">
      <c r="O121" s="23">
        <f t="shared" ref="O121:P121" ca="1" si="111">H83</f>
        <v>44805</v>
      </c>
      <c r="P121" s="4">
        <f t="shared" ca="1" si="111"/>
        <v>14.35</v>
      </c>
      <c r="Q121" s="17">
        <f t="shared" ref="Q121:W121" ca="1" si="112">Q120</f>
        <v>5.4089130175485813</v>
      </c>
      <c r="R121" s="17">
        <f t="shared" ca="1" si="112"/>
        <v>11.308403550160593</v>
      </c>
      <c r="S121" s="17">
        <f t="shared" ca="1" si="112"/>
        <v>17.207894082772604</v>
      </c>
      <c r="T121" s="17">
        <f t="shared" ca="1" si="112"/>
        <v>23.107384615384614</v>
      </c>
      <c r="U121" s="17">
        <f t="shared" ca="1" si="112"/>
        <v>29.006875147996624</v>
      </c>
      <c r="V121" s="17">
        <f t="shared" ca="1" si="112"/>
        <v>34.906365680608637</v>
      </c>
      <c r="W121" s="17">
        <f t="shared" ca="1" si="112"/>
        <v>40.80585621322065</v>
      </c>
    </row>
    <row r="122" spans="2:23" ht="12.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O122" s="23">
        <f t="shared" ref="O122:P122" ca="1" si="113">H84</f>
        <v>44774</v>
      </c>
      <c r="P122" s="4">
        <f t="shared" ca="1" si="113"/>
        <v>17.18</v>
      </c>
      <c r="Q122" s="17">
        <f t="shared" ref="Q122:W122" ca="1" si="114">Q121</f>
        <v>5.4089130175485813</v>
      </c>
      <c r="R122" s="17">
        <f t="shared" ca="1" si="114"/>
        <v>11.308403550160593</v>
      </c>
      <c r="S122" s="17">
        <f t="shared" ca="1" si="114"/>
        <v>17.207894082772604</v>
      </c>
      <c r="T122" s="17">
        <f t="shared" ca="1" si="114"/>
        <v>23.107384615384614</v>
      </c>
      <c r="U122" s="17">
        <f t="shared" ca="1" si="114"/>
        <v>29.006875147996624</v>
      </c>
      <c r="V122" s="17">
        <f t="shared" ca="1" si="114"/>
        <v>34.906365680608637</v>
      </c>
      <c r="W122" s="17">
        <f t="shared" ca="1" si="114"/>
        <v>40.80585621322065</v>
      </c>
    </row>
    <row r="123" spans="2:23" ht="12.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O123" s="23">
        <f t="shared" ref="O123:P123" ca="1" si="115">H85</f>
        <v>44743</v>
      </c>
      <c r="P123" s="4">
        <f t="shared" ca="1" si="115"/>
        <v>20.010000000000002</v>
      </c>
      <c r="Q123" s="17">
        <f t="shared" ref="Q123:W123" ca="1" si="116">Q122</f>
        <v>5.4089130175485813</v>
      </c>
      <c r="R123" s="17">
        <f t="shared" ca="1" si="116"/>
        <v>11.308403550160593</v>
      </c>
      <c r="S123" s="17">
        <f t="shared" ca="1" si="116"/>
        <v>17.207894082772604</v>
      </c>
      <c r="T123" s="17">
        <f t="shared" ca="1" si="116"/>
        <v>23.107384615384614</v>
      </c>
      <c r="U123" s="17">
        <f t="shared" ca="1" si="116"/>
        <v>29.006875147996624</v>
      </c>
      <c r="V123" s="17">
        <f t="shared" ca="1" si="116"/>
        <v>34.906365680608637</v>
      </c>
      <c r="W123" s="17">
        <f t="shared" ca="1" si="116"/>
        <v>40.80585621322065</v>
      </c>
    </row>
    <row r="124" spans="2:23" ht="12.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O124" s="23">
        <f t="shared" ref="O124:P124" ca="1" si="117">H86</f>
        <v>44713</v>
      </c>
      <c r="P124" s="4">
        <f t="shared" ca="1" si="117"/>
        <v>18.71</v>
      </c>
      <c r="Q124" s="17">
        <f t="shared" ref="Q124:W124" ca="1" si="118">Q123</f>
        <v>5.4089130175485813</v>
      </c>
      <c r="R124" s="17">
        <f t="shared" ca="1" si="118"/>
        <v>11.308403550160593</v>
      </c>
      <c r="S124" s="17">
        <f t="shared" ca="1" si="118"/>
        <v>17.207894082772604</v>
      </c>
      <c r="T124" s="17">
        <f t="shared" ca="1" si="118"/>
        <v>23.107384615384614</v>
      </c>
      <c r="U124" s="17">
        <f t="shared" ca="1" si="118"/>
        <v>29.006875147996624</v>
      </c>
      <c r="V124" s="17">
        <f t="shared" ca="1" si="118"/>
        <v>34.906365680608637</v>
      </c>
      <c r="W124" s="17">
        <f t="shared" ca="1" si="118"/>
        <v>40.80585621322065</v>
      </c>
    </row>
    <row r="125" spans="2:23" ht="12.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O125" s="23">
        <f t="shared" ref="O125:P125" ca="1" si="119">H87</f>
        <v>44682</v>
      </c>
      <c r="P125" s="4">
        <f t="shared" ca="1" si="119"/>
        <v>22.01</v>
      </c>
      <c r="Q125" s="17">
        <f t="shared" ref="Q125:W125" ca="1" si="120">Q124</f>
        <v>5.4089130175485813</v>
      </c>
      <c r="R125" s="17">
        <f t="shared" ca="1" si="120"/>
        <v>11.308403550160593</v>
      </c>
      <c r="S125" s="17">
        <f t="shared" ca="1" si="120"/>
        <v>17.207894082772604</v>
      </c>
      <c r="T125" s="17">
        <f t="shared" ca="1" si="120"/>
        <v>23.107384615384614</v>
      </c>
      <c r="U125" s="17">
        <f t="shared" ca="1" si="120"/>
        <v>29.006875147996624</v>
      </c>
      <c r="V125" s="17">
        <f t="shared" ca="1" si="120"/>
        <v>34.906365680608637</v>
      </c>
      <c r="W125" s="17">
        <f t="shared" ca="1" si="120"/>
        <v>40.80585621322065</v>
      </c>
    </row>
    <row r="126" spans="2:23" ht="12.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O126" s="23">
        <f t="shared" ref="O126:P126" ca="1" si="121">J76</f>
        <v>44621</v>
      </c>
      <c r="P126" s="4">
        <f t="shared" ca="1" si="121"/>
        <v>25.95</v>
      </c>
      <c r="Q126" s="17">
        <f t="shared" ref="Q126:W126" ca="1" si="122">Q124</f>
        <v>5.4089130175485813</v>
      </c>
      <c r="R126" s="17">
        <f t="shared" ca="1" si="122"/>
        <v>11.308403550160593</v>
      </c>
      <c r="S126" s="17">
        <f t="shared" ca="1" si="122"/>
        <v>17.207894082772604</v>
      </c>
      <c r="T126" s="17">
        <f t="shared" ca="1" si="122"/>
        <v>23.107384615384614</v>
      </c>
      <c r="U126" s="17">
        <f t="shared" ca="1" si="122"/>
        <v>29.006875147996624</v>
      </c>
      <c r="V126" s="17">
        <f t="shared" ca="1" si="122"/>
        <v>34.906365680608637</v>
      </c>
      <c r="W126" s="17">
        <f t="shared" ca="1" si="122"/>
        <v>40.80585621322065</v>
      </c>
    </row>
    <row r="127" spans="2:23" ht="13" thickBot="1">
      <c r="B127" s="8"/>
      <c r="C127" s="8"/>
      <c r="D127" s="8"/>
      <c r="E127" s="12">
        <f ca="1">STDEVP(C107:C122,E107:E122,G107:G122,I107:I122,K107:K122)</f>
        <v>1.7320041679712577</v>
      </c>
      <c r="F127" s="8"/>
      <c r="G127" s="8"/>
      <c r="H127" s="8"/>
      <c r="I127" s="12">
        <f ca="1">IF(D129=0,(I129-E129)/E129,IF(C129=0,(I129-E129)/E129,(I129-E129)/E127))</f>
        <v>1.6975443249641398</v>
      </c>
      <c r="J127" s="8"/>
      <c r="K127" s="8"/>
      <c r="L127" s="8"/>
      <c r="O127" s="23">
        <f t="shared" ref="O127:P127" ca="1" si="123">J77</f>
        <v>44593</v>
      </c>
      <c r="P127" s="4">
        <f t="shared" ca="1" si="123"/>
        <v>26.25</v>
      </c>
      <c r="Q127" s="17">
        <f t="shared" ref="Q127:W127" ca="1" si="124">Q126</f>
        <v>5.4089130175485813</v>
      </c>
      <c r="R127" s="17">
        <f t="shared" ca="1" si="124"/>
        <v>11.308403550160593</v>
      </c>
      <c r="S127" s="17">
        <f t="shared" ca="1" si="124"/>
        <v>17.207894082772604</v>
      </c>
      <c r="T127" s="17">
        <f t="shared" ca="1" si="124"/>
        <v>23.107384615384614</v>
      </c>
      <c r="U127" s="17">
        <f t="shared" ca="1" si="124"/>
        <v>29.006875147996624</v>
      </c>
      <c r="V127" s="17">
        <f t="shared" ca="1" si="124"/>
        <v>34.906365680608637</v>
      </c>
      <c r="W127" s="17">
        <f t="shared" ca="1" si="124"/>
        <v>40.80585621322065</v>
      </c>
    </row>
    <row r="128" spans="2:23" ht="13">
      <c r="B128" s="452" t="s">
        <v>21</v>
      </c>
      <c r="C128" s="463" t="s">
        <v>22</v>
      </c>
      <c r="D128" s="463" t="s">
        <v>23</v>
      </c>
      <c r="E128" s="463" t="s">
        <v>24</v>
      </c>
      <c r="F128" s="463" t="s">
        <v>25</v>
      </c>
      <c r="G128" s="463" t="s">
        <v>26</v>
      </c>
      <c r="H128" s="428" t="s">
        <v>27</v>
      </c>
      <c r="I128" s="464" t="s">
        <v>66</v>
      </c>
      <c r="J128" s="8"/>
      <c r="K128" s="8"/>
      <c r="L128" s="8"/>
      <c r="O128" s="23">
        <f t="shared" ref="O128:P128" ca="1" si="125">J78</f>
        <v>44562</v>
      </c>
      <c r="P128" s="4">
        <f t="shared" ca="1" si="125"/>
        <v>28.78</v>
      </c>
      <c r="Q128" s="17">
        <f t="shared" ref="Q128:W128" ca="1" si="126">Q127</f>
        <v>5.4089130175485813</v>
      </c>
      <c r="R128" s="17">
        <f t="shared" ca="1" si="126"/>
        <v>11.308403550160593</v>
      </c>
      <c r="S128" s="17">
        <f t="shared" ca="1" si="126"/>
        <v>17.207894082772604</v>
      </c>
      <c r="T128" s="17">
        <f t="shared" ca="1" si="126"/>
        <v>23.107384615384614</v>
      </c>
      <c r="U128" s="17">
        <f t="shared" ca="1" si="126"/>
        <v>29.006875147996624</v>
      </c>
      <c r="V128" s="17">
        <f t="shared" ca="1" si="126"/>
        <v>34.906365680608637</v>
      </c>
      <c r="W128" s="17">
        <f t="shared" ca="1" si="126"/>
        <v>40.80585621322065</v>
      </c>
    </row>
    <row r="129" spans="2:23" ht="12.5">
      <c r="B129" s="465">
        <f ca="1">IF(E129-E127*3&lt;0,0,E129-E127*3)</f>
        <v>1.4538336499323821</v>
      </c>
      <c r="C129" s="466">
        <f ca="1">IF(E129-E127*2&lt;0,0,E129-E127*2)</f>
        <v>3.1858378179036393</v>
      </c>
      <c r="D129" s="466">
        <f ca="1">IF(E129-E127*1&lt;0,0,E129-E127*1)</f>
        <v>4.9178419858748974</v>
      </c>
      <c r="E129" s="466">
        <f ca="1">AVERAGE(C107:C122,E107:E122,G107:G122,I107:I122,K107:K122)</f>
        <v>6.6498461538461546</v>
      </c>
      <c r="F129" s="466">
        <f ca="1">E129+E127*1</f>
        <v>8.3818503218174119</v>
      </c>
      <c r="G129" s="466">
        <f ca="1">E129+E127*2</f>
        <v>10.11385448978867</v>
      </c>
      <c r="H129" s="466">
        <f ca="1">E129+E127*3</f>
        <v>11.845858657759926</v>
      </c>
      <c r="I129" s="467">
        <f ca="1">股票資訊!D12</f>
        <v>9.59</v>
      </c>
      <c r="J129" s="8"/>
      <c r="K129" s="8"/>
      <c r="L129" s="8"/>
      <c r="O129" s="26">
        <f t="shared" ref="O129:P129" ca="1" si="127">J79</f>
        <v>44531</v>
      </c>
      <c r="P129" s="4">
        <f t="shared" ca="1" si="127"/>
        <v>27.83</v>
      </c>
      <c r="Q129" s="17">
        <f t="shared" ref="Q129:W129" ca="1" si="128">Q128</f>
        <v>5.4089130175485813</v>
      </c>
      <c r="R129" s="17">
        <f t="shared" ca="1" si="128"/>
        <v>11.308403550160593</v>
      </c>
      <c r="S129" s="17">
        <f t="shared" ca="1" si="128"/>
        <v>17.207894082772604</v>
      </c>
      <c r="T129" s="17">
        <f t="shared" ca="1" si="128"/>
        <v>23.107384615384614</v>
      </c>
      <c r="U129" s="17">
        <f t="shared" ca="1" si="128"/>
        <v>29.006875147996624</v>
      </c>
      <c r="V129" s="17">
        <f t="shared" ca="1" si="128"/>
        <v>34.906365680608637</v>
      </c>
      <c r="W129" s="17">
        <f t="shared" ca="1" si="128"/>
        <v>40.80585621322065</v>
      </c>
    </row>
    <row r="130" spans="2:23" ht="13" thickBot="1">
      <c r="B130" s="471">
        <f ca="1">IFERROR(B129*股票資訊!D8,"")</f>
        <v>362.97864737861784</v>
      </c>
      <c r="C130" s="472">
        <f ca="1">IFERROR(C129*股票資訊!D8,"")</f>
        <v>795.40812799600155</v>
      </c>
      <c r="D130" s="472">
        <f ca="1">IFERROR(D129*股票資訊!D8,"")</f>
        <v>1227.8376086133856</v>
      </c>
      <c r="E130" s="472">
        <f ca="1">IFERROR(E129*股票資訊!D8,"")</f>
        <v>1660.2670892307694</v>
      </c>
      <c r="F130" s="472">
        <f ca="1">IFERROR(F129*股票資訊!D8,"")</f>
        <v>2092.6965698481531</v>
      </c>
      <c r="G130" s="472">
        <f ca="1">IFERROR(G129*股票資訊!D8,"")</f>
        <v>2525.126050465537</v>
      </c>
      <c r="H130" s="472">
        <f ca="1">IFERROR(H129*股票資訊!D8,"")</f>
        <v>2957.5555310829204</v>
      </c>
      <c r="I130" s="473">
        <f ca="1">IFERROR(I129*股票資訊!D8,"")</f>
        <v>2394.3352999999997</v>
      </c>
      <c r="J130" s="8"/>
      <c r="K130" s="8"/>
      <c r="L130" s="8"/>
      <c r="O130" s="26">
        <f t="shared" ref="O130:P130" ca="1" si="129">J80</f>
        <v>44501</v>
      </c>
      <c r="P130" s="4">
        <f t="shared" ca="1" si="129"/>
        <v>26.97</v>
      </c>
      <c r="Q130" s="17">
        <f t="shared" ref="Q130:W130" ca="1" si="130">Q129</f>
        <v>5.4089130175485813</v>
      </c>
      <c r="R130" s="17">
        <f t="shared" ca="1" si="130"/>
        <v>11.308403550160593</v>
      </c>
      <c r="S130" s="17">
        <f t="shared" ca="1" si="130"/>
        <v>17.207894082772604</v>
      </c>
      <c r="T130" s="17">
        <f t="shared" ca="1" si="130"/>
        <v>23.107384615384614</v>
      </c>
      <c r="U130" s="17">
        <f t="shared" ca="1" si="130"/>
        <v>29.006875147996624</v>
      </c>
      <c r="V130" s="17">
        <f t="shared" ca="1" si="130"/>
        <v>34.906365680608637</v>
      </c>
      <c r="W130" s="17">
        <f t="shared" ca="1" si="130"/>
        <v>40.80585621322065</v>
      </c>
    </row>
    <row r="131" spans="2:23" ht="12.5">
      <c r="B131" s="8"/>
      <c r="C131" s="8"/>
      <c r="D131" s="8"/>
      <c r="E131" s="8"/>
      <c r="F131" s="8"/>
      <c r="G131" s="8"/>
      <c r="H131" s="8"/>
      <c r="J131" s="8"/>
      <c r="K131" s="8"/>
      <c r="L131" s="8"/>
      <c r="O131" s="26">
        <f t="shared" ref="O131:P131" ca="1" si="131">J81</f>
        <v>44470</v>
      </c>
      <c r="P131" s="4">
        <f t="shared" ca="1" si="131"/>
        <v>27.61</v>
      </c>
      <c r="Q131" s="17">
        <f t="shared" ref="Q131:W131" ca="1" si="132">Q130</f>
        <v>5.4089130175485813</v>
      </c>
      <c r="R131" s="17">
        <f t="shared" ca="1" si="132"/>
        <v>11.308403550160593</v>
      </c>
      <c r="S131" s="17">
        <f t="shared" ca="1" si="132"/>
        <v>17.207894082772604</v>
      </c>
      <c r="T131" s="17">
        <f t="shared" ca="1" si="132"/>
        <v>23.107384615384614</v>
      </c>
      <c r="U131" s="17">
        <f t="shared" ca="1" si="132"/>
        <v>29.006875147996624</v>
      </c>
      <c r="V131" s="17">
        <f t="shared" ca="1" si="132"/>
        <v>34.906365680608637</v>
      </c>
      <c r="W131" s="17">
        <f t="shared" ca="1" si="132"/>
        <v>40.80585621322065</v>
      </c>
    </row>
    <row r="132" spans="2:23" ht="12.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O132" s="23">
        <f t="shared" ref="O132:P132" ca="1" si="133">J82</f>
        <v>44440</v>
      </c>
      <c r="P132" s="4">
        <f t="shared" ca="1" si="133"/>
        <v>27.14</v>
      </c>
      <c r="Q132" s="17">
        <f t="shared" ref="Q132:W132" ca="1" si="134">Q131</f>
        <v>5.4089130175485813</v>
      </c>
      <c r="R132" s="17">
        <f t="shared" ca="1" si="134"/>
        <v>11.308403550160593</v>
      </c>
      <c r="S132" s="17">
        <f t="shared" ca="1" si="134"/>
        <v>17.207894082772604</v>
      </c>
      <c r="T132" s="17">
        <f t="shared" ca="1" si="134"/>
        <v>23.107384615384614</v>
      </c>
      <c r="U132" s="17">
        <f t="shared" ca="1" si="134"/>
        <v>29.006875147996624</v>
      </c>
      <c r="V132" s="17">
        <f t="shared" ca="1" si="134"/>
        <v>34.906365680608637</v>
      </c>
      <c r="W132" s="17">
        <f t="shared" ca="1" si="134"/>
        <v>40.80585621322065</v>
      </c>
    </row>
    <row r="133" spans="2:23" ht="12.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O133" s="23">
        <f t="shared" ref="O133:P133" ca="1" si="135">J83</f>
        <v>44409</v>
      </c>
      <c r="P133" s="4">
        <f t="shared" ca="1" si="135"/>
        <v>28.73</v>
      </c>
      <c r="Q133" s="17">
        <f t="shared" ref="Q133:W133" ca="1" si="136">Q132</f>
        <v>5.4089130175485813</v>
      </c>
      <c r="R133" s="17">
        <f t="shared" ca="1" si="136"/>
        <v>11.308403550160593</v>
      </c>
      <c r="S133" s="17">
        <f t="shared" ca="1" si="136"/>
        <v>17.207894082772604</v>
      </c>
      <c r="T133" s="17">
        <f t="shared" ca="1" si="136"/>
        <v>23.107384615384614</v>
      </c>
      <c r="U133" s="17">
        <f t="shared" ca="1" si="136"/>
        <v>29.006875147996624</v>
      </c>
      <c r="V133" s="17">
        <f t="shared" ca="1" si="136"/>
        <v>34.906365680608637</v>
      </c>
      <c r="W133" s="17">
        <f t="shared" ca="1" si="136"/>
        <v>40.80585621322065</v>
      </c>
    </row>
    <row r="134" spans="2:23" ht="12.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O134" s="23">
        <f t="shared" ref="O134:P134" ca="1" si="137">J84</f>
        <v>44378</v>
      </c>
      <c r="P134" s="4">
        <f t="shared" ca="1" si="137"/>
        <v>27.82</v>
      </c>
      <c r="Q134" s="17">
        <f t="shared" ref="Q134:W134" ca="1" si="138">Q133</f>
        <v>5.4089130175485813</v>
      </c>
      <c r="R134" s="17">
        <f t="shared" ca="1" si="138"/>
        <v>11.308403550160593</v>
      </c>
      <c r="S134" s="17">
        <f t="shared" ca="1" si="138"/>
        <v>17.207894082772604</v>
      </c>
      <c r="T134" s="17">
        <f t="shared" ca="1" si="138"/>
        <v>23.107384615384614</v>
      </c>
      <c r="U134" s="17">
        <f t="shared" ca="1" si="138"/>
        <v>29.006875147996624</v>
      </c>
      <c r="V134" s="17">
        <f t="shared" ca="1" si="138"/>
        <v>34.906365680608637</v>
      </c>
      <c r="W134" s="17">
        <f t="shared" ca="1" si="138"/>
        <v>40.80585621322065</v>
      </c>
    </row>
    <row r="135" spans="2:23" ht="12.5">
      <c r="O135" s="23">
        <f t="shared" ref="O135:P135" ca="1" si="139">J85</f>
        <v>44348</v>
      </c>
      <c r="P135" s="4">
        <f t="shared" ca="1" si="139"/>
        <v>28.54</v>
      </c>
      <c r="Q135" s="17">
        <f t="shared" ref="Q135:W135" ca="1" si="140">Q134</f>
        <v>5.4089130175485813</v>
      </c>
      <c r="R135" s="17">
        <f t="shared" ca="1" si="140"/>
        <v>11.308403550160593</v>
      </c>
      <c r="S135" s="17">
        <f t="shared" ca="1" si="140"/>
        <v>17.207894082772604</v>
      </c>
      <c r="T135" s="17">
        <f t="shared" ca="1" si="140"/>
        <v>23.107384615384614</v>
      </c>
      <c r="U135" s="17">
        <f t="shared" ca="1" si="140"/>
        <v>29.006875147996624</v>
      </c>
      <c r="V135" s="17">
        <f t="shared" ca="1" si="140"/>
        <v>34.906365680608637</v>
      </c>
      <c r="W135" s="17">
        <f t="shared" ca="1" si="140"/>
        <v>40.80585621322065</v>
      </c>
    </row>
    <row r="136" spans="2:23" ht="12.5">
      <c r="O136" s="23">
        <f t="shared" ref="O136:P136" ca="1" si="141">J86</f>
        <v>44317</v>
      </c>
      <c r="P136" s="4">
        <f t="shared" ca="1" si="141"/>
        <v>28.63</v>
      </c>
      <c r="Q136" s="17">
        <f t="shared" ref="Q136:W136" ca="1" si="142">Q135</f>
        <v>5.4089130175485813</v>
      </c>
      <c r="R136" s="17">
        <f t="shared" ca="1" si="142"/>
        <v>11.308403550160593</v>
      </c>
      <c r="S136" s="17">
        <f t="shared" ca="1" si="142"/>
        <v>17.207894082772604</v>
      </c>
      <c r="T136" s="17">
        <f t="shared" ca="1" si="142"/>
        <v>23.107384615384614</v>
      </c>
      <c r="U136" s="17">
        <f t="shared" ca="1" si="142"/>
        <v>29.006875147996624</v>
      </c>
      <c r="V136" s="17">
        <f t="shared" ca="1" si="142"/>
        <v>34.906365680608637</v>
      </c>
      <c r="W136" s="17">
        <f t="shared" ca="1" si="142"/>
        <v>40.80585621322065</v>
      </c>
    </row>
    <row r="137" spans="2:23" ht="12.5">
      <c r="O137" s="23">
        <f t="shared" ref="O137:P137" ca="1" si="143">J87</f>
        <v>44287</v>
      </c>
      <c r="P137" s="4">
        <f t="shared" ca="1" si="143"/>
        <v>30.05</v>
      </c>
      <c r="Q137" s="17">
        <f t="shared" ref="Q137:W137" ca="1" si="144">Q136</f>
        <v>5.4089130175485813</v>
      </c>
      <c r="R137" s="17">
        <f t="shared" ca="1" si="144"/>
        <v>11.308403550160593</v>
      </c>
      <c r="S137" s="17">
        <f t="shared" ca="1" si="144"/>
        <v>17.207894082772604</v>
      </c>
      <c r="T137" s="17">
        <f t="shared" ca="1" si="144"/>
        <v>23.107384615384614</v>
      </c>
      <c r="U137" s="17">
        <f t="shared" ca="1" si="144"/>
        <v>29.006875147996624</v>
      </c>
      <c r="V137" s="17">
        <f t="shared" ca="1" si="144"/>
        <v>34.906365680608637</v>
      </c>
      <c r="W137" s="17">
        <f t="shared" ca="1" si="144"/>
        <v>40.80585621322065</v>
      </c>
    </row>
    <row r="145" spans="15:23" ht="12.5">
      <c r="O145" s="4" t="str">
        <f t="shared" ref="O145:P145" ca="1" si="145">B106</f>
        <v>年度/月份</v>
      </c>
      <c r="P145" s="4" t="str">
        <f t="shared" ca="1" si="145"/>
        <v>股價淨值比</v>
      </c>
      <c r="Q145" s="4" t="str">
        <f t="shared" ref="Q145:W145" si="146">B128</f>
        <v>-3倍標準差</v>
      </c>
      <c r="R145" s="17" t="str">
        <f t="shared" si="146"/>
        <v>-2倍標準差</v>
      </c>
      <c r="S145" s="17" t="str">
        <f t="shared" si="146"/>
        <v>-1倍標準差</v>
      </c>
      <c r="T145" s="17" t="str">
        <f t="shared" si="146"/>
        <v>5年標準差</v>
      </c>
      <c r="U145" s="17" t="str">
        <f t="shared" si="146"/>
        <v>1倍標準差</v>
      </c>
      <c r="V145" s="17" t="str">
        <f t="shared" si="146"/>
        <v>2倍標準差</v>
      </c>
      <c r="W145" s="4" t="str">
        <f t="shared" si="146"/>
        <v>3倍標準差</v>
      </c>
    </row>
    <row r="146" spans="15:23" ht="12.5">
      <c r="O146" s="50">
        <f ca="1">TODAY()</f>
        <v>46251</v>
      </c>
      <c r="P146" s="4">
        <f ca="1">I129</f>
        <v>9.59</v>
      </c>
      <c r="Q146" s="17">
        <f t="shared" ref="Q146:W146" ca="1" si="147">B129</f>
        <v>1.4538336499323821</v>
      </c>
      <c r="R146" s="17">
        <f t="shared" ca="1" si="147"/>
        <v>3.1858378179036393</v>
      </c>
      <c r="S146" s="17">
        <f t="shared" ca="1" si="147"/>
        <v>4.9178419858748974</v>
      </c>
      <c r="T146" s="17">
        <f t="shared" ca="1" si="147"/>
        <v>6.6498461538461546</v>
      </c>
      <c r="U146" s="17">
        <f t="shared" ca="1" si="147"/>
        <v>8.3818503218174119</v>
      </c>
      <c r="V146" s="17">
        <f t="shared" ca="1" si="147"/>
        <v>10.11385448978867</v>
      </c>
      <c r="W146" s="17">
        <f t="shared" ca="1" si="147"/>
        <v>11.845858657759926</v>
      </c>
    </row>
    <row r="147" spans="15:23" ht="12.5">
      <c r="O147" s="23">
        <f t="shared" ref="O147:P147" ca="1" si="148">B107</f>
        <v>46235</v>
      </c>
      <c r="P147" s="4">
        <f t="shared" ca="1" si="148"/>
        <v>9.66</v>
      </c>
      <c r="Q147" s="17">
        <f t="shared" ref="Q147:W147" ca="1" si="149">Q146</f>
        <v>1.4538336499323821</v>
      </c>
      <c r="R147" s="17">
        <f t="shared" ca="1" si="149"/>
        <v>3.1858378179036393</v>
      </c>
      <c r="S147" s="17">
        <f t="shared" ca="1" si="149"/>
        <v>4.9178419858748974</v>
      </c>
      <c r="T147" s="17">
        <f t="shared" ca="1" si="149"/>
        <v>6.6498461538461546</v>
      </c>
      <c r="U147" s="17">
        <f t="shared" ca="1" si="149"/>
        <v>8.3818503218174119</v>
      </c>
      <c r="V147" s="17">
        <f t="shared" ca="1" si="149"/>
        <v>10.11385448978867</v>
      </c>
      <c r="W147" s="17">
        <f t="shared" ca="1" si="149"/>
        <v>11.845858657759926</v>
      </c>
    </row>
    <row r="148" spans="15:23" ht="12.5">
      <c r="O148" s="23">
        <f t="shared" ref="O148:P148" ca="1" si="150">B108</f>
        <v>46204</v>
      </c>
      <c r="P148" s="4">
        <f t="shared" ca="1" si="150"/>
        <v>10.67</v>
      </c>
      <c r="Q148" s="17">
        <f t="shared" ref="Q148:W148" ca="1" si="151">Q147</f>
        <v>1.4538336499323821</v>
      </c>
      <c r="R148" s="17">
        <f t="shared" ca="1" si="151"/>
        <v>3.1858378179036393</v>
      </c>
      <c r="S148" s="17">
        <f t="shared" ca="1" si="151"/>
        <v>4.9178419858748974</v>
      </c>
      <c r="T148" s="17">
        <f t="shared" ca="1" si="151"/>
        <v>6.6498461538461546</v>
      </c>
      <c r="U148" s="17">
        <f t="shared" ca="1" si="151"/>
        <v>8.3818503218174119</v>
      </c>
      <c r="V148" s="17">
        <f t="shared" ca="1" si="151"/>
        <v>10.11385448978867</v>
      </c>
      <c r="W148" s="17">
        <f t="shared" ca="1" si="151"/>
        <v>11.845858657759926</v>
      </c>
    </row>
    <row r="149" spans="15:23" ht="12.5">
      <c r="O149" s="23">
        <f t="shared" ref="O149:P149" ca="1" si="152">B109</f>
        <v>46174</v>
      </c>
      <c r="P149" s="4">
        <f t="shared" ca="1" si="152"/>
        <v>10.61</v>
      </c>
      <c r="Q149" s="17">
        <f t="shared" ref="Q149:W149" ca="1" si="153">Q148</f>
        <v>1.4538336499323821</v>
      </c>
      <c r="R149" s="17">
        <f t="shared" ca="1" si="153"/>
        <v>3.1858378179036393</v>
      </c>
      <c r="S149" s="17">
        <f t="shared" ca="1" si="153"/>
        <v>4.9178419858748974</v>
      </c>
      <c r="T149" s="17">
        <f t="shared" ca="1" si="153"/>
        <v>6.6498461538461546</v>
      </c>
      <c r="U149" s="17">
        <f t="shared" ca="1" si="153"/>
        <v>8.3818503218174119</v>
      </c>
      <c r="V149" s="17">
        <f t="shared" ca="1" si="153"/>
        <v>10.11385448978867</v>
      </c>
      <c r="W149" s="17">
        <f t="shared" ca="1" si="153"/>
        <v>11.845858657759926</v>
      </c>
    </row>
    <row r="150" spans="15:23" ht="12.5">
      <c r="O150" s="23">
        <f t="shared" ref="O150:P150" ca="1" si="154">B110</f>
        <v>46143</v>
      </c>
      <c r="P150" s="4">
        <f t="shared" ca="1" si="154"/>
        <v>10.37</v>
      </c>
      <c r="Q150" s="17">
        <f t="shared" ref="Q150:W150" ca="1" si="155">Q149</f>
        <v>1.4538336499323821</v>
      </c>
      <c r="R150" s="17">
        <f t="shared" ca="1" si="155"/>
        <v>3.1858378179036393</v>
      </c>
      <c r="S150" s="17">
        <f t="shared" ca="1" si="155"/>
        <v>4.9178419858748974</v>
      </c>
      <c r="T150" s="17">
        <f t="shared" ca="1" si="155"/>
        <v>6.6498461538461546</v>
      </c>
      <c r="U150" s="17">
        <f t="shared" ca="1" si="155"/>
        <v>8.3818503218174119</v>
      </c>
      <c r="V150" s="17">
        <f t="shared" ca="1" si="155"/>
        <v>10.11385448978867</v>
      </c>
      <c r="W150" s="17">
        <f t="shared" ca="1" si="155"/>
        <v>11.845858657759926</v>
      </c>
    </row>
    <row r="151" spans="15:23" ht="12.5">
      <c r="O151" s="23">
        <f t="shared" ref="O151:P151" ca="1" si="156">B111</f>
        <v>46113</v>
      </c>
      <c r="P151" s="4">
        <f t="shared" ca="1" si="156"/>
        <v>10.220000000000001</v>
      </c>
      <c r="Q151" s="17">
        <f t="shared" ref="Q151:W151" ca="1" si="157">Q150</f>
        <v>1.4538336499323821</v>
      </c>
      <c r="R151" s="17">
        <f t="shared" ca="1" si="157"/>
        <v>3.1858378179036393</v>
      </c>
      <c r="S151" s="17">
        <f t="shared" ca="1" si="157"/>
        <v>4.9178419858748974</v>
      </c>
      <c r="T151" s="17">
        <f t="shared" ca="1" si="157"/>
        <v>6.6498461538461546</v>
      </c>
      <c r="U151" s="17">
        <f t="shared" ca="1" si="157"/>
        <v>8.3818503218174119</v>
      </c>
      <c r="V151" s="17">
        <f t="shared" ca="1" si="157"/>
        <v>10.11385448978867</v>
      </c>
      <c r="W151" s="17">
        <f t="shared" ca="1" si="157"/>
        <v>11.845858657759926</v>
      </c>
    </row>
    <row r="152" spans="15:23" ht="12.5">
      <c r="O152" s="23">
        <f t="shared" ref="O152:P152" ca="1" si="158">B112</f>
        <v>46082</v>
      </c>
      <c r="P152" s="4">
        <f t="shared" ca="1" si="158"/>
        <v>8.42</v>
      </c>
      <c r="Q152" s="17">
        <f t="shared" ref="Q152:W152" ca="1" si="159">Q151</f>
        <v>1.4538336499323821</v>
      </c>
      <c r="R152" s="17">
        <f t="shared" ca="1" si="159"/>
        <v>3.1858378179036393</v>
      </c>
      <c r="S152" s="17">
        <f t="shared" ca="1" si="159"/>
        <v>4.9178419858748974</v>
      </c>
      <c r="T152" s="17">
        <f t="shared" ca="1" si="159"/>
        <v>6.6498461538461546</v>
      </c>
      <c r="U152" s="17">
        <f t="shared" ca="1" si="159"/>
        <v>8.3818503218174119</v>
      </c>
      <c r="V152" s="17">
        <f t="shared" ca="1" si="159"/>
        <v>10.11385448978867</v>
      </c>
      <c r="W152" s="17">
        <f t="shared" ca="1" si="159"/>
        <v>11.845858657759926</v>
      </c>
    </row>
    <row r="153" spans="15:23" ht="12.5">
      <c r="O153" s="23">
        <f t="shared" ref="O153:P153" ca="1" si="160">B113</f>
        <v>46054</v>
      </c>
      <c r="P153" s="4">
        <f t="shared" ca="1" si="160"/>
        <v>9.5500000000000007</v>
      </c>
      <c r="Q153" s="17">
        <f t="shared" ref="Q153:W153" ca="1" si="161">Q152</f>
        <v>1.4538336499323821</v>
      </c>
      <c r="R153" s="17">
        <f t="shared" ca="1" si="161"/>
        <v>3.1858378179036393</v>
      </c>
      <c r="S153" s="17">
        <f t="shared" ca="1" si="161"/>
        <v>4.9178419858748974</v>
      </c>
      <c r="T153" s="17">
        <f t="shared" ca="1" si="161"/>
        <v>6.6498461538461546</v>
      </c>
      <c r="U153" s="17">
        <f t="shared" ca="1" si="161"/>
        <v>8.3818503218174119</v>
      </c>
      <c r="V153" s="17">
        <f t="shared" ca="1" si="161"/>
        <v>10.11385448978867</v>
      </c>
      <c r="W153" s="17">
        <f t="shared" ca="1" si="161"/>
        <v>11.845858657759926</v>
      </c>
    </row>
    <row r="154" spans="15:23" ht="12.5">
      <c r="O154" s="23">
        <f t="shared" ref="O154:P154" ca="1" si="162">B114</f>
        <v>46023</v>
      </c>
      <c r="P154" s="4">
        <f t="shared" ca="1" si="162"/>
        <v>9.2100000000000009</v>
      </c>
      <c r="Q154" s="17">
        <f t="shared" ref="Q154:W154" ca="1" si="163">Q152</f>
        <v>1.4538336499323821</v>
      </c>
      <c r="R154" s="17">
        <f t="shared" ca="1" si="163"/>
        <v>3.1858378179036393</v>
      </c>
      <c r="S154" s="17">
        <f t="shared" ca="1" si="163"/>
        <v>4.9178419858748974</v>
      </c>
      <c r="T154" s="17">
        <f t="shared" ca="1" si="163"/>
        <v>6.6498461538461546</v>
      </c>
      <c r="U154" s="17">
        <f t="shared" ca="1" si="163"/>
        <v>8.3818503218174119</v>
      </c>
      <c r="V154" s="17">
        <f t="shared" ca="1" si="163"/>
        <v>10.11385448978867</v>
      </c>
      <c r="W154" s="17">
        <f t="shared" ca="1" si="163"/>
        <v>11.845858657759926</v>
      </c>
    </row>
    <row r="155" spans="15:23" ht="12.5">
      <c r="O155" s="26">
        <f t="shared" ref="O155:P155" ca="1" si="164">B115</f>
        <v>45992</v>
      </c>
      <c r="P155" s="4">
        <f t="shared" ca="1" si="164"/>
        <v>8.0399999999999991</v>
      </c>
      <c r="Q155" s="17">
        <f t="shared" ref="Q155:W155" ca="1" si="165">Q154</f>
        <v>1.4538336499323821</v>
      </c>
      <c r="R155" s="17">
        <f t="shared" ca="1" si="165"/>
        <v>3.1858378179036393</v>
      </c>
      <c r="S155" s="17">
        <f t="shared" ca="1" si="165"/>
        <v>4.9178419858748974</v>
      </c>
      <c r="T155" s="17">
        <f t="shared" ca="1" si="165"/>
        <v>6.6498461538461546</v>
      </c>
      <c r="U155" s="17">
        <f t="shared" ca="1" si="165"/>
        <v>8.3818503218174119</v>
      </c>
      <c r="V155" s="17">
        <f t="shared" ca="1" si="165"/>
        <v>10.11385448978867</v>
      </c>
      <c r="W155" s="17">
        <f t="shared" ca="1" si="165"/>
        <v>11.845858657759926</v>
      </c>
    </row>
    <row r="156" spans="15:23" ht="12.5">
      <c r="O156" s="26">
        <f t="shared" ref="O156:P156" ca="1" si="166">B116</f>
        <v>45962</v>
      </c>
      <c r="P156" s="4">
        <f t="shared" ca="1" si="166"/>
        <v>7.47</v>
      </c>
      <c r="Q156" s="17">
        <f t="shared" ref="Q156:W156" ca="1" si="167">Q155</f>
        <v>1.4538336499323821</v>
      </c>
      <c r="R156" s="17">
        <f t="shared" ca="1" si="167"/>
        <v>3.1858378179036393</v>
      </c>
      <c r="S156" s="17">
        <f t="shared" ca="1" si="167"/>
        <v>4.9178419858748974</v>
      </c>
      <c r="T156" s="17">
        <f t="shared" ca="1" si="167"/>
        <v>6.6498461538461546</v>
      </c>
      <c r="U156" s="17">
        <f t="shared" ca="1" si="167"/>
        <v>8.3818503218174119</v>
      </c>
      <c r="V156" s="17">
        <f t="shared" ca="1" si="167"/>
        <v>10.11385448978867</v>
      </c>
      <c r="W156" s="17">
        <f t="shared" ca="1" si="167"/>
        <v>11.845858657759926</v>
      </c>
    </row>
    <row r="157" spans="15:23" ht="12.5">
      <c r="O157" s="26">
        <f t="shared" ref="O157:P157" ca="1" si="168">B117</f>
        <v>45931</v>
      </c>
      <c r="P157" s="4">
        <f t="shared" ca="1" si="168"/>
        <v>8.49</v>
      </c>
      <c r="Q157" s="17">
        <f t="shared" ref="Q157:W157" ca="1" si="169">Q156</f>
        <v>1.4538336499323821</v>
      </c>
      <c r="R157" s="17">
        <f t="shared" ca="1" si="169"/>
        <v>3.1858378179036393</v>
      </c>
      <c r="S157" s="17">
        <f t="shared" ca="1" si="169"/>
        <v>4.9178419858748974</v>
      </c>
      <c r="T157" s="17">
        <f t="shared" ca="1" si="169"/>
        <v>6.6498461538461546</v>
      </c>
      <c r="U157" s="17">
        <f t="shared" ca="1" si="169"/>
        <v>8.3818503218174119</v>
      </c>
      <c r="V157" s="17">
        <f t="shared" ca="1" si="169"/>
        <v>10.11385448978867</v>
      </c>
      <c r="W157" s="17">
        <f t="shared" ca="1" si="169"/>
        <v>11.845858657759926</v>
      </c>
    </row>
    <row r="158" spans="15:23" ht="12.5">
      <c r="O158" s="23">
        <f t="shared" ref="O158:P158" ca="1" si="170">B118</f>
        <v>45901</v>
      </c>
      <c r="P158" s="4">
        <f t="shared" ca="1" si="170"/>
        <v>7.39</v>
      </c>
      <c r="Q158" s="17">
        <f t="shared" ref="Q158:W158" ca="1" si="171">Q157</f>
        <v>1.4538336499323821</v>
      </c>
      <c r="R158" s="17">
        <f t="shared" ca="1" si="171"/>
        <v>3.1858378179036393</v>
      </c>
      <c r="S158" s="17">
        <f t="shared" ca="1" si="171"/>
        <v>4.9178419858748974</v>
      </c>
      <c r="T158" s="17">
        <f t="shared" ca="1" si="171"/>
        <v>6.6498461538461546</v>
      </c>
      <c r="U158" s="17">
        <f t="shared" ca="1" si="171"/>
        <v>8.3818503218174119</v>
      </c>
      <c r="V158" s="17">
        <f t="shared" ca="1" si="171"/>
        <v>10.11385448978867</v>
      </c>
      <c r="W158" s="17">
        <f t="shared" ca="1" si="171"/>
        <v>11.845858657759926</v>
      </c>
    </row>
    <row r="159" spans="15:23" ht="12.5">
      <c r="O159" s="23">
        <f t="shared" ref="O159:P159" ca="1" si="172">D107</f>
        <v>45839</v>
      </c>
      <c r="P159" s="4">
        <f t="shared" ca="1" si="172"/>
        <v>6.59</v>
      </c>
      <c r="Q159" s="17">
        <f t="shared" ref="Q159:W159" ca="1" si="173">Q158</f>
        <v>1.4538336499323821</v>
      </c>
      <c r="R159" s="17">
        <f t="shared" ca="1" si="173"/>
        <v>3.1858378179036393</v>
      </c>
      <c r="S159" s="17">
        <f t="shared" ca="1" si="173"/>
        <v>4.9178419858748974</v>
      </c>
      <c r="T159" s="17">
        <f t="shared" ca="1" si="173"/>
        <v>6.6498461538461546</v>
      </c>
      <c r="U159" s="17">
        <f t="shared" ca="1" si="173"/>
        <v>8.3818503218174119</v>
      </c>
      <c r="V159" s="17">
        <f t="shared" ca="1" si="173"/>
        <v>10.11385448978867</v>
      </c>
      <c r="W159" s="17">
        <f t="shared" ca="1" si="173"/>
        <v>11.845858657759926</v>
      </c>
    </row>
    <row r="160" spans="15:23" ht="12.5">
      <c r="O160" s="23">
        <f t="shared" ref="O160:P160" ca="1" si="174">D108</f>
        <v>45809</v>
      </c>
      <c r="P160" s="4">
        <f t="shared" ca="1" si="174"/>
        <v>6.02</v>
      </c>
      <c r="Q160" s="17">
        <f t="shared" ref="Q160:W160" ca="1" si="175">Q159</f>
        <v>1.4538336499323821</v>
      </c>
      <c r="R160" s="17">
        <f t="shared" ca="1" si="175"/>
        <v>3.1858378179036393</v>
      </c>
      <c r="S160" s="17">
        <f t="shared" ca="1" si="175"/>
        <v>4.9178419858748974</v>
      </c>
      <c r="T160" s="17">
        <f t="shared" ca="1" si="175"/>
        <v>6.6498461538461546</v>
      </c>
      <c r="U160" s="17">
        <f t="shared" ca="1" si="175"/>
        <v>8.3818503218174119</v>
      </c>
      <c r="V160" s="17">
        <f t="shared" ca="1" si="175"/>
        <v>10.11385448978867</v>
      </c>
      <c r="W160" s="17">
        <f t="shared" ca="1" si="175"/>
        <v>11.845858657759926</v>
      </c>
    </row>
    <row r="161" spans="15:23" ht="12.5">
      <c r="O161" s="23">
        <f t="shared" ref="O161:P161" ca="1" si="176">D109</f>
        <v>45778</v>
      </c>
      <c r="P161" s="4">
        <f t="shared" ca="1" si="176"/>
        <v>5.49</v>
      </c>
      <c r="Q161" s="17">
        <f t="shared" ref="Q161:W161" ca="1" si="177">Q160</f>
        <v>1.4538336499323821</v>
      </c>
      <c r="R161" s="17">
        <f t="shared" ca="1" si="177"/>
        <v>3.1858378179036393</v>
      </c>
      <c r="S161" s="17">
        <f t="shared" ca="1" si="177"/>
        <v>4.9178419858748974</v>
      </c>
      <c r="T161" s="17">
        <f t="shared" ca="1" si="177"/>
        <v>6.6498461538461546</v>
      </c>
      <c r="U161" s="17">
        <f t="shared" ca="1" si="177"/>
        <v>8.3818503218174119</v>
      </c>
      <c r="V161" s="17">
        <f t="shared" ca="1" si="177"/>
        <v>10.11385448978867</v>
      </c>
      <c r="W161" s="17">
        <f t="shared" ca="1" si="177"/>
        <v>11.845858657759926</v>
      </c>
    </row>
    <row r="162" spans="15:23" ht="12.5">
      <c r="O162" s="23">
        <f t="shared" ref="O162:P162" ca="1" si="178">D110</f>
        <v>45748</v>
      </c>
      <c r="P162" s="4">
        <f t="shared" ca="1" si="178"/>
        <v>5.49</v>
      </c>
      <c r="Q162" s="17">
        <f t="shared" ref="Q162:W162" ca="1" si="179">Q161</f>
        <v>1.4538336499323821</v>
      </c>
      <c r="R162" s="17">
        <f t="shared" ca="1" si="179"/>
        <v>3.1858378179036393</v>
      </c>
      <c r="S162" s="17">
        <f t="shared" ca="1" si="179"/>
        <v>4.9178419858748974</v>
      </c>
      <c r="T162" s="17">
        <f t="shared" ca="1" si="179"/>
        <v>6.6498461538461546</v>
      </c>
      <c r="U162" s="17">
        <f t="shared" ca="1" si="179"/>
        <v>8.3818503218174119</v>
      </c>
      <c r="V162" s="17">
        <f t="shared" ca="1" si="179"/>
        <v>10.11385448978867</v>
      </c>
      <c r="W162" s="17">
        <f t="shared" ca="1" si="179"/>
        <v>11.845858657759926</v>
      </c>
    </row>
    <row r="163" spans="15:23" ht="12.5">
      <c r="O163" s="23">
        <f t="shared" ref="O163:P163" ca="1" si="180">D111</f>
        <v>45717</v>
      </c>
      <c r="P163" s="4">
        <f t="shared" ca="1" si="180"/>
        <v>5.5</v>
      </c>
      <c r="Q163" s="17">
        <f t="shared" ref="Q163:W163" ca="1" si="181">Q162</f>
        <v>1.4538336499323821</v>
      </c>
      <c r="R163" s="17">
        <f t="shared" ca="1" si="181"/>
        <v>3.1858378179036393</v>
      </c>
      <c r="S163" s="17">
        <f t="shared" ca="1" si="181"/>
        <v>4.9178419858748974</v>
      </c>
      <c r="T163" s="17">
        <f t="shared" ca="1" si="181"/>
        <v>6.6498461538461546</v>
      </c>
      <c r="U163" s="17">
        <f t="shared" ca="1" si="181"/>
        <v>8.3818503218174119</v>
      </c>
      <c r="V163" s="17">
        <f t="shared" ca="1" si="181"/>
        <v>10.11385448978867</v>
      </c>
      <c r="W163" s="17">
        <f t="shared" ca="1" si="181"/>
        <v>11.845858657759926</v>
      </c>
    </row>
    <row r="164" spans="15:23" ht="12.5">
      <c r="O164" s="23">
        <f t="shared" ref="O164:P164" ca="1" si="182">D112</f>
        <v>45689</v>
      </c>
      <c r="P164" s="4">
        <f t="shared" ca="1" si="182"/>
        <v>6.29</v>
      </c>
      <c r="Q164" s="17">
        <f t="shared" ref="Q164:W164" ca="1" si="183">Q163</f>
        <v>1.4538336499323821</v>
      </c>
      <c r="R164" s="17">
        <f t="shared" ca="1" si="183"/>
        <v>3.1858378179036393</v>
      </c>
      <c r="S164" s="17">
        <f t="shared" ca="1" si="183"/>
        <v>4.9178419858748974</v>
      </c>
      <c r="T164" s="17">
        <f t="shared" ca="1" si="183"/>
        <v>6.6498461538461546</v>
      </c>
      <c r="U164" s="17">
        <f t="shared" ca="1" si="183"/>
        <v>8.3818503218174119</v>
      </c>
      <c r="V164" s="17">
        <f t="shared" ca="1" si="183"/>
        <v>10.11385448978867</v>
      </c>
      <c r="W164" s="17">
        <f t="shared" ca="1" si="183"/>
        <v>11.845858657759926</v>
      </c>
    </row>
    <row r="165" spans="15:23" ht="12.5">
      <c r="O165" s="23">
        <f t="shared" ref="O165:P165" ca="1" si="184">D113</f>
        <v>45658</v>
      </c>
      <c r="P165" s="4">
        <f t="shared" ca="1" si="184"/>
        <v>7.38</v>
      </c>
      <c r="Q165" s="17">
        <f t="shared" ref="Q165:W165" ca="1" si="185">Q164</f>
        <v>1.4538336499323821</v>
      </c>
      <c r="R165" s="17">
        <f t="shared" ca="1" si="185"/>
        <v>3.1858378179036393</v>
      </c>
      <c r="S165" s="17">
        <f t="shared" ca="1" si="185"/>
        <v>4.9178419858748974</v>
      </c>
      <c r="T165" s="17">
        <f t="shared" ca="1" si="185"/>
        <v>6.6498461538461546</v>
      </c>
      <c r="U165" s="17">
        <f t="shared" ca="1" si="185"/>
        <v>8.3818503218174119</v>
      </c>
      <c r="V165" s="17">
        <f t="shared" ca="1" si="185"/>
        <v>10.11385448978867</v>
      </c>
      <c r="W165" s="17">
        <f t="shared" ca="1" si="185"/>
        <v>11.845858657759926</v>
      </c>
    </row>
    <row r="166" spans="15:23" ht="12.5">
      <c r="O166" s="26">
        <f t="shared" ref="O166:P166" ca="1" si="186">D114</f>
        <v>45627</v>
      </c>
      <c r="P166" s="4">
        <f t="shared" ca="1" si="186"/>
        <v>6.99</v>
      </c>
      <c r="Q166" s="17">
        <f t="shared" ref="Q166:W166" ca="1" si="187">Q164</f>
        <v>1.4538336499323821</v>
      </c>
      <c r="R166" s="17">
        <f t="shared" ca="1" si="187"/>
        <v>3.1858378179036393</v>
      </c>
      <c r="S166" s="17">
        <f t="shared" ca="1" si="187"/>
        <v>4.9178419858748974</v>
      </c>
      <c r="T166" s="17">
        <f t="shared" ca="1" si="187"/>
        <v>6.6498461538461546</v>
      </c>
      <c r="U166" s="17">
        <f t="shared" ca="1" si="187"/>
        <v>8.3818503218174119</v>
      </c>
      <c r="V166" s="17">
        <f t="shared" ca="1" si="187"/>
        <v>10.11385448978867</v>
      </c>
      <c r="W166" s="17">
        <f t="shared" ca="1" si="187"/>
        <v>11.845858657759926</v>
      </c>
    </row>
    <row r="167" spans="15:23" ht="12.5">
      <c r="O167" s="26">
        <f t="shared" ref="O167:P167" ca="1" si="188">D115</f>
        <v>45597</v>
      </c>
      <c r="P167" s="4">
        <f t="shared" ca="1" si="188"/>
        <v>6.47</v>
      </c>
      <c r="Q167" s="17">
        <f t="shared" ref="Q167:W167" ca="1" si="189">Q166</f>
        <v>1.4538336499323821</v>
      </c>
      <c r="R167" s="17">
        <f t="shared" ca="1" si="189"/>
        <v>3.1858378179036393</v>
      </c>
      <c r="S167" s="17">
        <f t="shared" ca="1" si="189"/>
        <v>4.9178419858748974</v>
      </c>
      <c r="T167" s="17">
        <f t="shared" ca="1" si="189"/>
        <v>6.6498461538461546</v>
      </c>
      <c r="U167" s="17">
        <f t="shared" ca="1" si="189"/>
        <v>8.3818503218174119</v>
      </c>
      <c r="V167" s="17">
        <f t="shared" ca="1" si="189"/>
        <v>10.11385448978867</v>
      </c>
      <c r="W167" s="17">
        <f t="shared" ca="1" si="189"/>
        <v>11.845858657759926</v>
      </c>
    </row>
    <row r="168" spans="15:23" ht="12.5">
      <c r="O168" s="26">
        <f t="shared" ref="O168:P168" ca="1" si="190">D116</f>
        <v>45566</v>
      </c>
      <c r="P168" s="4">
        <f t="shared" ca="1" si="190"/>
        <v>7.04</v>
      </c>
      <c r="Q168" s="17">
        <f t="shared" ref="Q168:W168" ca="1" si="191">Q167</f>
        <v>1.4538336499323821</v>
      </c>
      <c r="R168" s="17">
        <f t="shared" ca="1" si="191"/>
        <v>3.1858378179036393</v>
      </c>
      <c r="S168" s="17">
        <f t="shared" ca="1" si="191"/>
        <v>4.9178419858748974</v>
      </c>
      <c r="T168" s="17">
        <f t="shared" ca="1" si="191"/>
        <v>6.6498461538461546</v>
      </c>
      <c r="U168" s="17">
        <f t="shared" ca="1" si="191"/>
        <v>8.3818503218174119</v>
      </c>
      <c r="V168" s="17">
        <f t="shared" ca="1" si="191"/>
        <v>10.11385448978867</v>
      </c>
      <c r="W168" s="17">
        <f t="shared" ca="1" si="191"/>
        <v>11.845858657759926</v>
      </c>
    </row>
    <row r="169" spans="15:23" ht="12.5">
      <c r="O169" s="23">
        <f t="shared" ref="O169:P169" ca="1" si="192">D117</f>
        <v>45536</v>
      </c>
      <c r="P169" s="4">
        <f t="shared" ca="1" si="192"/>
        <v>6.55</v>
      </c>
      <c r="Q169" s="17">
        <f t="shared" ref="Q169:W169" ca="1" si="193">Q168</f>
        <v>1.4538336499323821</v>
      </c>
      <c r="R169" s="17">
        <f t="shared" ca="1" si="193"/>
        <v>3.1858378179036393</v>
      </c>
      <c r="S169" s="17">
        <f t="shared" ca="1" si="193"/>
        <v>4.9178419858748974</v>
      </c>
      <c r="T169" s="17">
        <f t="shared" ca="1" si="193"/>
        <v>6.6498461538461546</v>
      </c>
      <c r="U169" s="17">
        <f t="shared" ca="1" si="193"/>
        <v>8.3818503218174119</v>
      </c>
      <c r="V169" s="17">
        <f t="shared" ca="1" si="193"/>
        <v>10.11385448978867</v>
      </c>
      <c r="W169" s="17">
        <f t="shared" ca="1" si="193"/>
        <v>11.845858657759926</v>
      </c>
    </row>
    <row r="170" spans="15:23" ht="12.5">
      <c r="O170" s="23">
        <f t="shared" ref="O170:P170" ca="1" si="194">D118</f>
        <v>45505</v>
      </c>
      <c r="P170" s="4">
        <f t="shared" ca="1" si="194"/>
        <v>6.46</v>
      </c>
      <c r="Q170" s="17">
        <f t="shared" ref="Q170:W170" ca="1" si="195">Q169</f>
        <v>1.4538336499323821</v>
      </c>
      <c r="R170" s="17">
        <f t="shared" ca="1" si="195"/>
        <v>3.1858378179036393</v>
      </c>
      <c r="S170" s="17">
        <f t="shared" ca="1" si="195"/>
        <v>4.9178419858748974</v>
      </c>
      <c r="T170" s="17">
        <f t="shared" ca="1" si="195"/>
        <v>6.6498461538461546</v>
      </c>
      <c r="U170" s="17">
        <f t="shared" ca="1" si="195"/>
        <v>8.3818503218174119</v>
      </c>
      <c r="V170" s="17">
        <f t="shared" ca="1" si="195"/>
        <v>10.11385448978867</v>
      </c>
      <c r="W170" s="17">
        <f t="shared" ca="1" si="195"/>
        <v>11.845858657759926</v>
      </c>
    </row>
    <row r="171" spans="15:23" ht="12.5">
      <c r="O171" s="23">
        <f t="shared" ref="O171:P171" ca="1" si="196">F107</f>
        <v>45444</v>
      </c>
      <c r="P171" s="4">
        <f t="shared" ca="1" si="196"/>
        <v>6.89</v>
      </c>
      <c r="Q171" s="17">
        <f t="shared" ref="Q171:W171" ca="1" si="197">Q170</f>
        <v>1.4538336499323821</v>
      </c>
      <c r="R171" s="17">
        <f t="shared" ca="1" si="197"/>
        <v>3.1858378179036393</v>
      </c>
      <c r="S171" s="17">
        <f t="shared" ca="1" si="197"/>
        <v>4.9178419858748974</v>
      </c>
      <c r="T171" s="17">
        <f t="shared" ca="1" si="197"/>
        <v>6.6498461538461546</v>
      </c>
      <c r="U171" s="17">
        <f t="shared" ca="1" si="197"/>
        <v>8.3818503218174119</v>
      </c>
      <c r="V171" s="17">
        <f t="shared" ca="1" si="197"/>
        <v>10.11385448978867</v>
      </c>
      <c r="W171" s="17">
        <f t="shared" ca="1" si="197"/>
        <v>11.845858657759926</v>
      </c>
    </row>
    <row r="172" spans="15:23" ht="12.5">
      <c r="O172" s="23">
        <f t="shared" ref="O172:P172" ca="1" si="198">F108</f>
        <v>45413</v>
      </c>
      <c r="P172" s="4">
        <f t="shared" ca="1" si="198"/>
        <v>5.86</v>
      </c>
      <c r="Q172" s="17">
        <f t="shared" ref="Q172:W172" ca="1" si="199">Q171</f>
        <v>1.4538336499323821</v>
      </c>
      <c r="R172" s="17">
        <f t="shared" ca="1" si="199"/>
        <v>3.1858378179036393</v>
      </c>
      <c r="S172" s="17">
        <f t="shared" ca="1" si="199"/>
        <v>4.9178419858748974</v>
      </c>
      <c r="T172" s="17">
        <f t="shared" ca="1" si="199"/>
        <v>6.6498461538461546</v>
      </c>
      <c r="U172" s="17">
        <f t="shared" ca="1" si="199"/>
        <v>8.3818503218174119</v>
      </c>
      <c r="V172" s="17">
        <f t="shared" ca="1" si="199"/>
        <v>10.11385448978867</v>
      </c>
      <c r="W172" s="17">
        <f t="shared" ca="1" si="199"/>
        <v>11.845858657759926</v>
      </c>
    </row>
    <row r="173" spans="15:23" ht="12.5">
      <c r="O173" s="23">
        <f t="shared" ref="O173:P173" ca="1" si="200">F109</f>
        <v>45383</v>
      </c>
      <c r="P173" s="4">
        <f t="shared" ca="1" si="200"/>
        <v>5.92</v>
      </c>
      <c r="Q173" s="17">
        <f t="shared" ref="Q173:W173" ca="1" si="201">Q172</f>
        <v>1.4538336499323821</v>
      </c>
      <c r="R173" s="17">
        <f t="shared" ca="1" si="201"/>
        <v>3.1858378179036393</v>
      </c>
      <c r="S173" s="17">
        <f t="shared" ca="1" si="201"/>
        <v>4.9178419858748974</v>
      </c>
      <c r="T173" s="17">
        <f t="shared" ca="1" si="201"/>
        <v>6.6498461538461546</v>
      </c>
      <c r="U173" s="17">
        <f t="shared" ca="1" si="201"/>
        <v>8.3818503218174119</v>
      </c>
      <c r="V173" s="17">
        <f t="shared" ca="1" si="201"/>
        <v>10.11385448978867</v>
      </c>
      <c r="W173" s="17">
        <f t="shared" ca="1" si="201"/>
        <v>11.845858657759926</v>
      </c>
    </row>
    <row r="174" spans="15:23" ht="12.5">
      <c r="O174" s="23">
        <f t="shared" ref="O174:P174" ca="1" si="202">F110</f>
        <v>45352</v>
      </c>
      <c r="P174" s="4">
        <f t="shared" ca="1" si="202"/>
        <v>5.84</v>
      </c>
      <c r="Q174" s="17">
        <f t="shared" ref="Q174:W174" ca="1" si="203">Q173</f>
        <v>1.4538336499323821</v>
      </c>
      <c r="R174" s="17">
        <f t="shared" ca="1" si="203"/>
        <v>3.1858378179036393</v>
      </c>
      <c r="S174" s="17">
        <f t="shared" ca="1" si="203"/>
        <v>4.9178419858748974</v>
      </c>
      <c r="T174" s="17">
        <f t="shared" ca="1" si="203"/>
        <v>6.6498461538461546</v>
      </c>
      <c r="U174" s="17">
        <f t="shared" ca="1" si="203"/>
        <v>8.3818503218174119</v>
      </c>
      <c r="V174" s="17">
        <f t="shared" ca="1" si="203"/>
        <v>10.11385448978867</v>
      </c>
      <c r="W174" s="17">
        <f t="shared" ca="1" si="203"/>
        <v>11.845858657759926</v>
      </c>
    </row>
    <row r="175" spans="15:23" ht="12.5">
      <c r="O175" s="23">
        <f t="shared" ref="O175:P175" ca="1" si="204">F111</f>
        <v>45323</v>
      </c>
      <c r="P175" s="4">
        <f t="shared" ca="1" si="204"/>
        <v>5.17</v>
      </c>
      <c r="Q175" s="17">
        <f t="shared" ref="Q175:W175" ca="1" si="205">Q174</f>
        <v>1.4538336499323821</v>
      </c>
      <c r="R175" s="17">
        <f t="shared" ca="1" si="205"/>
        <v>3.1858378179036393</v>
      </c>
      <c r="S175" s="17">
        <f t="shared" ca="1" si="205"/>
        <v>4.9178419858748974</v>
      </c>
      <c r="T175" s="17">
        <f t="shared" ca="1" si="205"/>
        <v>6.6498461538461546</v>
      </c>
      <c r="U175" s="17">
        <f t="shared" ca="1" si="205"/>
        <v>8.3818503218174119</v>
      </c>
      <c r="V175" s="17">
        <f t="shared" ca="1" si="205"/>
        <v>10.11385448978867</v>
      </c>
      <c r="W175" s="17">
        <f t="shared" ca="1" si="205"/>
        <v>11.845858657759926</v>
      </c>
    </row>
    <row r="176" spans="15:23" ht="12.5">
      <c r="O176" s="23">
        <f t="shared" ref="O176:P176" ca="1" si="206">F112</f>
        <v>45292</v>
      </c>
      <c r="P176" s="4">
        <f t="shared" ca="1" si="206"/>
        <v>4.8600000000000003</v>
      </c>
      <c r="Q176" s="17">
        <f t="shared" ref="Q176:W176" ca="1" si="207">Q175</f>
        <v>1.4538336499323821</v>
      </c>
      <c r="R176" s="17">
        <f t="shared" ca="1" si="207"/>
        <v>3.1858378179036393</v>
      </c>
      <c r="S176" s="17">
        <f t="shared" ca="1" si="207"/>
        <v>4.9178419858748974</v>
      </c>
      <c r="T176" s="17">
        <f t="shared" ca="1" si="207"/>
        <v>6.6498461538461546</v>
      </c>
      <c r="U176" s="17">
        <f t="shared" ca="1" si="207"/>
        <v>8.3818503218174119</v>
      </c>
      <c r="V176" s="17">
        <f t="shared" ca="1" si="207"/>
        <v>10.11385448978867</v>
      </c>
      <c r="W176" s="17">
        <f t="shared" ca="1" si="207"/>
        <v>11.845858657759926</v>
      </c>
    </row>
    <row r="177" spans="15:23" ht="12.5">
      <c r="O177" s="26">
        <f t="shared" ref="O177:P177" ca="1" si="208">F113</f>
        <v>45261</v>
      </c>
      <c r="P177" s="4">
        <f t="shared" ca="1" si="208"/>
        <v>4.59</v>
      </c>
      <c r="Q177" s="17">
        <f t="shared" ref="Q177:W177" ca="1" si="209">Q176</f>
        <v>1.4538336499323821</v>
      </c>
      <c r="R177" s="17">
        <f t="shared" ca="1" si="209"/>
        <v>3.1858378179036393</v>
      </c>
      <c r="S177" s="17">
        <f t="shared" ca="1" si="209"/>
        <v>4.9178419858748974</v>
      </c>
      <c r="T177" s="17">
        <f t="shared" ca="1" si="209"/>
        <v>6.6498461538461546</v>
      </c>
      <c r="U177" s="17">
        <f t="shared" ca="1" si="209"/>
        <v>8.3818503218174119</v>
      </c>
      <c r="V177" s="17">
        <f t="shared" ca="1" si="209"/>
        <v>10.11385448978867</v>
      </c>
      <c r="W177" s="17">
        <f t="shared" ca="1" si="209"/>
        <v>11.845858657759926</v>
      </c>
    </row>
    <row r="178" spans="15:23" ht="12.5">
      <c r="O178" s="26">
        <f t="shared" ref="O178:P178" ca="1" si="210">F114</f>
        <v>45231</v>
      </c>
      <c r="P178" s="4">
        <f t="shared" ca="1" si="210"/>
        <v>4.45</v>
      </c>
      <c r="Q178" s="17">
        <f t="shared" ref="Q178:W178" ca="1" si="211">Q176</f>
        <v>1.4538336499323821</v>
      </c>
      <c r="R178" s="17">
        <f t="shared" ca="1" si="211"/>
        <v>3.1858378179036393</v>
      </c>
      <c r="S178" s="17">
        <f t="shared" ca="1" si="211"/>
        <v>4.9178419858748974</v>
      </c>
      <c r="T178" s="17">
        <f t="shared" ca="1" si="211"/>
        <v>6.6498461538461546</v>
      </c>
      <c r="U178" s="17">
        <f t="shared" ca="1" si="211"/>
        <v>8.3818503218174119</v>
      </c>
      <c r="V178" s="17">
        <f t="shared" ca="1" si="211"/>
        <v>10.11385448978867</v>
      </c>
      <c r="W178" s="17">
        <f t="shared" ca="1" si="211"/>
        <v>11.845858657759926</v>
      </c>
    </row>
    <row r="179" spans="15:23" ht="12.5">
      <c r="O179" s="26">
        <f t="shared" ref="O179:P179" ca="1" si="212">F115</f>
        <v>45200</v>
      </c>
      <c r="P179" s="4">
        <f t="shared" ca="1" si="212"/>
        <v>4.3</v>
      </c>
      <c r="Q179" s="17">
        <f t="shared" ref="Q179:W179" ca="1" si="213">Q178</f>
        <v>1.4538336499323821</v>
      </c>
      <c r="R179" s="17">
        <f t="shared" ca="1" si="213"/>
        <v>3.1858378179036393</v>
      </c>
      <c r="S179" s="17">
        <f t="shared" ca="1" si="213"/>
        <v>4.9178419858748974</v>
      </c>
      <c r="T179" s="17">
        <f t="shared" ca="1" si="213"/>
        <v>6.6498461538461546</v>
      </c>
      <c r="U179" s="17">
        <f t="shared" ca="1" si="213"/>
        <v>8.3818503218174119</v>
      </c>
      <c r="V179" s="17">
        <f t="shared" ca="1" si="213"/>
        <v>10.11385448978867</v>
      </c>
      <c r="W179" s="17">
        <f t="shared" ca="1" si="213"/>
        <v>11.845858657759926</v>
      </c>
    </row>
    <row r="180" spans="15:23" ht="12.5">
      <c r="O180" s="23">
        <f t="shared" ref="O180:P180" ca="1" si="214">F116</f>
        <v>45170</v>
      </c>
      <c r="P180" s="4">
        <f t="shared" ca="1" si="214"/>
        <v>4.49</v>
      </c>
      <c r="Q180" s="17">
        <f t="shared" ref="Q180:W180" ca="1" si="215">Q179</f>
        <v>1.4538336499323821</v>
      </c>
      <c r="R180" s="17">
        <f t="shared" ca="1" si="215"/>
        <v>3.1858378179036393</v>
      </c>
      <c r="S180" s="17">
        <f t="shared" ca="1" si="215"/>
        <v>4.9178419858748974</v>
      </c>
      <c r="T180" s="17">
        <f t="shared" ca="1" si="215"/>
        <v>6.6498461538461546</v>
      </c>
      <c r="U180" s="17">
        <f t="shared" ca="1" si="215"/>
        <v>8.3818503218174119</v>
      </c>
      <c r="V180" s="17">
        <f t="shared" ca="1" si="215"/>
        <v>10.11385448978867</v>
      </c>
      <c r="W180" s="17">
        <f t="shared" ca="1" si="215"/>
        <v>11.845858657759926</v>
      </c>
    </row>
    <row r="181" spans="15:23" ht="12.5">
      <c r="O181" s="23">
        <f t="shared" ref="O181:P181" ca="1" si="216">F117</f>
        <v>45108</v>
      </c>
      <c r="P181" s="4">
        <f t="shared" ca="1" si="216"/>
        <v>4.8899999999999997</v>
      </c>
      <c r="Q181" s="17">
        <f t="shared" ref="Q181:W181" ca="1" si="217">Q180</f>
        <v>1.4538336499323821</v>
      </c>
      <c r="R181" s="17">
        <f t="shared" ca="1" si="217"/>
        <v>3.1858378179036393</v>
      </c>
      <c r="S181" s="17">
        <f t="shared" ca="1" si="217"/>
        <v>4.9178419858748974</v>
      </c>
      <c r="T181" s="17">
        <f t="shared" ca="1" si="217"/>
        <v>6.6498461538461546</v>
      </c>
      <c r="U181" s="17">
        <f t="shared" ca="1" si="217"/>
        <v>8.3818503218174119</v>
      </c>
      <c r="V181" s="17">
        <f t="shared" ca="1" si="217"/>
        <v>10.11385448978867</v>
      </c>
      <c r="W181" s="17">
        <f t="shared" ca="1" si="217"/>
        <v>11.845858657759926</v>
      </c>
    </row>
    <row r="182" spans="15:23" ht="12.5">
      <c r="O182" s="23">
        <f t="shared" ref="O182:P182" ca="1" si="218">F118</f>
        <v>45078</v>
      </c>
      <c r="P182" s="4">
        <f t="shared" ca="1" si="218"/>
        <v>4.8499999999999996</v>
      </c>
      <c r="Q182" s="17">
        <f t="shared" ref="Q182:W182" ca="1" si="219">Q181</f>
        <v>1.4538336499323821</v>
      </c>
      <c r="R182" s="17">
        <f t="shared" ca="1" si="219"/>
        <v>3.1858378179036393</v>
      </c>
      <c r="S182" s="17">
        <f t="shared" ca="1" si="219"/>
        <v>4.9178419858748974</v>
      </c>
      <c r="T182" s="17">
        <f t="shared" ca="1" si="219"/>
        <v>6.6498461538461546</v>
      </c>
      <c r="U182" s="17">
        <f t="shared" ca="1" si="219"/>
        <v>8.3818503218174119</v>
      </c>
      <c r="V182" s="17">
        <f t="shared" ca="1" si="219"/>
        <v>10.11385448978867</v>
      </c>
      <c r="W182" s="17">
        <f t="shared" ca="1" si="219"/>
        <v>11.845858657759926</v>
      </c>
    </row>
    <row r="183" spans="15:23" ht="12.5">
      <c r="O183" s="23">
        <f t="shared" ref="O183:P183" ca="1" si="220">H107</f>
        <v>45017</v>
      </c>
      <c r="P183" s="4">
        <f t="shared" ca="1" si="220"/>
        <v>4.42</v>
      </c>
      <c r="Q183" s="17">
        <f t="shared" ref="Q183:W183" ca="1" si="221">Q182</f>
        <v>1.4538336499323821</v>
      </c>
      <c r="R183" s="17">
        <f t="shared" ca="1" si="221"/>
        <v>3.1858378179036393</v>
      </c>
      <c r="S183" s="17">
        <f t="shared" ca="1" si="221"/>
        <v>4.9178419858748974</v>
      </c>
      <c r="T183" s="17">
        <f t="shared" ca="1" si="221"/>
        <v>6.6498461538461546</v>
      </c>
      <c r="U183" s="17">
        <f t="shared" ca="1" si="221"/>
        <v>8.3818503218174119</v>
      </c>
      <c r="V183" s="17">
        <f t="shared" ca="1" si="221"/>
        <v>10.11385448978867</v>
      </c>
      <c r="W183" s="17">
        <f t="shared" ca="1" si="221"/>
        <v>11.845858657759926</v>
      </c>
    </row>
    <row r="184" spans="15:23" ht="12.5">
      <c r="O184" s="23">
        <f t="shared" ref="O184:P184" ca="1" si="222">H108</f>
        <v>44986</v>
      </c>
      <c r="P184" s="4">
        <f t="shared" ca="1" si="222"/>
        <v>4.6900000000000004</v>
      </c>
      <c r="Q184" s="17">
        <f t="shared" ref="Q184:W184" ca="1" si="223">Q183</f>
        <v>1.4538336499323821</v>
      </c>
      <c r="R184" s="17">
        <f t="shared" ca="1" si="223"/>
        <v>3.1858378179036393</v>
      </c>
      <c r="S184" s="17">
        <f t="shared" ca="1" si="223"/>
        <v>4.9178419858748974</v>
      </c>
      <c r="T184" s="17">
        <f t="shared" ca="1" si="223"/>
        <v>6.6498461538461546</v>
      </c>
      <c r="U184" s="17">
        <f t="shared" ca="1" si="223"/>
        <v>8.3818503218174119</v>
      </c>
      <c r="V184" s="17">
        <f t="shared" ca="1" si="223"/>
        <v>10.11385448978867</v>
      </c>
      <c r="W184" s="17">
        <f t="shared" ca="1" si="223"/>
        <v>11.845858657759926</v>
      </c>
    </row>
    <row r="185" spans="15:23" ht="12.5">
      <c r="O185" s="23">
        <f t="shared" ref="O185:P185" ca="1" si="224">H109</f>
        <v>44958</v>
      </c>
      <c r="P185" s="4">
        <f t="shared" ca="1" si="224"/>
        <v>4.5</v>
      </c>
      <c r="Q185" s="17">
        <f t="shared" ref="Q185:W185" ca="1" si="225">Q184</f>
        <v>1.4538336499323821</v>
      </c>
      <c r="R185" s="17">
        <f t="shared" ca="1" si="225"/>
        <v>3.1858378179036393</v>
      </c>
      <c r="S185" s="17">
        <f t="shared" ca="1" si="225"/>
        <v>4.9178419858748974</v>
      </c>
      <c r="T185" s="17">
        <f t="shared" ca="1" si="225"/>
        <v>6.6498461538461546</v>
      </c>
      <c r="U185" s="17">
        <f t="shared" ca="1" si="225"/>
        <v>8.3818503218174119</v>
      </c>
      <c r="V185" s="17">
        <f t="shared" ca="1" si="225"/>
        <v>10.11385448978867</v>
      </c>
      <c r="W185" s="17">
        <f t="shared" ca="1" si="225"/>
        <v>11.845858657759926</v>
      </c>
    </row>
    <row r="186" spans="15:23" ht="12.5">
      <c r="O186" s="23">
        <f t="shared" ref="O186:P186" ca="1" si="226">H110</f>
        <v>44927</v>
      </c>
      <c r="P186" s="4">
        <f t="shared" ca="1" si="226"/>
        <v>4.9400000000000004</v>
      </c>
      <c r="Q186" s="17">
        <f t="shared" ref="Q186:W186" ca="1" si="227">Q185</f>
        <v>1.4538336499323821</v>
      </c>
      <c r="R186" s="17">
        <f t="shared" ca="1" si="227"/>
        <v>3.1858378179036393</v>
      </c>
      <c r="S186" s="17">
        <f t="shared" ca="1" si="227"/>
        <v>4.9178419858748974</v>
      </c>
      <c r="T186" s="17">
        <f t="shared" ca="1" si="227"/>
        <v>6.6498461538461546</v>
      </c>
      <c r="U186" s="17">
        <f t="shared" ca="1" si="227"/>
        <v>8.3818503218174119</v>
      </c>
      <c r="V186" s="17">
        <f t="shared" ca="1" si="227"/>
        <v>10.11385448978867</v>
      </c>
      <c r="W186" s="17">
        <f t="shared" ca="1" si="227"/>
        <v>11.845858657759926</v>
      </c>
    </row>
    <row r="187" spans="15:23" ht="12.5">
      <c r="O187" s="26">
        <f t="shared" ref="O187:P187" ca="1" si="228">H111</f>
        <v>44896</v>
      </c>
      <c r="P187" s="4">
        <f t="shared" ca="1" si="228"/>
        <v>4.25</v>
      </c>
      <c r="Q187" s="17">
        <f t="shared" ref="Q187:W187" ca="1" si="229">Q186</f>
        <v>1.4538336499323821</v>
      </c>
      <c r="R187" s="17">
        <f t="shared" ca="1" si="229"/>
        <v>3.1858378179036393</v>
      </c>
      <c r="S187" s="17">
        <f t="shared" ca="1" si="229"/>
        <v>4.9178419858748974</v>
      </c>
      <c r="T187" s="17">
        <f t="shared" ca="1" si="229"/>
        <v>6.6498461538461546</v>
      </c>
      <c r="U187" s="17">
        <f t="shared" ca="1" si="229"/>
        <v>8.3818503218174119</v>
      </c>
      <c r="V187" s="17">
        <f t="shared" ca="1" si="229"/>
        <v>10.11385448978867</v>
      </c>
      <c r="W187" s="17">
        <f t="shared" ca="1" si="229"/>
        <v>11.845858657759926</v>
      </c>
    </row>
    <row r="188" spans="15:23" ht="12.5">
      <c r="O188" s="26">
        <f t="shared" ref="O188:P188" ca="1" si="230">H112</f>
        <v>44866</v>
      </c>
      <c r="P188" s="4">
        <f t="shared" ca="1" si="230"/>
        <v>4.6399999999999997</v>
      </c>
      <c r="Q188" s="17">
        <f t="shared" ref="Q188:W188" ca="1" si="231">Q187</f>
        <v>1.4538336499323821</v>
      </c>
      <c r="R188" s="17">
        <f t="shared" ca="1" si="231"/>
        <v>3.1858378179036393</v>
      </c>
      <c r="S188" s="17">
        <f t="shared" ca="1" si="231"/>
        <v>4.9178419858748974</v>
      </c>
      <c r="T188" s="17">
        <f t="shared" ca="1" si="231"/>
        <v>6.6498461538461546</v>
      </c>
      <c r="U188" s="17">
        <f t="shared" ca="1" si="231"/>
        <v>8.3818503218174119</v>
      </c>
      <c r="V188" s="17">
        <f t="shared" ca="1" si="231"/>
        <v>10.11385448978867</v>
      </c>
      <c r="W188" s="17">
        <f t="shared" ca="1" si="231"/>
        <v>11.845858657759926</v>
      </c>
    </row>
    <row r="189" spans="15:23" ht="12.5">
      <c r="O189" s="26">
        <f t="shared" ref="O189:P189" ca="1" si="232">H113</f>
        <v>44835</v>
      </c>
      <c r="P189" s="4">
        <f t="shared" ca="1" si="232"/>
        <v>4.05</v>
      </c>
      <c r="Q189" s="17">
        <f t="shared" ref="Q189:W189" ca="1" si="233">Q188</f>
        <v>1.4538336499323821</v>
      </c>
      <c r="R189" s="17">
        <f t="shared" ca="1" si="233"/>
        <v>3.1858378179036393</v>
      </c>
      <c r="S189" s="17">
        <f t="shared" ca="1" si="233"/>
        <v>4.9178419858748974</v>
      </c>
      <c r="T189" s="17">
        <f t="shared" ca="1" si="233"/>
        <v>6.6498461538461546</v>
      </c>
      <c r="U189" s="17">
        <f t="shared" ca="1" si="233"/>
        <v>8.3818503218174119</v>
      </c>
      <c r="V189" s="17">
        <f t="shared" ca="1" si="233"/>
        <v>10.11385448978867</v>
      </c>
      <c r="W189" s="17">
        <f t="shared" ca="1" si="233"/>
        <v>11.845858657759926</v>
      </c>
    </row>
    <row r="190" spans="15:23" ht="12.5">
      <c r="O190" s="23">
        <f t="shared" ref="O190:P190" ca="1" si="234">H114</f>
        <v>44805</v>
      </c>
      <c r="P190" s="4">
        <f t="shared" ca="1" si="234"/>
        <v>4.38</v>
      </c>
      <c r="Q190" s="17">
        <f t="shared" ref="Q190:W190" ca="1" si="235">Q188</f>
        <v>1.4538336499323821</v>
      </c>
      <c r="R190" s="17">
        <f t="shared" ca="1" si="235"/>
        <v>3.1858378179036393</v>
      </c>
      <c r="S190" s="17">
        <f t="shared" ca="1" si="235"/>
        <v>4.9178419858748974</v>
      </c>
      <c r="T190" s="17">
        <f t="shared" ca="1" si="235"/>
        <v>6.6498461538461546</v>
      </c>
      <c r="U190" s="17">
        <f t="shared" ca="1" si="235"/>
        <v>8.3818503218174119</v>
      </c>
      <c r="V190" s="17">
        <f t="shared" ca="1" si="235"/>
        <v>10.11385448978867</v>
      </c>
      <c r="W190" s="17">
        <f t="shared" ca="1" si="235"/>
        <v>11.845858657759926</v>
      </c>
    </row>
    <row r="191" spans="15:23" ht="12.5">
      <c r="O191" s="23">
        <f t="shared" ref="O191:P191" ca="1" si="236">H115</f>
        <v>44774</v>
      </c>
      <c r="P191" s="4">
        <f t="shared" ca="1" si="236"/>
        <v>5.25</v>
      </c>
      <c r="Q191" s="17">
        <f t="shared" ref="Q191:W191" ca="1" si="237">Q190</f>
        <v>1.4538336499323821</v>
      </c>
      <c r="R191" s="17">
        <f t="shared" ca="1" si="237"/>
        <v>3.1858378179036393</v>
      </c>
      <c r="S191" s="17">
        <f t="shared" ca="1" si="237"/>
        <v>4.9178419858748974</v>
      </c>
      <c r="T191" s="17">
        <f t="shared" ca="1" si="237"/>
        <v>6.6498461538461546</v>
      </c>
      <c r="U191" s="17">
        <f t="shared" ca="1" si="237"/>
        <v>8.3818503218174119</v>
      </c>
      <c r="V191" s="17">
        <f t="shared" ca="1" si="237"/>
        <v>10.11385448978867</v>
      </c>
      <c r="W191" s="17">
        <f t="shared" ca="1" si="237"/>
        <v>11.845858657759926</v>
      </c>
    </row>
    <row r="192" spans="15:23" ht="12.5">
      <c r="O192" s="23">
        <f t="shared" ref="O192:P192" ca="1" si="238">H116</f>
        <v>44743</v>
      </c>
      <c r="P192" s="4">
        <f t="shared" ca="1" si="238"/>
        <v>5.7</v>
      </c>
      <c r="Q192" s="17">
        <f t="shared" ref="Q192:W192" ca="1" si="239">Q191</f>
        <v>1.4538336499323821</v>
      </c>
      <c r="R192" s="17">
        <f t="shared" ca="1" si="239"/>
        <v>3.1858378179036393</v>
      </c>
      <c r="S192" s="17">
        <f t="shared" ca="1" si="239"/>
        <v>4.9178419858748974</v>
      </c>
      <c r="T192" s="17">
        <f t="shared" ca="1" si="239"/>
        <v>6.6498461538461546</v>
      </c>
      <c r="U192" s="17">
        <f t="shared" ca="1" si="239"/>
        <v>8.3818503218174119</v>
      </c>
      <c r="V192" s="17">
        <f t="shared" ca="1" si="239"/>
        <v>10.11385448978867</v>
      </c>
      <c r="W192" s="17">
        <f t="shared" ca="1" si="239"/>
        <v>11.845858657759926</v>
      </c>
    </row>
    <row r="193" spans="15:23" ht="12.5">
      <c r="O193" s="23">
        <f t="shared" ref="O193:P193" ca="1" si="240">H117</f>
        <v>44713</v>
      </c>
      <c r="P193" s="4">
        <f t="shared" ca="1" si="240"/>
        <v>5.33</v>
      </c>
      <c r="Q193" s="17">
        <f t="shared" ref="Q193:W193" ca="1" si="241">Q192</f>
        <v>1.4538336499323821</v>
      </c>
      <c r="R193" s="17">
        <f t="shared" ca="1" si="241"/>
        <v>3.1858378179036393</v>
      </c>
      <c r="S193" s="17">
        <f t="shared" ca="1" si="241"/>
        <v>4.9178419858748974</v>
      </c>
      <c r="T193" s="17">
        <f t="shared" ca="1" si="241"/>
        <v>6.6498461538461546</v>
      </c>
      <c r="U193" s="17">
        <f t="shared" ca="1" si="241"/>
        <v>8.3818503218174119</v>
      </c>
      <c r="V193" s="17">
        <f t="shared" ca="1" si="241"/>
        <v>10.11385448978867</v>
      </c>
      <c r="W193" s="17">
        <f t="shared" ca="1" si="241"/>
        <v>11.845858657759926</v>
      </c>
    </row>
    <row r="194" spans="15:23" ht="12.5">
      <c r="O194" s="23">
        <f t="shared" ref="O194:P194" ca="1" si="242">H118</f>
        <v>44682</v>
      </c>
      <c r="P194" s="4">
        <f t="shared" ca="1" si="242"/>
        <v>6.27</v>
      </c>
      <c r="Q194" s="17">
        <f t="shared" ref="Q194:W194" ca="1" si="243">Q193</f>
        <v>1.4538336499323821</v>
      </c>
      <c r="R194" s="17">
        <f t="shared" ca="1" si="243"/>
        <v>3.1858378179036393</v>
      </c>
      <c r="S194" s="17">
        <f t="shared" ca="1" si="243"/>
        <v>4.9178419858748974</v>
      </c>
      <c r="T194" s="17">
        <f t="shared" ca="1" si="243"/>
        <v>6.6498461538461546</v>
      </c>
      <c r="U194" s="17">
        <f t="shared" ca="1" si="243"/>
        <v>8.3818503218174119</v>
      </c>
      <c r="V194" s="17">
        <f t="shared" ca="1" si="243"/>
        <v>10.11385448978867</v>
      </c>
      <c r="W194" s="17">
        <f t="shared" ca="1" si="243"/>
        <v>11.845858657759926</v>
      </c>
    </row>
    <row r="195" spans="15:23" ht="12.5">
      <c r="O195" s="23">
        <f t="shared" ref="O195:P195" ca="1" si="244">J107</f>
        <v>44621</v>
      </c>
      <c r="P195" s="4">
        <f t="shared" ca="1" si="244"/>
        <v>7.14</v>
      </c>
      <c r="Q195" s="17">
        <f t="shared" ref="Q195:W195" ca="1" si="245">Q194</f>
        <v>1.4538336499323821</v>
      </c>
      <c r="R195" s="17">
        <f t="shared" ca="1" si="245"/>
        <v>3.1858378179036393</v>
      </c>
      <c r="S195" s="17">
        <f t="shared" ca="1" si="245"/>
        <v>4.9178419858748974</v>
      </c>
      <c r="T195" s="17">
        <f t="shared" ca="1" si="245"/>
        <v>6.6498461538461546</v>
      </c>
      <c r="U195" s="17">
        <f t="shared" ca="1" si="245"/>
        <v>8.3818503218174119</v>
      </c>
      <c r="V195" s="17">
        <f t="shared" ca="1" si="245"/>
        <v>10.11385448978867</v>
      </c>
      <c r="W195" s="17">
        <f t="shared" ca="1" si="245"/>
        <v>11.845858657759926</v>
      </c>
    </row>
    <row r="196" spans="15:23" ht="12.5">
      <c r="O196" s="23">
        <f t="shared" ref="O196:P196" ca="1" si="246">J108</f>
        <v>44593</v>
      </c>
      <c r="P196" s="4">
        <f t="shared" ca="1" si="246"/>
        <v>7.22</v>
      </c>
      <c r="Q196" s="17">
        <f t="shared" ref="Q196:W196" ca="1" si="247">Q195</f>
        <v>1.4538336499323821</v>
      </c>
      <c r="R196" s="17">
        <f t="shared" ca="1" si="247"/>
        <v>3.1858378179036393</v>
      </c>
      <c r="S196" s="17">
        <f t="shared" ca="1" si="247"/>
        <v>4.9178419858748974</v>
      </c>
      <c r="T196" s="17">
        <f t="shared" ca="1" si="247"/>
        <v>6.6498461538461546</v>
      </c>
      <c r="U196" s="17">
        <f t="shared" ca="1" si="247"/>
        <v>8.3818503218174119</v>
      </c>
      <c r="V196" s="17">
        <f t="shared" ca="1" si="247"/>
        <v>10.11385448978867</v>
      </c>
      <c r="W196" s="17">
        <f t="shared" ca="1" si="247"/>
        <v>11.845858657759926</v>
      </c>
    </row>
    <row r="197" spans="15:23" ht="12.5">
      <c r="O197" s="23">
        <f t="shared" ref="O197:P197" ca="1" si="248">J109</f>
        <v>44562</v>
      </c>
      <c r="P197" s="4">
        <f t="shared" ca="1" si="248"/>
        <v>7.94</v>
      </c>
      <c r="Q197" s="17">
        <f t="shared" ref="Q197:W197" ca="1" si="249">Q196</f>
        <v>1.4538336499323821</v>
      </c>
      <c r="R197" s="17">
        <f t="shared" ca="1" si="249"/>
        <v>3.1858378179036393</v>
      </c>
      <c r="S197" s="17">
        <f t="shared" ca="1" si="249"/>
        <v>4.9178419858748974</v>
      </c>
      <c r="T197" s="17">
        <f t="shared" ca="1" si="249"/>
        <v>6.6498461538461546</v>
      </c>
      <c r="U197" s="17">
        <f t="shared" ca="1" si="249"/>
        <v>8.3818503218174119</v>
      </c>
      <c r="V197" s="17">
        <f t="shared" ca="1" si="249"/>
        <v>10.11385448978867</v>
      </c>
      <c r="W197" s="17">
        <f t="shared" ca="1" si="249"/>
        <v>11.845858657759926</v>
      </c>
    </row>
    <row r="198" spans="15:23" ht="12.5">
      <c r="O198" s="26">
        <f t="shared" ref="O198:P198" ca="1" si="250">J110</f>
        <v>44531</v>
      </c>
      <c r="P198" s="4">
        <f t="shared" ca="1" si="250"/>
        <v>7.68</v>
      </c>
      <c r="Q198" s="17">
        <f t="shared" ref="Q198:W198" ca="1" si="251">Q197</f>
        <v>1.4538336499323821</v>
      </c>
      <c r="R198" s="17">
        <f t="shared" ca="1" si="251"/>
        <v>3.1858378179036393</v>
      </c>
      <c r="S198" s="17">
        <f t="shared" ca="1" si="251"/>
        <v>4.9178419858748974</v>
      </c>
      <c r="T198" s="17">
        <f t="shared" ca="1" si="251"/>
        <v>6.6498461538461546</v>
      </c>
      <c r="U198" s="17">
        <f t="shared" ca="1" si="251"/>
        <v>8.3818503218174119</v>
      </c>
      <c r="V198" s="17">
        <f t="shared" ca="1" si="251"/>
        <v>10.11385448978867</v>
      </c>
      <c r="W198" s="17">
        <f t="shared" ca="1" si="251"/>
        <v>11.845858657759926</v>
      </c>
    </row>
    <row r="199" spans="15:23" ht="12.5">
      <c r="O199" s="26">
        <f t="shared" ref="O199:P199" ca="1" si="252">J111</f>
        <v>44501</v>
      </c>
      <c r="P199" s="4">
        <f t="shared" ca="1" si="252"/>
        <v>7.44</v>
      </c>
      <c r="Q199" s="17">
        <f t="shared" ref="Q199:W199" ca="1" si="253">Q198</f>
        <v>1.4538336499323821</v>
      </c>
      <c r="R199" s="17">
        <f t="shared" ca="1" si="253"/>
        <v>3.1858378179036393</v>
      </c>
      <c r="S199" s="17">
        <f t="shared" ca="1" si="253"/>
        <v>4.9178419858748974</v>
      </c>
      <c r="T199" s="17">
        <f t="shared" ca="1" si="253"/>
        <v>6.6498461538461546</v>
      </c>
      <c r="U199" s="17">
        <f t="shared" ca="1" si="253"/>
        <v>8.3818503218174119</v>
      </c>
      <c r="V199" s="17">
        <f t="shared" ca="1" si="253"/>
        <v>10.11385448978867</v>
      </c>
      <c r="W199" s="17">
        <f t="shared" ca="1" si="253"/>
        <v>11.845858657759926</v>
      </c>
    </row>
    <row r="200" spans="15:23" ht="12.5">
      <c r="O200" s="26">
        <f t="shared" ref="O200:P200" ca="1" si="254">J112</f>
        <v>44470</v>
      </c>
      <c r="P200" s="4">
        <f t="shared" ca="1" si="254"/>
        <v>7.68</v>
      </c>
      <c r="Q200" s="17">
        <f t="shared" ref="Q200:W200" ca="1" si="255">Q199</f>
        <v>1.4538336499323821</v>
      </c>
      <c r="R200" s="17">
        <f t="shared" ca="1" si="255"/>
        <v>3.1858378179036393</v>
      </c>
      <c r="S200" s="17">
        <f t="shared" ca="1" si="255"/>
        <v>4.9178419858748974</v>
      </c>
      <c r="T200" s="17">
        <f t="shared" ca="1" si="255"/>
        <v>6.6498461538461546</v>
      </c>
      <c r="U200" s="17">
        <f t="shared" ca="1" si="255"/>
        <v>8.3818503218174119</v>
      </c>
      <c r="V200" s="17">
        <f t="shared" ca="1" si="255"/>
        <v>10.11385448978867</v>
      </c>
      <c r="W200" s="17">
        <f t="shared" ca="1" si="255"/>
        <v>11.845858657759926</v>
      </c>
    </row>
    <row r="201" spans="15:23" ht="12.5">
      <c r="O201" s="23">
        <f t="shared" ref="O201:P201" ca="1" si="256">J113</f>
        <v>44440</v>
      </c>
      <c r="P201" s="4">
        <f t="shared" ca="1" si="256"/>
        <v>7.55</v>
      </c>
      <c r="Q201" s="17">
        <f t="shared" ref="Q201:W201" ca="1" si="257">Q200</f>
        <v>1.4538336499323821</v>
      </c>
      <c r="R201" s="17">
        <f t="shared" ca="1" si="257"/>
        <v>3.1858378179036393</v>
      </c>
      <c r="S201" s="17">
        <f t="shared" ca="1" si="257"/>
        <v>4.9178419858748974</v>
      </c>
      <c r="T201" s="17">
        <f t="shared" ca="1" si="257"/>
        <v>6.6498461538461546</v>
      </c>
      <c r="U201" s="17">
        <f t="shared" ca="1" si="257"/>
        <v>8.3818503218174119</v>
      </c>
      <c r="V201" s="17">
        <f t="shared" ca="1" si="257"/>
        <v>10.11385448978867</v>
      </c>
      <c r="W201" s="17">
        <f t="shared" ca="1" si="257"/>
        <v>11.845858657759926</v>
      </c>
    </row>
    <row r="202" spans="15:23" ht="12.5">
      <c r="O202" s="23">
        <f t="shared" ref="O202:P202" ca="1" si="258">J114</f>
        <v>44409</v>
      </c>
      <c r="P202" s="4">
        <f t="shared" ca="1" si="258"/>
        <v>7.99</v>
      </c>
      <c r="Q202" s="17">
        <f t="shared" ref="Q202:W202" ca="1" si="259">Q200</f>
        <v>1.4538336499323821</v>
      </c>
      <c r="R202" s="17">
        <f t="shared" ca="1" si="259"/>
        <v>3.1858378179036393</v>
      </c>
      <c r="S202" s="17">
        <f t="shared" ca="1" si="259"/>
        <v>4.9178419858748974</v>
      </c>
      <c r="T202" s="17">
        <f t="shared" ca="1" si="259"/>
        <v>6.6498461538461546</v>
      </c>
      <c r="U202" s="17">
        <f t="shared" ca="1" si="259"/>
        <v>8.3818503218174119</v>
      </c>
      <c r="V202" s="17">
        <f t="shared" ca="1" si="259"/>
        <v>10.11385448978867</v>
      </c>
      <c r="W202" s="17">
        <f t="shared" ca="1" si="259"/>
        <v>11.845858657759926</v>
      </c>
    </row>
    <row r="203" spans="15:23" ht="12.5">
      <c r="O203" s="23">
        <f t="shared" ref="O203:P203" ca="1" si="260">J115</f>
        <v>44378</v>
      </c>
      <c r="P203" s="4">
        <f t="shared" ca="1" si="260"/>
        <v>7.76</v>
      </c>
      <c r="Q203" s="17">
        <f t="shared" ref="Q203:W203" ca="1" si="261">Q202</f>
        <v>1.4538336499323821</v>
      </c>
      <c r="R203" s="17">
        <f t="shared" ca="1" si="261"/>
        <v>3.1858378179036393</v>
      </c>
      <c r="S203" s="17">
        <f t="shared" ca="1" si="261"/>
        <v>4.9178419858748974</v>
      </c>
      <c r="T203" s="17">
        <f t="shared" ca="1" si="261"/>
        <v>6.6498461538461546</v>
      </c>
      <c r="U203" s="17">
        <f t="shared" ca="1" si="261"/>
        <v>8.3818503218174119</v>
      </c>
      <c r="V203" s="17">
        <f t="shared" ca="1" si="261"/>
        <v>10.11385448978867</v>
      </c>
      <c r="W203" s="17">
        <f t="shared" ca="1" si="261"/>
        <v>11.845858657759926</v>
      </c>
    </row>
    <row r="204" spans="15:23" ht="12.5">
      <c r="O204" s="23">
        <f t="shared" ref="O204:P204" ca="1" si="262">J116</f>
        <v>44348</v>
      </c>
      <c r="P204" s="4">
        <f t="shared" ca="1" si="262"/>
        <v>7.96</v>
      </c>
      <c r="Q204" s="17">
        <f t="shared" ref="Q204:W204" ca="1" si="263">Q203</f>
        <v>1.4538336499323821</v>
      </c>
      <c r="R204" s="17">
        <f t="shared" ca="1" si="263"/>
        <v>3.1858378179036393</v>
      </c>
      <c r="S204" s="17">
        <f t="shared" ca="1" si="263"/>
        <v>4.9178419858748974</v>
      </c>
      <c r="T204" s="17">
        <f t="shared" ca="1" si="263"/>
        <v>6.6498461538461546</v>
      </c>
      <c r="U204" s="17">
        <f t="shared" ca="1" si="263"/>
        <v>8.3818503218174119</v>
      </c>
      <c r="V204" s="17">
        <f t="shared" ca="1" si="263"/>
        <v>10.11385448978867</v>
      </c>
      <c r="W204" s="17">
        <f t="shared" ca="1" si="263"/>
        <v>11.845858657759926</v>
      </c>
    </row>
    <row r="205" spans="15:23" ht="12.5">
      <c r="O205" s="23">
        <f t="shared" ref="O205:P205" ca="1" si="264">J117</f>
        <v>44317</v>
      </c>
      <c r="P205" s="4">
        <f t="shared" ca="1" si="264"/>
        <v>7.98</v>
      </c>
      <c r="Q205" s="17">
        <f t="shared" ref="Q205:W205" ca="1" si="265">Q204</f>
        <v>1.4538336499323821</v>
      </c>
      <c r="R205" s="17">
        <f t="shared" ca="1" si="265"/>
        <v>3.1858378179036393</v>
      </c>
      <c r="S205" s="17">
        <f t="shared" ca="1" si="265"/>
        <v>4.9178419858748974</v>
      </c>
      <c r="T205" s="17">
        <f t="shared" ca="1" si="265"/>
        <v>6.6498461538461546</v>
      </c>
      <c r="U205" s="17">
        <f t="shared" ca="1" si="265"/>
        <v>8.3818503218174119</v>
      </c>
      <c r="V205" s="17">
        <f t="shared" ca="1" si="265"/>
        <v>10.11385448978867</v>
      </c>
      <c r="W205" s="17">
        <f t="shared" ca="1" si="265"/>
        <v>11.845858657759926</v>
      </c>
    </row>
    <row r="206" spans="15:23" ht="12.5">
      <c r="O206" s="23">
        <f t="shared" ref="O206:P206" ca="1" si="266">J118</f>
        <v>44287</v>
      </c>
      <c r="P206" s="4">
        <f t="shared" ca="1" si="266"/>
        <v>8.41</v>
      </c>
      <c r="Q206" s="17">
        <f t="shared" ref="Q206:W206" ca="1" si="267">Q205</f>
        <v>1.4538336499323821</v>
      </c>
      <c r="R206" s="17">
        <f t="shared" ca="1" si="267"/>
        <v>3.1858378179036393</v>
      </c>
      <c r="S206" s="17">
        <f t="shared" ca="1" si="267"/>
        <v>4.9178419858748974</v>
      </c>
      <c r="T206" s="17">
        <f t="shared" ca="1" si="267"/>
        <v>6.6498461538461546</v>
      </c>
      <c r="U206" s="17">
        <f t="shared" ca="1" si="267"/>
        <v>8.3818503218174119</v>
      </c>
      <c r="V206" s="17">
        <f t="shared" ca="1" si="267"/>
        <v>10.11385448978867</v>
      </c>
      <c r="W206" s="17">
        <f t="shared" ca="1" si="267"/>
        <v>11.845858657759926</v>
      </c>
    </row>
  </sheetData>
  <phoneticPr fontId="43" type="noConversion"/>
  <conditionalFormatting sqref="J3:K39">
    <cfRule type="cellIs" priority="1" operator="between"/>
    <cfRule type="cellIs" priority="2" operator="greaterThan">
      <formula>0</formula>
    </cfRule>
    <cfRule type="cellIs" dxfId="19" priority="5" operator="greaterThan">
      <formula>0</formula>
    </cfRule>
    <cfRule type="cellIs" dxfId="18" priority="6" operator="lessThan">
      <formula>0</formula>
    </cfRule>
  </conditionalFormatting>
  <conditionalFormatting sqref="O3:R39">
    <cfRule type="cellIs" priority="4" operator="greaterThan">
      <formula>0</formula>
    </cfRule>
    <cfRule type="cellIs" dxfId="17" priority="7" operator="greaterThan">
      <formula>0</formula>
    </cfRule>
    <cfRule type="cellIs" dxfId="16" priority="8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DA75-E84B-43A6-ADF2-53BD99F59919}">
  <sheetPr>
    <tabColor rgb="FF4472C4"/>
  </sheetPr>
  <dimension ref="A1:F37"/>
  <sheetViews>
    <sheetView showGridLines="0" zoomScale="145" zoomScaleNormal="145" workbookViewId="0">
      <pane ySplit="2" topLeftCell="A24" activePane="bottomLeft" state="frozen"/>
      <selection pane="bottomLeft" activeCell="C30" sqref="C30"/>
    </sheetView>
  </sheetViews>
  <sheetFormatPr defaultRowHeight="12.5"/>
  <cols>
    <col min="1" max="1" width="30.90625" customWidth="1"/>
    <col min="2" max="4" width="14.1796875" customWidth="1"/>
    <col min="5" max="5" width="23.08984375" bestFit="1" customWidth="1"/>
    <col min="6" max="6" width="14.1796875" customWidth="1"/>
  </cols>
  <sheetData>
    <row r="1" spans="1:6" ht="18">
      <c r="A1" s="267" t="str">
        <f ca="1">"財報健檢 — "&amp;股價預估!C1&amp;"("&amp;股價預估!E1&amp;")"</f>
        <v>財報健檢 — 台積電(2330)</v>
      </c>
    </row>
    <row r="2" spans="1:6">
      <c r="A2" s="268" t="s">
        <v>210</v>
      </c>
    </row>
    <row r="4" spans="1:6" ht="13">
      <c r="A4" s="271" t="s">
        <v>211</v>
      </c>
      <c r="B4" s="272" t="s">
        <v>212</v>
      </c>
      <c r="C4" s="272" t="s">
        <v>213</v>
      </c>
      <c r="D4" s="272" t="s">
        <v>214</v>
      </c>
      <c r="E4" s="272" t="s">
        <v>215</v>
      </c>
      <c r="F4" s="273" t="s">
        <v>216</v>
      </c>
    </row>
    <row r="5" spans="1:6">
      <c r="A5" s="263" t="s">
        <v>217</v>
      </c>
      <c r="B5" s="274">
        <v>3518.01</v>
      </c>
      <c r="C5" s="274">
        <v>3383.6</v>
      </c>
      <c r="D5" s="274">
        <v>2634.43</v>
      </c>
      <c r="E5" s="275">
        <f>B5/C5-1</f>
        <v>3.9723962643338551E-2</v>
      </c>
      <c r="F5" s="276">
        <f>B5/D5-1</f>
        <v>0.33539703085676997</v>
      </c>
    </row>
    <row r="6" spans="1:6">
      <c r="A6" s="263" t="s">
        <v>218</v>
      </c>
      <c r="B6" s="274">
        <v>440.92</v>
      </c>
      <c r="C6" s="274">
        <v>363.01</v>
      </c>
      <c r="D6" s="274">
        <v>235.69</v>
      </c>
      <c r="E6" s="275">
        <f t="shared" ref="E6:E14" si="0">B6/C6-1</f>
        <v>0.21462218671661937</v>
      </c>
      <c r="F6" s="276">
        <f t="shared" ref="F6:F14" si="1">B6/D6-1</f>
        <v>0.87076244219101362</v>
      </c>
    </row>
    <row r="7" spans="1:6">
      <c r="A7" s="263" t="s">
        <v>219</v>
      </c>
      <c r="B7" s="274">
        <v>385.53</v>
      </c>
      <c r="C7" s="274">
        <v>311.45</v>
      </c>
      <c r="D7" s="274">
        <v>304.19</v>
      </c>
      <c r="E7" s="275">
        <f t="shared" si="0"/>
        <v>0.23785519344999195</v>
      </c>
      <c r="F7" s="276">
        <f t="shared" si="1"/>
        <v>0.26739866530786682</v>
      </c>
    </row>
    <row r="8" spans="1:6">
      <c r="A8" s="263" t="s">
        <v>220</v>
      </c>
      <c r="B8" s="274">
        <v>227.93</v>
      </c>
      <c r="C8" s="274">
        <v>166.57</v>
      </c>
      <c r="D8" s="274">
        <v>137.43</v>
      </c>
      <c r="E8" s="275">
        <f t="shared" si="0"/>
        <v>0.36837365672089817</v>
      </c>
      <c r="F8" s="276">
        <f t="shared" si="1"/>
        <v>0.65851706323219084</v>
      </c>
    </row>
    <row r="9" spans="1:6">
      <c r="A9" s="263" t="s">
        <v>221</v>
      </c>
      <c r="B9" s="274">
        <v>4302.88</v>
      </c>
      <c r="C9" s="274">
        <v>3954.68</v>
      </c>
      <c r="D9" s="274">
        <v>3386.21</v>
      </c>
      <c r="E9" s="275">
        <f t="shared" si="0"/>
        <v>8.8047579070873017E-2</v>
      </c>
      <c r="F9" s="276">
        <f t="shared" si="1"/>
        <v>0.27070677837464308</v>
      </c>
    </row>
    <row r="10" spans="1:6" ht="13">
      <c r="A10" s="277" t="s">
        <v>222</v>
      </c>
      <c r="B10" s="278">
        <v>9375.65</v>
      </c>
      <c r="C10" s="278">
        <v>8660.9500000000007</v>
      </c>
      <c r="D10" s="278">
        <v>7006.35</v>
      </c>
      <c r="E10" s="275">
        <f t="shared" si="0"/>
        <v>8.2519815955524267E-2</v>
      </c>
      <c r="F10" s="276">
        <f t="shared" si="1"/>
        <v>0.3381646649111163</v>
      </c>
    </row>
    <row r="11" spans="1:6">
      <c r="A11" s="263" t="s">
        <v>223</v>
      </c>
      <c r="B11" s="274">
        <v>1857.76</v>
      </c>
      <c r="C11" s="274">
        <v>1714.25</v>
      </c>
      <c r="D11" s="274">
        <v>1377.31</v>
      </c>
      <c r="E11" s="275">
        <f t="shared" si="0"/>
        <v>8.3715910748140665E-2</v>
      </c>
      <c r="F11" s="276">
        <f t="shared" si="1"/>
        <v>0.34883214381657002</v>
      </c>
    </row>
    <row r="12" spans="1:6">
      <c r="A12" s="263" t="s">
        <v>224</v>
      </c>
      <c r="B12" s="274">
        <v>864.27</v>
      </c>
      <c r="C12" s="274">
        <v>901.02</v>
      </c>
      <c r="D12" s="274">
        <v>883.67</v>
      </c>
      <c r="E12" s="275">
        <f t="shared" si="0"/>
        <v>-4.0787107944329715E-2</v>
      </c>
      <c r="F12" s="276">
        <f t="shared" si="1"/>
        <v>-2.1953896816684915E-2</v>
      </c>
    </row>
    <row r="13" spans="1:6" ht="13">
      <c r="A13" s="277" t="s">
        <v>225</v>
      </c>
      <c r="B13" s="278">
        <v>2901.18</v>
      </c>
      <c r="C13" s="278">
        <v>2728.56</v>
      </c>
      <c r="D13" s="278">
        <v>2389.7199999999998</v>
      </c>
      <c r="E13" s="275">
        <f t="shared" si="0"/>
        <v>6.3264139326237867E-2</v>
      </c>
      <c r="F13" s="276">
        <f t="shared" si="1"/>
        <v>0.21402507406725468</v>
      </c>
    </row>
    <row r="14" spans="1:6" ht="13">
      <c r="A14" s="279" t="s">
        <v>226</v>
      </c>
      <c r="B14" s="280">
        <v>6474.47</v>
      </c>
      <c r="C14" s="280">
        <v>5932.39</v>
      </c>
      <c r="D14" s="280">
        <v>4616.63</v>
      </c>
      <c r="E14" s="281">
        <f t="shared" si="0"/>
        <v>9.1376325561872918E-2</v>
      </c>
      <c r="F14" s="282">
        <f t="shared" si="1"/>
        <v>0.40242341274912663</v>
      </c>
    </row>
    <row r="16" spans="1:6" ht="13">
      <c r="A16" s="271" t="s">
        <v>227</v>
      </c>
      <c r="B16" s="272" t="s">
        <v>212</v>
      </c>
      <c r="C16" s="272" t="s">
        <v>213</v>
      </c>
      <c r="D16" s="272" t="s">
        <v>214</v>
      </c>
      <c r="E16" s="272" t="s">
        <v>215</v>
      </c>
      <c r="F16" s="273" t="s">
        <v>216</v>
      </c>
    </row>
    <row r="17" spans="1:6">
      <c r="A17" s="263" t="s">
        <v>228</v>
      </c>
      <c r="B17" s="274">
        <v>3035.64</v>
      </c>
      <c r="C17" s="274">
        <v>2767.86</v>
      </c>
      <c r="D17" s="274">
        <v>2394.8000000000002</v>
      </c>
      <c r="E17" s="275"/>
      <c r="F17" s="276"/>
    </row>
    <row r="18" spans="1:6">
      <c r="A18" s="263" t="s">
        <v>229</v>
      </c>
      <c r="B18" s="274">
        <v>783.36</v>
      </c>
      <c r="C18" s="274">
        <v>698.97</v>
      </c>
      <c r="D18" s="274">
        <v>497.07</v>
      </c>
      <c r="E18" s="275"/>
      <c r="F18" s="276"/>
    </row>
    <row r="19" spans="1:6">
      <c r="A19" s="263" t="s">
        <v>230</v>
      </c>
      <c r="B19" s="274">
        <v>-496</v>
      </c>
      <c r="C19" s="274">
        <v>-350.76</v>
      </c>
      <c r="D19" s="274">
        <v>-297.22000000000003</v>
      </c>
      <c r="E19" s="275"/>
      <c r="F19" s="276"/>
    </row>
    <row r="20" spans="1:6">
      <c r="A20" s="263" t="s">
        <v>69</v>
      </c>
      <c r="B20" s="274">
        <v>-155.59</v>
      </c>
      <c r="C20" s="274">
        <v>-129.66</v>
      </c>
      <c r="D20" s="274">
        <v>-116.7</v>
      </c>
      <c r="E20" s="275"/>
      <c r="F20" s="276"/>
    </row>
    <row r="21" spans="1:6">
      <c r="A21" s="263" t="s">
        <v>231</v>
      </c>
      <c r="B21" s="274">
        <v>-31.66</v>
      </c>
      <c r="C21" s="274">
        <v>12.4</v>
      </c>
      <c r="D21" s="274">
        <v>3.7</v>
      </c>
      <c r="E21" s="275"/>
      <c r="F21" s="276"/>
    </row>
    <row r="22" spans="1:6">
      <c r="A22" s="263" t="s">
        <v>232</v>
      </c>
      <c r="B22" s="274">
        <v>-1.53</v>
      </c>
      <c r="C22" s="274">
        <v>36.83</v>
      </c>
      <c r="D22" s="274">
        <v>-117.13</v>
      </c>
      <c r="E22" s="275"/>
      <c r="F22" s="276"/>
    </row>
    <row r="23" spans="1:6" ht="13">
      <c r="A23" s="277" t="s">
        <v>233</v>
      </c>
      <c r="B23" s="278">
        <f>SUM(B17:B22)</f>
        <v>3134.22</v>
      </c>
      <c r="C23" s="278">
        <f>SUM(C17:C22)</f>
        <v>3035.64</v>
      </c>
      <c r="D23" s="278">
        <f>SUM(D17:D22)</f>
        <v>2364.5200000000004</v>
      </c>
      <c r="E23" s="275"/>
      <c r="F23" s="276"/>
    </row>
    <row r="24" spans="1:6" ht="13">
      <c r="A24" s="283" t="s">
        <v>234</v>
      </c>
      <c r="B24" s="284">
        <f>B18+B19</f>
        <v>287.36</v>
      </c>
      <c r="C24" s="284">
        <f>C18+C19</f>
        <v>348.21000000000004</v>
      </c>
      <c r="D24" s="284">
        <f>D18+D19</f>
        <v>199.84999999999997</v>
      </c>
      <c r="E24" s="281"/>
      <c r="F24" s="282"/>
    </row>
    <row r="26" spans="1:6" ht="13">
      <c r="A26" s="271" t="s">
        <v>235</v>
      </c>
      <c r="B26" s="272" t="s">
        <v>212</v>
      </c>
      <c r="C26" s="272" t="s">
        <v>213</v>
      </c>
      <c r="D26" s="272" t="s">
        <v>214</v>
      </c>
      <c r="E26" s="273" t="s">
        <v>236</v>
      </c>
    </row>
    <row r="27" spans="1:6">
      <c r="A27" s="263" t="s">
        <v>237</v>
      </c>
      <c r="B27" s="285">
        <f>B13/B10</f>
        <v>0.30943774564963494</v>
      </c>
      <c r="C27" s="285">
        <f>C13/C10</f>
        <v>0.31504165247461302</v>
      </c>
      <c r="D27" s="285">
        <f>D13/D10</f>
        <v>0.34107916390131804</v>
      </c>
      <c r="E27" s="286" t="s">
        <v>238</v>
      </c>
    </row>
    <row r="28" spans="1:6">
      <c r="A28" s="263" t="s">
        <v>239</v>
      </c>
      <c r="B28" s="266">
        <v>2.5</v>
      </c>
      <c r="C28" s="266">
        <v>2.5</v>
      </c>
      <c r="D28" s="266">
        <v>2.4</v>
      </c>
      <c r="E28" s="286" t="s">
        <v>240</v>
      </c>
    </row>
    <row r="29" spans="1:6">
      <c r="A29" s="263" t="s">
        <v>241</v>
      </c>
      <c r="B29" s="266">
        <v>29</v>
      </c>
      <c r="C29" s="266">
        <v>26</v>
      </c>
      <c r="D29" s="266">
        <v>23</v>
      </c>
      <c r="E29" s="286" t="s">
        <v>242</v>
      </c>
    </row>
    <row r="30" spans="1:6">
      <c r="A30" s="263" t="s">
        <v>243</v>
      </c>
      <c r="B30" s="266">
        <v>87</v>
      </c>
      <c r="C30" s="266">
        <v>80</v>
      </c>
      <c r="D30" s="266">
        <v>76</v>
      </c>
      <c r="E30" s="286" t="s">
        <v>242</v>
      </c>
    </row>
    <row r="31" spans="1:6">
      <c r="A31" s="263" t="s">
        <v>244</v>
      </c>
      <c r="B31" s="287">
        <f ca="1">營業費用!E9/10^6</f>
        <v>706.78092300000003</v>
      </c>
      <c r="C31" s="287">
        <f ca="1">營業費用!D9/10^6</f>
        <v>572.80130399999996</v>
      </c>
      <c r="D31" s="287">
        <v>398.27</v>
      </c>
      <c r="E31" s="286" t="s">
        <v>245</v>
      </c>
    </row>
    <row r="32" spans="1:6">
      <c r="A32" s="263" t="s">
        <v>246</v>
      </c>
      <c r="B32" s="288">
        <f ca="1">B18/B31</f>
        <v>1.1083491001355168</v>
      </c>
      <c r="C32" s="288">
        <f ca="1">C18/C31</f>
        <v>1.2202660767685685</v>
      </c>
      <c r="D32" s="288">
        <f>D18/D31</f>
        <v>1.2480729153589274</v>
      </c>
      <c r="E32" s="286" t="s">
        <v>247</v>
      </c>
    </row>
    <row r="33" spans="1:5">
      <c r="A33" s="263" t="s">
        <v>248</v>
      </c>
      <c r="B33" s="285">
        <f>-B19/B18</f>
        <v>0.63316993464052285</v>
      </c>
      <c r="C33" s="285">
        <f>-C19/C18</f>
        <v>0.50182411262285931</v>
      </c>
      <c r="D33" s="285">
        <f>-D19/D18</f>
        <v>0.5979439515561189</v>
      </c>
      <c r="E33" s="286" t="s">
        <v>249</v>
      </c>
    </row>
    <row r="34" spans="1:5">
      <c r="A34" s="263" t="s">
        <v>250</v>
      </c>
      <c r="B34" s="285">
        <f>-B20/B24</f>
        <v>0.54144626948775054</v>
      </c>
      <c r="C34" s="285">
        <f>-C20/C24</f>
        <v>0.37236150598776596</v>
      </c>
      <c r="D34" s="285">
        <f>-D20/D24</f>
        <v>0.58393795346509891</v>
      </c>
      <c r="E34" s="286" t="s">
        <v>251</v>
      </c>
    </row>
    <row r="35" spans="1:5">
      <c r="A35" s="263" t="s">
        <v>252</v>
      </c>
      <c r="B35" s="289">
        <v>25932</v>
      </c>
      <c r="C35" s="266"/>
      <c r="D35" s="266"/>
      <c r="E35" s="286" t="s">
        <v>253</v>
      </c>
    </row>
    <row r="36" spans="1:5" ht="13">
      <c r="A36" s="277" t="s">
        <v>254</v>
      </c>
      <c r="B36" s="290">
        <f>B14*1000/B35</f>
        <v>249.67106277957737</v>
      </c>
      <c r="C36" s="266"/>
      <c r="D36" s="266"/>
      <c r="E36" s="291" t="s">
        <v>255</v>
      </c>
    </row>
    <row r="37" spans="1:5" ht="13">
      <c r="A37" s="279" t="s">
        <v>256</v>
      </c>
      <c r="B37" s="292">
        <f ca="1">股價預估!C3/B36</f>
        <v>9.5926214809860877</v>
      </c>
      <c r="C37" s="293"/>
      <c r="D37" s="293"/>
      <c r="E37" s="294" t="s">
        <v>257</v>
      </c>
    </row>
  </sheetData>
  <phoneticPr fontId="43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  <outlinePr summaryBelow="0" summaryRight="0"/>
  </sheetPr>
  <dimension ref="A1:AL1000"/>
  <sheetViews>
    <sheetView workbookViewId="0">
      <pane ySplit="2" topLeftCell="A18" activePane="bottomLeft" state="frozen"/>
      <selection pane="bottomLeft" activeCell="H36" sqref="H36"/>
    </sheetView>
  </sheetViews>
  <sheetFormatPr defaultColWidth="12.6328125" defaultRowHeight="15.75" customHeight="1"/>
  <cols>
    <col min="1" max="3" width="13.81640625" customWidth="1"/>
    <col min="4" max="4" width="22.90625" customWidth="1"/>
    <col min="5" max="13" width="13.81640625" customWidth="1"/>
    <col min="14" max="29" width="12.7265625" customWidth="1"/>
  </cols>
  <sheetData>
    <row r="1" spans="1:38" ht="15.75" customHeight="1">
      <c r="A1" s="480" t="s">
        <v>68</v>
      </c>
      <c r="B1" s="481">
        <f ca="1">F1-4</f>
        <v>2022</v>
      </c>
      <c r="C1" s="481">
        <f ca="1">F1-3</f>
        <v>2023</v>
      </c>
      <c r="D1" s="481">
        <f ca="1">F1-2</f>
        <v>2024</v>
      </c>
      <c r="E1" s="481">
        <f ca="1">F1-1</f>
        <v>2025</v>
      </c>
      <c r="F1" s="481">
        <f ca="1">IF(ISBLANK(N3),T54,N3)</f>
        <v>2026</v>
      </c>
      <c r="G1" s="482" t="str">
        <f ca="1">IF(ISBLANK(股價預估!C3)," ",F1+1&amp;"預估")</f>
        <v>2027預估</v>
      </c>
      <c r="H1" s="52"/>
      <c r="I1" s="493" t="str">
        <f ca="1">"★ 2027預估股利 "&amp;TEXT(G2,"0.00")&amp;" 元　預估殖利率 "&amp;TEXT(G4,"0.00%")&amp;"　近4年平均發放率 "&amp;TEXT(AVERAGE(B3:E3),"0.0")&amp;"%"</f>
        <v>★ 2027預估股利 34.12 元　預估殖利率 1.42%　近4年平均發放率 34.8%</v>
      </c>
      <c r="J1" s="492"/>
      <c r="K1" s="492"/>
      <c r="L1" s="492"/>
      <c r="M1" s="492"/>
      <c r="N1" s="515" t="str">
        <f ca="1">IFERROR(__xludf.DUMMYFUNCTION("IMPORTHTML(SUBSTITUTE(""https://www.cmoney.tw/forum/stock/股票代碼?s=dividend"", ""股票代碼"",'股價預估'!E1),""table"",0)"),"除權息年度")</f>
        <v>除權息年度</v>
      </c>
      <c r="O1" s="516" t="str">
        <f ca="1">IFERROR(__xludf.DUMMYFUNCTION("""COMPUTED_VALUE"""),"現金股利(元)")</f>
        <v>現金股利(元)</v>
      </c>
      <c r="P1" s="516"/>
      <c r="Q1" s="516"/>
      <c r="R1" s="516"/>
      <c r="S1" s="516"/>
      <c r="T1" s="516" t="str">
        <f ca="1">IFERROR(__xludf.DUMMYFUNCTION("""COMPUTED_VALUE"""),"股票股利(股)")</f>
        <v>股票股利(股)</v>
      </c>
      <c r="U1" s="516"/>
      <c r="V1" s="516"/>
      <c r="W1" s="516"/>
      <c r="X1" s="516" t="str">
        <f ca="1">IFERROR(__xludf.DUMMYFUNCTION("""COMPUTED_VALUE"""),"股利合計")</f>
        <v>股利合計</v>
      </c>
      <c r="Y1" s="516" t="str">
        <f ca="1">IFERROR(__xludf.DUMMYFUNCTION("""COMPUTED_VALUE"""),"殖利率(%)")</f>
        <v>殖利率(%)</v>
      </c>
      <c r="Z1" s="516" t="str">
        <f ca="1">IFERROR(__xludf.DUMMYFUNCTION("""COMPUTED_VALUE"""),"盈餘分配率(%)")</f>
        <v>盈餘分配率(%)</v>
      </c>
      <c r="AA1" s="516"/>
      <c r="AB1" s="516"/>
      <c r="AC1" s="517"/>
      <c r="AD1" s="52"/>
      <c r="AE1" s="52"/>
      <c r="AF1" s="52"/>
      <c r="AG1" s="52"/>
      <c r="AH1" s="52"/>
      <c r="AI1" s="52"/>
      <c r="AJ1" s="52"/>
      <c r="AK1" s="52"/>
      <c r="AL1" s="52"/>
    </row>
    <row r="2" spans="1:38" ht="15.75" customHeight="1">
      <c r="A2" s="483" t="s">
        <v>69</v>
      </c>
      <c r="B2" s="489">
        <f ca="1">IFERROR(VLOOKUP(B1,N1:AC40,16,FALSE),P55)</f>
        <v>10.974</v>
      </c>
      <c r="C2" s="489">
        <f ca="1">IFERROR(VLOOKUP(C1,N1:AC40,16,FALSE),Q55)</f>
        <v>12.998699999999999</v>
      </c>
      <c r="D2" s="489">
        <f ca="1">IFERROR(VLOOKUP(D1,N1:AC40,16,FALSE),R55)</f>
        <v>17.04</v>
      </c>
      <c r="E2" s="490">
        <f ca="1">IFERROR(VLOOKUP(E1,N1:AC40,16,FALSE),S55)</f>
        <v>22.099</v>
      </c>
      <c r="F2" s="490" t="str">
        <f ca="1">IFERROR(VLOOKUP(F1,N1:AC40,16,FALSE),T55)</f>
        <v>-</v>
      </c>
      <c r="G2" s="485">
        <f ca="1">IF(ISBLANK(股價預估!C3)," ",股價預估!J43)</f>
        <v>34.117308958488508</v>
      </c>
      <c r="H2" s="52"/>
      <c r="I2" s="52"/>
      <c r="J2" s="52"/>
      <c r="K2" s="52"/>
      <c r="L2" s="52"/>
      <c r="M2" s="52"/>
      <c r="N2" s="518"/>
      <c r="O2" s="519" t="str">
        <f ca="1">IFERROR(__xludf.DUMMYFUNCTION("""COMPUTED_VALUE"""),"股利")</f>
        <v>股利</v>
      </c>
      <c r="P2" s="519" t="str">
        <f ca="1">IFERROR(__xludf.DUMMYFUNCTION("""COMPUTED_VALUE"""),"除息日")</f>
        <v>除息日</v>
      </c>
      <c r="Q2" s="519" t="str">
        <f ca="1">IFERROR(__xludf.DUMMYFUNCTION("""COMPUTED_VALUE"""),"發放日")</f>
        <v>發放日</v>
      </c>
      <c r="R2" s="519" t="str">
        <f ca="1">IFERROR(__xludf.DUMMYFUNCTION("""COMPUTED_VALUE"""),"除息前 
股價")</f>
        <v>除息前 
股價</v>
      </c>
      <c r="S2" s="519" t="str">
        <f ca="1">IFERROR(__xludf.DUMMYFUNCTION("""COMPUTED_VALUE"""),"填息 
天數")</f>
        <v>填息 
天數</v>
      </c>
      <c r="T2" s="519" t="str">
        <f ca="1">IFERROR(__xludf.DUMMYFUNCTION("""COMPUTED_VALUE"""),"股利")</f>
        <v>股利</v>
      </c>
      <c r="U2" s="519" t="str">
        <f ca="1">IFERROR(__xludf.DUMMYFUNCTION("""COMPUTED_VALUE"""),"除權日")</f>
        <v>除權日</v>
      </c>
      <c r="V2" s="519" t="str">
        <f ca="1">IFERROR(__xludf.DUMMYFUNCTION("""COMPUTED_VALUE"""),"除權前 
股價")</f>
        <v>除權前 
股價</v>
      </c>
      <c r="W2" s="519" t="str">
        <f ca="1">IFERROR(__xludf.DUMMYFUNCTION("""COMPUTED_VALUE"""),"填權 
天數")</f>
        <v>填權 
天數</v>
      </c>
      <c r="X2" s="519"/>
      <c r="Y2" s="519"/>
      <c r="Z2" s="519" t="str">
        <f ca="1">IFERROR(__xludf.DUMMYFUNCTION("""COMPUTED_VALUE"""),"配息")</f>
        <v>配息</v>
      </c>
      <c r="AA2" s="519" t="str">
        <f ca="1">IFERROR(__xludf.DUMMYFUNCTION("""COMPUTED_VALUE"""),"配股")</f>
        <v>配股</v>
      </c>
      <c r="AB2" s="519" t="str">
        <f ca="1">IFERROR(__xludf.DUMMYFUNCTION("""COMPUTED_VALUE"""),"合計")</f>
        <v>合計</v>
      </c>
      <c r="AC2" s="520"/>
      <c r="AD2" s="52"/>
      <c r="AE2" s="52"/>
      <c r="AF2" s="52"/>
      <c r="AG2" s="52"/>
      <c r="AH2" s="52"/>
      <c r="AI2" s="52"/>
      <c r="AJ2" s="52"/>
      <c r="AK2" s="52"/>
      <c r="AL2" s="52"/>
    </row>
    <row r="3" spans="1:38" ht="15.75" customHeight="1">
      <c r="A3" s="483" t="s">
        <v>70</v>
      </c>
      <c r="B3" s="484">
        <f ca="1">IFERROR(VLOOKUP(B1,N1:AB26,15,FALSE),P56)</f>
        <v>28.1</v>
      </c>
      <c r="C3" s="484">
        <f ca="1">IFERROR(VLOOKUP(C1,N1:AB26,15,FALSE),Q56)</f>
        <v>40.200000000000003</v>
      </c>
      <c r="D3" s="484">
        <f ca="1">IFERROR(VLOOKUP(D1,N1:AB26,15,FALSE),R56)</f>
        <v>37.6</v>
      </c>
      <c r="E3" s="484">
        <f ca="1">IFERROR(VLOOKUP(E1,N1:AB26,15,FALSE),S56)</f>
        <v>33.200000000000003</v>
      </c>
      <c r="F3" s="484" t="str">
        <f ca="1">IFERROR(VLOOKUP(F1,N1:AB26,15,FALSE),T56)</f>
        <v>-</v>
      </c>
      <c r="G3" s="491">
        <f ca="1">IF(ISBLANK(股價預估!C3)," ",股價預估!A29)</f>
        <v>0.34775000000000006</v>
      </c>
      <c r="H3" s="52"/>
      <c r="I3" s="52"/>
      <c r="J3" s="52"/>
      <c r="K3" s="52"/>
      <c r="L3" s="52"/>
      <c r="M3" s="52"/>
      <c r="N3" s="494">
        <f ca="1">IFERROR(__xludf.DUMMYFUNCTION("""COMPUTED_VALUE"""),2026)</f>
        <v>2026</v>
      </c>
      <c r="O3" s="513">
        <f ca="1">IFERROR(__xludf.DUMMYFUNCTION("""COMPUTED_VALUE"""),7)</f>
        <v>7</v>
      </c>
      <c r="P3" s="508">
        <f ca="1">IFERROR(__xludf.DUMMYFUNCTION("""COMPUTED_VALUE"""),46366)</f>
        <v>46366</v>
      </c>
      <c r="Q3" s="508">
        <f ca="1">IFERROR(__xludf.DUMMYFUNCTION("""COMPUTED_VALUE"""),46394)</f>
        <v>46394</v>
      </c>
      <c r="R3" s="495" t="str">
        <f ca="1">IFERROR(__xludf.DUMMYFUNCTION("""COMPUTED_VALUE"""),"-")</f>
        <v>-</v>
      </c>
      <c r="S3" s="495" t="str">
        <f ca="1">IFERROR(__xludf.DUMMYFUNCTION("""COMPUTED_VALUE"""),"-")</f>
        <v>-</v>
      </c>
      <c r="T3" s="513">
        <f ca="1">IFERROR(__xludf.DUMMYFUNCTION("""COMPUTED_VALUE"""),0)</f>
        <v>0</v>
      </c>
      <c r="U3" s="508" t="str">
        <f ca="1">IFERROR(__xludf.DUMMYFUNCTION("""COMPUTED_VALUE"""),"-")</f>
        <v>-</v>
      </c>
      <c r="V3" s="495" t="str">
        <f ca="1">IFERROR(__xludf.DUMMYFUNCTION("""COMPUTED_VALUE"""),"-")</f>
        <v>-</v>
      </c>
      <c r="W3" s="495" t="str">
        <f ca="1">IFERROR(__xludf.DUMMYFUNCTION("""COMPUTED_VALUE"""),"-")</f>
        <v>-</v>
      </c>
      <c r="X3" s="513">
        <f ca="1">IFERROR(__xludf.DUMMYFUNCTION("""COMPUTED_VALUE"""),7)</f>
        <v>7</v>
      </c>
      <c r="Y3" s="524" t="str">
        <f ca="1">IFERROR(__xludf.DUMMYFUNCTION("""COMPUTED_VALUE"""),"-")</f>
        <v>-</v>
      </c>
      <c r="Z3" s="524" t="str">
        <f ca="1">IFERROR(__xludf.DUMMYFUNCTION("""COMPUTED_VALUE"""),"-")</f>
        <v>-</v>
      </c>
      <c r="AA3" s="495" t="str">
        <f ca="1">IFERROR(__xludf.DUMMYFUNCTION("""COMPUTED_VALUE"""),"-")</f>
        <v>-</v>
      </c>
      <c r="AB3" s="495" t="str">
        <f ca="1">IFERROR(__xludf.DUMMYFUNCTION("""COMPUTED_VALUE"""),"-")</f>
        <v>-</v>
      </c>
      <c r="AC3" s="521" t="str">
        <f ca="1">IFERROR(R3*Y3/100,IFERROR(R4*Y3/100,"-"))</f>
        <v>-</v>
      </c>
      <c r="AD3" s="52"/>
      <c r="AE3" s="52"/>
      <c r="AF3" s="52"/>
      <c r="AG3" s="52"/>
      <c r="AH3" s="52"/>
      <c r="AI3" s="52"/>
      <c r="AJ3" s="52"/>
      <c r="AK3" s="52"/>
      <c r="AL3" s="52"/>
    </row>
    <row r="4" spans="1:38" ht="15.75" customHeight="1" thickBot="1">
      <c r="A4" s="486" t="s">
        <v>262</v>
      </c>
      <c r="B4" s="487">
        <f ca="1">VLOOKUP(B1,N1:AB26,12,FALSE)/100</f>
        <v>1.8600000000000002E-2</v>
      </c>
      <c r="C4" s="487">
        <f ca="1">VLOOKUP(C1,N1:AB26,12,FALSE)/100</f>
        <v>1.43E-2</v>
      </c>
      <c r="D4" s="487">
        <f ca="1">VLOOKUP(D1,N1:AB26,12,FALSE)/100</f>
        <v>1.6E-2</v>
      </c>
      <c r="E4" s="487">
        <f ca="1">VLOOKUP(E1,N1:AB26,12,FALSE)/100</f>
        <v>9.7999999999999997E-3</v>
      </c>
      <c r="F4" s="487" t="str">
        <f ca="1">IFERROR(IF(VLOOKUP(F1,N1:AC40,5,FALSE)="-",F2/股價預估!C3,VLOOKUP(F1,N1:AC40,12,FALSE)/100),"-")</f>
        <v>-</v>
      </c>
      <c r="G4" s="488">
        <f ca="1">IF(ISBLANK(股價預估!C3)," ",股價預估!J45)</f>
        <v>1.424522294717683E-2</v>
      </c>
      <c r="H4" s="52"/>
      <c r="I4" s="52"/>
      <c r="J4" s="52"/>
      <c r="K4" s="52"/>
      <c r="L4" s="52"/>
      <c r="M4" s="52"/>
      <c r="N4" s="494"/>
      <c r="O4" s="513">
        <f ca="1">IFERROR(__xludf.DUMMYFUNCTION("""COMPUTED_VALUE"""),7)</f>
        <v>7</v>
      </c>
      <c r="P4" s="508">
        <f ca="1">IFERROR(__xludf.DUMMYFUNCTION("""COMPUTED_VALUE"""),46281)</f>
        <v>46281</v>
      </c>
      <c r="Q4" s="508">
        <f ca="1">IFERROR(__xludf.DUMMYFUNCTION("""COMPUTED_VALUE"""),46303)</f>
        <v>46303</v>
      </c>
      <c r="R4" s="495" t="str">
        <f ca="1">IFERROR(__xludf.DUMMYFUNCTION("""COMPUTED_VALUE"""),"-")</f>
        <v>-</v>
      </c>
      <c r="S4" s="495" t="str">
        <f ca="1">IFERROR(__xludf.DUMMYFUNCTION("""COMPUTED_VALUE"""),"-")</f>
        <v>-</v>
      </c>
      <c r="T4" s="513">
        <f ca="1">IFERROR(__xludf.DUMMYFUNCTION("""COMPUTED_VALUE"""),0)</f>
        <v>0</v>
      </c>
      <c r="U4" s="508" t="str">
        <f ca="1">IFERROR(__xludf.DUMMYFUNCTION("""COMPUTED_VALUE"""),"-")</f>
        <v>-</v>
      </c>
      <c r="V4" s="495" t="str">
        <f ca="1">IFERROR(__xludf.DUMMYFUNCTION("""COMPUTED_VALUE"""),"-")</f>
        <v>-</v>
      </c>
      <c r="W4" s="495" t="str">
        <f ca="1">IFERROR(__xludf.DUMMYFUNCTION("""COMPUTED_VALUE"""),"-")</f>
        <v>-</v>
      </c>
      <c r="X4" s="513">
        <f ca="1">IFERROR(__xludf.DUMMYFUNCTION("""COMPUTED_VALUE"""),7)</f>
        <v>7</v>
      </c>
      <c r="Y4" s="524"/>
      <c r="Z4" s="524"/>
      <c r="AA4" s="495"/>
      <c r="AB4" s="495"/>
      <c r="AC4" s="521" t="str">
        <f ca="1">IFERROR(R4*Y4/100,"-")</f>
        <v>-</v>
      </c>
      <c r="AD4" s="52"/>
      <c r="AE4" s="52"/>
      <c r="AF4" s="52"/>
      <c r="AG4" s="52"/>
      <c r="AH4" s="52"/>
      <c r="AI4" s="52"/>
      <c r="AJ4" s="52"/>
      <c r="AK4" s="52"/>
      <c r="AL4" s="52"/>
    </row>
    <row r="5" spans="1:38" ht="15.75" customHeight="1" thickBo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494">
        <f ca="1">IFERROR(__xludf.DUMMYFUNCTION("""COMPUTED_VALUE"""),2025)</f>
        <v>2025</v>
      </c>
      <c r="O5" s="513">
        <f ca="1">IFERROR(__xludf.DUMMYFUNCTION("""COMPUTED_VALUE"""),6)</f>
        <v>6</v>
      </c>
      <c r="P5" s="508">
        <f ca="1">IFERROR(__xludf.DUMMYFUNCTION("""COMPUTED_VALUE"""),46184)</f>
        <v>46184</v>
      </c>
      <c r="Q5" s="508">
        <f ca="1">IFERROR(__xludf.DUMMYFUNCTION("""COMPUTED_VALUE"""),46212)</f>
        <v>46212</v>
      </c>
      <c r="R5" s="495">
        <f ca="1">IFERROR(__xludf.DUMMYFUNCTION("""COMPUTED_VALUE"""),2255)</f>
        <v>2255</v>
      </c>
      <c r="S5" s="495">
        <f ca="1">IFERROR(__xludf.DUMMYFUNCTION("""COMPUTED_VALUE"""),2)</f>
        <v>2</v>
      </c>
      <c r="T5" s="513">
        <f ca="1">IFERROR(__xludf.DUMMYFUNCTION("""COMPUTED_VALUE"""),0)</f>
        <v>0</v>
      </c>
      <c r="U5" s="508" t="str">
        <f ca="1">IFERROR(__xludf.DUMMYFUNCTION("""COMPUTED_VALUE"""),"-")</f>
        <v>-</v>
      </c>
      <c r="V5" s="495" t="str">
        <f ca="1">IFERROR(__xludf.DUMMYFUNCTION("""COMPUTED_VALUE"""),"-")</f>
        <v>-</v>
      </c>
      <c r="W5" s="495" t="str">
        <f ca="1">IFERROR(__xludf.DUMMYFUNCTION("""COMPUTED_VALUE"""),"-")</f>
        <v>-</v>
      </c>
      <c r="X5" s="513">
        <f ca="1">IFERROR(__xludf.DUMMYFUNCTION("""COMPUTED_VALUE"""),6)</f>
        <v>6</v>
      </c>
      <c r="Y5" s="524">
        <f ca="1">IFERROR(__xludf.DUMMYFUNCTION("""COMPUTED_VALUE"""),0.98)</f>
        <v>0.98</v>
      </c>
      <c r="Z5" s="524">
        <f ca="1">IFERROR(__xludf.DUMMYFUNCTION("""COMPUTED_VALUE"""),33.2)</f>
        <v>33.200000000000003</v>
      </c>
      <c r="AA5" s="495">
        <f ca="1">IFERROR(__xludf.DUMMYFUNCTION("""COMPUTED_VALUE"""),0)</f>
        <v>0</v>
      </c>
      <c r="AB5" s="495">
        <f ca="1">IFERROR(__xludf.DUMMYFUNCTION("""COMPUTED_VALUE"""),33.2)</f>
        <v>33.200000000000003</v>
      </c>
      <c r="AC5" s="521">
        <f t="shared" ref="AC5:AC33" ca="1" si="0">R5*Y5/100</f>
        <v>22.099</v>
      </c>
      <c r="AD5" s="52"/>
      <c r="AE5" s="52"/>
      <c r="AF5" s="52"/>
      <c r="AG5" s="52"/>
      <c r="AH5" s="52"/>
      <c r="AI5" s="52"/>
      <c r="AJ5" s="52"/>
      <c r="AK5" s="52"/>
      <c r="AL5" s="52"/>
    </row>
    <row r="6" spans="1:38" ht="15.75" customHeight="1">
      <c r="A6" s="452" t="str">
        <f ca="1">IFERROR(__xludf.DUMMYFUNCTION("IMPORTHTML(SUBSTITUTE(""https://histock.tw/stock/股票代碼/%E9%99%A4%E6%AC%8A%E9%99%A4%E6%81%AF"", ""股票代碼"",'股價預估'!E1),""table"",0)"),"所屬年度")</f>
        <v>所屬年度</v>
      </c>
      <c r="B6" s="428" t="str">
        <f ca="1">IFERROR(__xludf.DUMMYFUNCTION("""COMPUTED_VALUE"""),"發放年度")</f>
        <v>發放年度</v>
      </c>
      <c r="C6" s="428" t="str">
        <f ca="1">IFERROR(__xludf.DUMMYFUNCTION("""COMPUTED_VALUE"""),"除權日")</f>
        <v>除權日</v>
      </c>
      <c r="D6" s="428" t="str">
        <f ca="1">IFERROR(__xludf.DUMMYFUNCTION("""COMPUTED_VALUE"""),"除息日")</f>
        <v>除息日</v>
      </c>
      <c r="E6" s="428" t="str">
        <f ca="1">IFERROR(__xludf.DUMMYFUNCTION("""COMPUTED_VALUE"""),"除權息
前股價")</f>
        <v>除權息
前股價</v>
      </c>
      <c r="F6" s="428" t="str">
        <f ca="1">IFERROR(__xludf.DUMMYFUNCTION("""COMPUTED_VALUE"""),"股票股利")</f>
        <v>股票股利</v>
      </c>
      <c r="G6" s="428" t="str">
        <f ca="1">IFERROR(__xludf.DUMMYFUNCTION("""COMPUTED_VALUE"""),"現金股利")</f>
        <v>現金股利</v>
      </c>
      <c r="H6" s="428" t="str">
        <f ca="1">IFERROR(__xludf.DUMMYFUNCTION("""COMPUTED_VALUE"""),"EPS")</f>
        <v>EPS</v>
      </c>
      <c r="I6" s="428" t="str">
        <f ca="1">IFERROR(__xludf.DUMMYFUNCTION("""COMPUTED_VALUE"""),"配息率")</f>
        <v>配息率</v>
      </c>
      <c r="J6" s="428" t="str">
        <f ca="1">IFERROR(__xludf.DUMMYFUNCTION("""COMPUTED_VALUE"""),"現金
殖利率")</f>
        <v>現金
殖利率</v>
      </c>
      <c r="K6" s="428" t="str">
        <f ca="1">IFERROR(__xludf.DUMMYFUNCTION("""COMPUTED_VALUE"""),"扣抵稅率")</f>
        <v>扣抵稅率</v>
      </c>
      <c r="L6" s="428" t="str">
        <f ca="1">IFERROR(__xludf.DUMMYFUNCTION("""COMPUTED_VALUE"""),"增資
配股率")</f>
        <v>增資
配股率</v>
      </c>
      <c r="M6" s="429" t="str">
        <f ca="1">IFERROR(__xludf.DUMMYFUNCTION("""COMPUTED_VALUE"""),"增資
認購價")</f>
        <v>增資
認購價</v>
      </c>
      <c r="N6" s="656"/>
      <c r="O6" s="513">
        <f ca="1">IFERROR(__xludf.DUMMYFUNCTION("""COMPUTED_VALUE"""),6)</f>
        <v>6</v>
      </c>
      <c r="P6" s="508">
        <f ca="1">IFERROR(__xludf.DUMMYFUNCTION("""COMPUTED_VALUE"""),46098)</f>
        <v>46098</v>
      </c>
      <c r="Q6" s="508">
        <f ca="1">IFERROR(__xludf.DUMMYFUNCTION("""COMPUTED_VALUE"""),46121)</f>
        <v>46121</v>
      </c>
      <c r="R6" s="495">
        <f ca="1">IFERROR(__xludf.DUMMYFUNCTION("""COMPUTED_VALUE"""),1845)</f>
        <v>1845</v>
      </c>
      <c r="S6" s="495">
        <f ca="1">IFERROR(__xludf.DUMMYFUNCTION("""COMPUTED_VALUE"""),1)</f>
        <v>1</v>
      </c>
      <c r="T6" s="513">
        <f ca="1">IFERROR(__xludf.DUMMYFUNCTION("""COMPUTED_VALUE"""),0)</f>
        <v>0</v>
      </c>
      <c r="U6" s="508" t="str">
        <f ca="1">IFERROR(__xludf.DUMMYFUNCTION("""COMPUTED_VALUE"""),"-")</f>
        <v>-</v>
      </c>
      <c r="V6" s="495" t="str">
        <f ca="1">IFERROR(__xludf.DUMMYFUNCTION("""COMPUTED_VALUE"""),"-")</f>
        <v>-</v>
      </c>
      <c r="W6" s="495" t="str">
        <f ca="1">IFERROR(__xludf.DUMMYFUNCTION("""COMPUTED_VALUE"""),"-")</f>
        <v>-</v>
      </c>
      <c r="X6" s="513">
        <f ca="1">IFERROR(__xludf.DUMMYFUNCTION("""COMPUTED_VALUE"""),6)</f>
        <v>6</v>
      </c>
      <c r="Y6" s="524"/>
      <c r="Z6" s="524"/>
      <c r="AA6" s="495"/>
      <c r="AB6" s="495"/>
      <c r="AC6" s="521">
        <f t="shared" ca="1" si="0"/>
        <v>0</v>
      </c>
      <c r="AD6" s="52"/>
      <c r="AE6" s="52"/>
      <c r="AF6" s="52"/>
      <c r="AG6" s="52"/>
      <c r="AH6" s="52"/>
      <c r="AI6" s="52"/>
      <c r="AJ6" s="52"/>
      <c r="AK6" s="52"/>
      <c r="AL6" s="52"/>
    </row>
    <row r="7" spans="1:38" ht="15.75" customHeight="1">
      <c r="A7" s="494"/>
      <c r="B7" s="495"/>
      <c r="C7" s="495"/>
      <c r="D7" s="495"/>
      <c r="E7" s="495"/>
      <c r="F7" s="495"/>
      <c r="G7" s="495"/>
      <c r="H7" s="495"/>
      <c r="I7" s="495"/>
      <c r="J7" s="495"/>
      <c r="K7" s="495"/>
      <c r="L7" s="495"/>
      <c r="M7" s="496"/>
      <c r="N7" s="656"/>
      <c r="O7" s="513">
        <f ca="1">IFERROR(__xludf.DUMMYFUNCTION("""COMPUTED_VALUE"""),5)</f>
        <v>5</v>
      </c>
      <c r="P7" s="508">
        <f ca="1">IFERROR(__xludf.DUMMYFUNCTION("""COMPUTED_VALUE"""),46002)</f>
        <v>46002</v>
      </c>
      <c r="Q7" s="508">
        <f ca="1">IFERROR(__xludf.DUMMYFUNCTION("""COMPUTED_VALUE"""),46030)</f>
        <v>46030</v>
      </c>
      <c r="R7" s="495">
        <f ca="1">IFERROR(__xludf.DUMMYFUNCTION("""COMPUTED_VALUE"""),1505)</f>
        <v>1505</v>
      </c>
      <c r="S7" s="495">
        <f ca="1">IFERROR(__xludf.DUMMYFUNCTION("""COMPUTED_VALUE"""),11)</f>
        <v>11</v>
      </c>
      <c r="T7" s="513">
        <f ca="1">IFERROR(__xludf.DUMMYFUNCTION("""COMPUTED_VALUE"""),0)</f>
        <v>0</v>
      </c>
      <c r="U7" s="508" t="str">
        <f ca="1">IFERROR(__xludf.DUMMYFUNCTION("""COMPUTED_VALUE"""),"-")</f>
        <v>-</v>
      </c>
      <c r="V7" s="495" t="str">
        <f ca="1">IFERROR(__xludf.DUMMYFUNCTION("""COMPUTED_VALUE"""),"-")</f>
        <v>-</v>
      </c>
      <c r="W7" s="495" t="str">
        <f ca="1">IFERROR(__xludf.DUMMYFUNCTION("""COMPUTED_VALUE"""),"-")</f>
        <v>-</v>
      </c>
      <c r="X7" s="513">
        <f ca="1">IFERROR(__xludf.DUMMYFUNCTION("""COMPUTED_VALUE"""),5)</f>
        <v>5</v>
      </c>
      <c r="Y7" s="524"/>
      <c r="Z7" s="524"/>
      <c r="AA7" s="495"/>
      <c r="AB7" s="495"/>
      <c r="AC7" s="521">
        <f t="shared" ca="1" si="0"/>
        <v>0</v>
      </c>
      <c r="AD7" s="52"/>
      <c r="AE7" s="52"/>
      <c r="AF7" s="52"/>
      <c r="AG7" s="52"/>
      <c r="AH7" s="52"/>
      <c r="AI7" s="52"/>
      <c r="AJ7" s="52"/>
      <c r="AK7" s="52"/>
      <c r="AL7" s="52"/>
    </row>
    <row r="8" spans="1:38" ht="15.75" customHeight="1">
      <c r="A8" s="494">
        <f ca="1">IFERROR(__xludf.DUMMYFUNCTION("""COMPUTED_VALUE"""),2025)</f>
        <v>2025</v>
      </c>
      <c r="B8" s="495">
        <f ca="1">IFERROR(__xludf.DUMMYFUNCTION("""COMPUTED_VALUE"""),2026)</f>
        <v>2026</v>
      </c>
      <c r="C8" s="508"/>
      <c r="D8" s="508">
        <f ca="1">IFERROR(__xludf.DUMMYFUNCTION("""COMPUTED_VALUE"""),46184)</f>
        <v>46184</v>
      </c>
      <c r="E8" s="500">
        <f ca="1">IFERROR(__xludf.DUMMYFUNCTION("""COMPUTED_VALUE"""),2255)</f>
        <v>2255</v>
      </c>
      <c r="F8" s="513">
        <f ca="1">IFERROR(__xludf.DUMMYFUNCTION("""COMPUTED_VALUE"""),0)</f>
        <v>0</v>
      </c>
      <c r="G8" s="513">
        <f ca="1">IFERROR(__xludf.DUMMYFUNCTION("""COMPUTED_VALUE"""),6)</f>
        <v>6</v>
      </c>
      <c r="H8" s="513">
        <f ca="1">IFERROR(__xludf.DUMMYFUNCTION("""COMPUTED_VALUE"""),66.26)</f>
        <v>66.260000000000005</v>
      </c>
      <c r="I8" s="497">
        <f ca="1">IFERROR(__xludf.DUMMYFUNCTION("""COMPUTED_VALUE"""),0.0906)</f>
        <v>9.06E-2</v>
      </c>
      <c r="J8" s="497">
        <f ca="1">IFERROR(__xludf.DUMMYFUNCTION("""COMPUTED_VALUE"""),0.0027)</f>
        <v>2.7000000000000001E-3</v>
      </c>
      <c r="K8" s="497">
        <f ca="1">IFERROR(__xludf.DUMMYFUNCTION("""COMPUTED_VALUE"""),0)</f>
        <v>0</v>
      </c>
      <c r="L8" s="495">
        <f ca="1">IFERROR(__xludf.DUMMYFUNCTION("""COMPUTED_VALUE"""),0)</f>
        <v>0</v>
      </c>
      <c r="M8" s="496">
        <f ca="1">IFERROR(__xludf.DUMMYFUNCTION("""COMPUTED_VALUE"""),0)</f>
        <v>0</v>
      </c>
      <c r="N8" s="656"/>
      <c r="O8" s="513">
        <f ca="1">IFERROR(__xludf.DUMMYFUNCTION("""COMPUTED_VALUE"""),5)</f>
        <v>5</v>
      </c>
      <c r="P8" s="508">
        <f ca="1">IFERROR(__xludf.DUMMYFUNCTION("""COMPUTED_VALUE"""),45916)</f>
        <v>45916</v>
      </c>
      <c r="Q8" s="508">
        <f ca="1">IFERROR(__xludf.DUMMYFUNCTION("""COMPUTED_VALUE"""),45939)</f>
        <v>45939</v>
      </c>
      <c r="R8" s="495">
        <f ca="1">IFERROR(__xludf.DUMMYFUNCTION("""COMPUTED_VALUE"""),1255)</f>
        <v>1255</v>
      </c>
      <c r="S8" s="495">
        <f ca="1">IFERROR(__xludf.DUMMYFUNCTION("""COMPUTED_VALUE"""),1)</f>
        <v>1</v>
      </c>
      <c r="T8" s="513">
        <f ca="1">IFERROR(__xludf.DUMMYFUNCTION("""COMPUTED_VALUE"""),0)</f>
        <v>0</v>
      </c>
      <c r="U8" s="508" t="str">
        <f ca="1">IFERROR(__xludf.DUMMYFUNCTION("""COMPUTED_VALUE"""),"-")</f>
        <v>-</v>
      </c>
      <c r="V8" s="495" t="str">
        <f ca="1">IFERROR(__xludf.DUMMYFUNCTION("""COMPUTED_VALUE"""),"-")</f>
        <v>-</v>
      </c>
      <c r="W8" s="495" t="str">
        <f ca="1">IFERROR(__xludf.DUMMYFUNCTION("""COMPUTED_VALUE"""),"-")</f>
        <v>-</v>
      </c>
      <c r="X8" s="513">
        <f ca="1">IFERROR(__xludf.DUMMYFUNCTION("""COMPUTED_VALUE"""),5)</f>
        <v>5</v>
      </c>
      <c r="Y8" s="524"/>
      <c r="Z8" s="524"/>
      <c r="AA8" s="495"/>
      <c r="AB8" s="495"/>
      <c r="AC8" s="521">
        <f t="shared" ca="1" si="0"/>
        <v>0</v>
      </c>
      <c r="AD8" s="52"/>
      <c r="AE8" s="52"/>
      <c r="AF8" s="52"/>
      <c r="AG8" s="52"/>
      <c r="AH8" s="52"/>
      <c r="AI8" s="52"/>
      <c r="AJ8" s="52"/>
      <c r="AK8" s="52"/>
      <c r="AL8" s="52"/>
    </row>
    <row r="9" spans="1:38" ht="15.75" customHeight="1">
      <c r="A9" s="498">
        <f ca="1">IFERROR(__xludf.DUMMYFUNCTION("""COMPUTED_VALUE"""),2025)</f>
        <v>2025</v>
      </c>
      <c r="B9" s="495">
        <f ca="1">IFERROR(__xludf.DUMMYFUNCTION("""COMPUTED_VALUE"""),2026)</f>
        <v>2026</v>
      </c>
      <c r="C9" s="508"/>
      <c r="D9" s="508">
        <f ca="1">IFERROR(__xludf.DUMMYFUNCTION("""COMPUTED_VALUE"""),46098)</f>
        <v>46098</v>
      </c>
      <c r="E9" s="500">
        <f ca="1">IFERROR(__xludf.DUMMYFUNCTION("""COMPUTED_VALUE"""),1845)</f>
        <v>1845</v>
      </c>
      <c r="F9" s="513">
        <f ca="1">IFERROR(__xludf.DUMMYFUNCTION("""COMPUTED_VALUE"""),0)</f>
        <v>0</v>
      </c>
      <c r="G9" s="513">
        <f ca="1">IFERROR(__xludf.DUMMYFUNCTION("""COMPUTED_VALUE"""),6)</f>
        <v>6</v>
      </c>
      <c r="H9" s="513">
        <f ca="1">IFERROR(__xludf.DUMMYFUNCTION("""COMPUTED_VALUE"""),66.26)</f>
        <v>66.260000000000005</v>
      </c>
      <c r="I9" s="497">
        <f ca="1">IFERROR(__xludf.DUMMYFUNCTION("""COMPUTED_VALUE"""),0.0906)</f>
        <v>9.06E-2</v>
      </c>
      <c r="J9" s="497">
        <f ca="1">IFERROR(__xludf.DUMMYFUNCTION("""COMPUTED_VALUE"""),0.0033)</f>
        <v>3.3E-3</v>
      </c>
      <c r="K9" s="497">
        <f ca="1">IFERROR(__xludf.DUMMYFUNCTION("""COMPUTED_VALUE"""),0)</f>
        <v>0</v>
      </c>
      <c r="L9" s="495">
        <f ca="1">IFERROR(__xludf.DUMMYFUNCTION("""COMPUTED_VALUE"""),0)</f>
        <v>0</v>
      </c>
      <c r="M9" s="496">
        <f ca="1">IFERROR(__xludf.DUMMYFUNCTION("""COMPUTED_VALUE"""),0)</f>
        <v>0</v>
      </c>
      <c r="N9" s="656">
        <f ca="1">IFERROR(__xludf.DUMMYFUNCTION("""COMPUTED_VALUE"""),2024)</f>
        <v>2024</v>
      </c>
      <c r="O9" s="513">
        <f ca="1">IFERROR(__xludf.DUMMYFUNCTION("""COMPUTED_VALUE"""),4.5)</f>
        <v>4.5</v>
      </c>
      <c r="P9" s="508">
        <f ca="1">IFERROR(__xludf.DUMMYFUNCTION("""COMPUTED_VALUE"""),45820)</f>
        <v>45820</v>
      </c>
      <c r="Q9" s="508">
        <f ca="1">IFERROR(__xludf.DUMMYFUNCTION("""COMPUTED_VALUE"""),45848)</f>
        <v>45848</v>
      </c>
      <c r="R9" s="495">
        <f ca="1">IFERROR(__xludf.DUMMYFUNCTION("""COMPUTED_VALUE"""),1065)</f>
        <v>1065</v>
      </c>
      <c r="S9" s="495">
        <f ca="1">IFERROR(__xludf.DUMMYFUNCTION("""COMPUTED_VALUE"""),10)</f>
        <v>10</v>
      </c>
      <c r="T9" s="513">
        <f ca="1">IFERROR(__xludf.DUMMYFUNCTION("""COMPUTED_VALUE"""),0)</f>
        <v>0</v>
      </c>
      <c r="U9" s="508" t="str">
        <f ca="1">IFERROR(__xludf.DUMMYFUNCTION("""COMPUTED_VALUE"""),"-")</f>
        <v>-</v>
      </c>
      <c r="V9" s="495" t="str">
        <f ca="1">IFERROR(__xludf.DUMMYFUNCTION("""COMPUTED_VALUE"""),"-")</f>
        <v>-</v>
      </c>
      <c r="W9" s="495" t="str">
        <f ca="1">IFERROR(__xludf.DUMMYFUNCTION("""COMPUTED_VALUE"""),"-")</f>
        <v>-</v>
      </c>
      <c r="X9" s="513">
        <f ca="1">IFERROR(__xludf.DUMMYFUNCTION("""COMPUTED_VALUE"""),4.5)</f>
        <v>4.5</v>
      </c>
      <c r="Y9" s="524">
        <f ca="1">IFERROR(__xludf.DUMMYFUNCTION("""COMPUTED_VALUE"""),1.6)</f>
        <v>1.6</v>
      </c>
      <c r="Z9" s="524">
        <f ca="1">IFERROR(__xludf.DUMMYFUNCTION("""COMPUTED_VALUE"""),37.6)</f>
        <v>37.6</v>
      </c>
      <c r="AA9" s="495">
        <f ca="1">IFERROR(__xludf.DUMMYFUNCTION("""COMPUTED_VALUE"""),0)</f>
        <v>0</v>
      </c>
      <c r="AB9" s="495">
        <f ca="1">IFERROR(__xludf.DUMMYFUNCTION("""COMPUTED_VALUE"""),37.6)</f>
        <v>37.6</v>
      </c>
      <c r="AC9" s="521">
        <f t="shared" ca="1" si="0"/>
        <v>17.04</v>
      </c>
      <c r="AD9" s="52"/>
      <c r="AE9" s="52"/>
      <c r="AF9" s="52"/>
      <c r="AG9" s="52"/>
      <c r="AH9" s="52"/>
      <c r="AI9" s="52"/>
      <c r="AJ9" s="52"/>
      <c r="AK9" s="52"/>
      <c r="AL9" s="52"/>
    </row>
    <row r="10" spans="1:38" ht="15.75" customHeight="1">
      <c r="A10" s="494">
        <f ca="1">IFERROR(__xludf.DUMMYFUNCTION("""COMPUTED_VALUE"""),2024)</f>
        <v>2024</v>
      </c>
      <c r="B10" s="495">
        <f ca="1">IFERROR(__xludf.DUMMYFUNCTION("""COMPUTED_VALUE"""),2025)</f>
        <v>2025</v>
      </c>
      <c r="C10" s="508"/>
      <c r="D10" s="508">
        <f ca="1">IFERROR(__xludf.DUMMYFUNCTION("""COMPUTED_VALUE"""),46367)</f>
        <v>46367</v>
      </c>
      <c r="E10" s="500">
        <f ca="1">IFERROR(__xludf.DUMMYFUNCTION("""COMPUTED_VALUE"""),1505)</f>
        <v>1505</v>
      </c>
      <c r="F10" s="513">
        <f ca="1">IFERROR(__xludf.DUMMYFUNCTION("""COMPUTED_VALUE"""),0)</f>
        <v>0</v>
      </c>
      <c r="G10" s="513">
        <f ca="1">IFERROR(__xludf.DUMMYFUNCTION("""COMPUTED_VALUE"""),5)</f>
        <v>5</v>
      </c>
      <c r="H10" s="513">
        <f ca="1">IFERROR(__xludf.DUMMYFUNCTION("""COMPUTED_VALUE"""),45.25)</f>
        <v>45.25</v>
      </c>
      <c r="I10" s="497">
        <f ca="1">IFERROR(__xludf.DUMMYFUNCTION("""COMPUTED_VALUE"""),0.1105)</f>
        <v>0.1105</v>
      </c>
      <c r="J10" s="497">
        <f ca="1">IFERROR(__xludf.DUMMYFUNCTION("""COMPUTED_VALUE"""),0.0033)</f>
        <v>3.3E-3</v>
      </c>
      <c r="K10" s="497">
        <f ca="1">IFERROR(__xludf.DUMMYFUNCTION("""COMPUTED_VALUE"""),0)</f>
        <v>0</v>
      </c>
      <c r="L10" s="495">
        <f ca="1">IFERROR(__xludf.DUMMYFUNCTION("""COMPUTED_VALUE"""),0)</f>
        <v>0</v>
      </c>
      <c r="M10" s="496">
        <f ca="1">IFERROR(__xludf.DUMMYFUNCTION("""COMPUTED_VALUE"""),0)</f>
        <v>0</v>
      </c>
      <c r="N10" s="656"/>
      <c r="O10" s="513">
        <f ca="1">IFERROR(__xludf.DUMMYFUNCTION("""COMPUTED_VALUE"""),4.5)</f>
        <v>4.5</v>
      </c>
      <c r="P10" s="508">
        <f ca="1">IFERROR(__xludf.DUMMYFUNCTION("""COMPUTED_VALUE"""),45734)</f>
        <v>45734</v>
      </c>
      <c r="Q10" s="508">
        <f ca="1">IFERROR(__xludf.DUMMYFUNCTION("""COMPUTED_VALUE"""),45757)</f>
        <v>45757</v>
      </c>
      <c r="R10" s="495">
        <f ca="1">IFERROR(__xludf.DUMMYFUNCTION("""COMPUTED_VALUE"""),970)</f>
        <v>970</v>
      </c>
      <c r="S10" s="495">
        <f ca="1">IFERROR(__xludf.DUMMYFUNCTION("""COMPUTED_VALUE"""),1)</f>
        <v>1</v>
      </c>
      <c r="T10" s="513">
        <f ca="1">IFERROR(__xludf.DUMMYFUNCTION("""COMPUTED_VALUE"""),0)</f>
        <v>0</v>
      </c>
      <c r="U10" s="508" t="str">
        <f ca="1">IFERROR(__xludf.DUMMYFUNCTION("""COMPUTED_VALUE"""),"-")</f>
        <v>-</v>
      </c>
      <c r="V10" s="495" t="str">
        <f ca="1">IFERROR(__xludf.DUMMYFUNCTION("""COMPUTED_VALUE"""),"-")</f>
        <v>-</v>
      </c>
      <c r="W10" s="495" t="str">
        <f ca="1">IFERROR(__xludf.DUMMYFUNCTION("""COMPUTED_VALUE"""),"-")</f>
        <v>-</v>
      </c>
      <c r="X10" s="513">
        <f ca="1">IFERROR(__xludf.DUMMYFUNCTION("""COMPUTED_VALUE"""),4.5)</f>
        <v>4.5</v>
      </c>
      <c r="Y10" s="524"/>
      <c r="Z10" s="524"/>
      <c r="AA10" s="495"/>
      <c r="AB10" s="495"/>
      <c r="AC10" s="521">
        <f t="shared" ca="1" si="0"/>
        <v>0</v>
      </c>
      <c r="AD10" s="52"/>
      <c r="AE10" s="52"/>
      <c r="AF10" s="52"/>
      <c r="AG10" s="52"/>
      <c r="AH10" s="52"/>
      <c r="AI10" s="52"/>
      <c r="AJ10" s="52"/>
      <c r="AK10" s="52"/>
      <c r="AL10" s="52"/>
    </row>
    <row r="11" spans="1:38" ht="15.75" customHeight="1">
      <c r="A11" s="494">
        <f ca="1">IFERROR(__xludf.DUMMYFUNCTION("""COMPUTED_VALUE"""),2024)</f>
        <v>2024</v>
      </c>
      <c r="B11" s="495">
        <f ca="1">IFERROR(__xludf.DUMMYFUNCTION("""COMPUTED_VALUE"""),2025)</f>
        <v>2025</v>
      </c>
      <c r="C11" s="508"/>
      <c r="D11" s="508">
        <f ca="1">IFERROR(__xludf.DUMMYFUNCTION("""COMPUTED_VALUE"""),46281)</f>
        <v>46281</v>
      </c>
      <c r="E11" s="500">
        <f ca="1">IFERROR(__xludf.DUMMYFUNCTION("""COMPUTED_VALUE"""),1255)</f>
        <v>1255</v>
      </c>
      <c r="F11" s="513">
        <f ca="1">IFERROR(__xludf.DUMMYFUNCTION("""COMPUTED_VALUE"""),0)</f>
        <v>0</v>
      </c>
      <c r="G11" s="513">
        <f ca="1">IFERROR(__xludf.DUMMYFUNCTION("""COMPUTED_VALUE"""),5)</f>
        <v>5</v>
      </c>
      <c r="H11" s="513">
        <f ca="1">IFERROR(__xludf.DUMMYFUNCTION("""COMPUTED_VALUE"""),45.25)</f>
        <v>45.25</v>
      </c>
      <c r="I11" s="497">
        <f ca="1">IFERROR(__xludf.DUMMYFUNCTION("""COMPUTED_VALUE"""),0.1105)</f>
        <v>0.1105</v>
      </c>
      <c r="J11" s="497">
        <f ca="1">IFERROR(__xludf.DUMMYFUNCTION("""COMPUTED_VALUE"""),0.004)</f>
        <v>4.0000000000000001E-3</v>
      </c>
      <c r="K11" s="497">
        <f ca="1">IFERROR(__xludf.DUMMYFUNCTION("""COMPUTED_VALUE"""),0)</f>
        <v>0</v>
      </c>
      <c r="L11" s="495">
        <f ca="1">IFERROR(__xludf.DUMMYFUNCTION("""COMPUTED_VALUE"""),0)</f>
        <v>0</v>
      </c>
      <c r="M11" s="496">
        <f ca="1">IFERROR(__xludf.DUMMYFUNCTION("""COMPUTED_VALUE"""),0)</f>
        <v>0</v>
      </c>
      <c r="N11" s="656"/>
      <c r="O11" s="513">
        <f ca="1">IFERROR(__xludf.DUMMYFUNCTION("""COMPUTED_VALUE"""),4)</f>
        <v>4</v>
      </c>
      <c r="P11" s="508">
        <f ca="1">IFERROR(__xludf.DUMMYFUNCTION("""COMPUTED_VALUE"""),45638)</f>
        <v>45638</v>
      </c>
      <c r="Q11" s="508">
        <f ca="1">IFERROR(__xludf.DUMMYFUNCTION("""COMPUTED_VALUE"""),45666)</f>
        <v>45666</v>
      </c>
      <c r="R11" s="495">
        <f ca="1">IFERROR(__xludf.DUMMYFUNCTION("""COMPUTED_VALUE"""),1045)</f>
        <v>1045</v>
      </c>
      <c r="S11" s="495">
        <f ca="1">IFERROR(__xludf.DUMMYFUNCTION("""COMPUTED_VALUE"""),1)</f>
        <v>1</v>
      </c>
      <c r="T11" s="513">
        <f ca="1">IFERROR(__xludf.DUMMYFUNCTION("""COMPUTED_VALUE"""),0)</f>
        <v>0</v>
      </c>
      <c r="U11" s="508" t="str">
        <f ca="1">IFERROR(__xludf.DUMMYFUNCTION("""COMPUTED_VALUE"""),"-")</f>
        <v>-</v>
      </c>
      <c r="V11" s="495" t="str">
        <f ca="1">IFERROR(__xludf.DUMMYFUNCTION("""COMPUTED_VALUE"""),"-")</f>
        <v>-</v>
      </c>
      <c r="W11" s="495" t="str">
        <f ca="1">IFERROR(__xludf.DUMMYFUNCTION("""COMPUTED_VALUE"""),"-")</f>
        <v>-</v>
      </c>
      <c r="X11" s="513">
        <f ca="1">IFERROR(__xludf.DUMMYFUNCTION("""COMPUTED_VALUE"""),4)</f>
        <v>4</v>
      </c>
      <c r="Y11" s="524"/>
      <c r="Z11" s="524"/>
      <c r="AA11" s="495"/>
      <c r="AB11" s="495"/>
      <c r="AC11" s="521">
        <f t="shared" ca="1" si="0"/>
        <v>0</v>
      </c>
      <c r="AD11" s="52"/>
      <c r="AE11" s="52"/>
      <c r="AF11" s="52"/>
      <c r="AG11" s="52"/>
      <c r="AH11" s="52"/>
      <c r="AI11" s="52"/>
      <c r="AJ11" s="52"/>
      <c r="AK11" s="52"/>
      <c r="AL11" s="52"/>
    </row>
    <row r="12" spans="1:38" ht="15.75" customHeight="1">
      <c r="A12" s="494">
        <f ca="1">IFERROR(__xludf.DUMMYFUNCTION("""COMPUTED_VALUE"""),2024)</f>
        <v>2024</v>
      </c>
      <c r="B12" s="495">
        <f ca="1">IFERROR(__xludf.DUMMYFUNCTION("""COMPUTED_VALUE"""),2025)</f>
        <v>2025</v>
      </c>
      <c r="C12" s="508"/>
      <c r="D12" s="508">
        <f ca="1">IFERROR(__xludf.DUMMYFUNCTION("""COMPUTED_VALUE"""),46185)</f>
        <v>46185</v>
      </c>
      <c r="E12" s="500">
        <f ca="1">IFERROR(__xludf.DUMMYFUNCTION("""COMPUTED_VALUE"""),1065)</f>
        <v>1065</v>
      </c>
      <c r="F12" s="513">
        <f ca="1">IFERROR(__xludf.DUMMYFUNCTION("""COMPUTED_VALUE"""),0)</f>
        <v>0</v>
      </c>
      <c r="G12" s="513">
        <f ca="1">IFERROR(__xludf.DUMMYFUNCTION("""COMPUTED_VALUE"""),4.5)</f>
        <v>4.5</v>
      </c>
      <c r="H12" s="513">
        <f ca="1">IFERROR(__xludf.DUMMYFUNCTION("""COMPUTED_VALUE"""),45.25)</f>
        <v>45.25</v>
      </c>
      <c r="I12" s="497">
        <f ca="1">IFERROR(__xludf.DUMMYFUNCTION("""COMPUTED_VALUE"""),0.0994)</f>
        <v>9.9400000000000002E-2</v>
      </c>
      <c r="J12" s="497">
        <f ca="1">IFERROR(__xludf.DUMMYFUNCTION("""COMPUTED_VALUE"""),0.0042)</f>
        <v>4.1999999999999997E-3</v>
      </c>
      <c r="K12" s="497">
        <f ca="1">IFERROR(__xludf.DUMMYFUNCTION("""COMPUTED_VALUE"""),0)</f>
        <v>0</v>
      </c>
      <c r="L12" s="495">
        <f ca="1">IFERROR(__xludf.DUMMYFUNCTION("""COMPUTED_VALUE"""),0)</f>
        <v>0</v>
      </c>
      <c r="M12" s="496">
        <f ca="1">IFERROR(__xludf.DUMMYFUNCTION("""COMPUTED_VALUE"""),0)</f>
        <v>0</v>
      </c>
      <c r="N12" s="656"/>
      <c r="O12" s="513">
        <f ca="1">IFERROR(__xludf.DUMMYFUNCTION("""COMPUTED_VALUE"""),4)</f>
        <v>4</v>
      </c>
      <c r="P12" s="508">
        <f ca="1">IFERROR(__xludf.DUMMYFUNCTION("""COMPUTED_VALUE"""),45547)</f>
        <v>45547</v>
      </c>
      <c r="Q12" s="508">
        <f ca="1">IFERROR(__xludf.DUMMYFUNCTION("""COMPUTED_VALUE"""),45574)</f>
        <v>45574</v>
      </c>
      <c r="R12" s="495">
        <f ca="1">IFERROR(__xludf.DUMMYFUNCTION("""COMPUTED_VALUE"""),901)</f>
        <v>901</v>
      </c>
      <c r="S12" s="495">
        <f ca="1">IFERROR(__xludf.DUMMYFUNCTION("""COMPUTED_VALUE"""),1)</f>
        <v>1</v>
      </c>
      <c r="T12" s="513">
        <f ca="1">IFERROR(__xludf.DUMMYFUNCTION("""COMPUTED_VALUE"""),0)</f>
        <v>0</v>
      </c>
      <c r="U12" s="508" t="str">
        <f ca="1">IFERROR(__xludf.DUMMYFUNCTION("""COMPUTED_VALUE"""),"-")</f>
        <v>-</v>
      </c>
      <c r="V12" s="495" t="str">
        <f ca="1">IFERROR(__xludf.DUMMYFUNCTION("""COMPUTED_VALUE"""),"-")</f>
        <v>-</v>
      </c>
      <c r="W12" s="495" t="str">
        <f ca="1">IFERROR(__xludf.DUMMYFUNCTION("""COMPUTED_VALUE"""),"-")</f>
        <v>-</v>
      </c>
      <c r="X12" s="513">
        <f ca="1">IFERROR(__xludf.DUMMYFUNCTION("""COMPUTED_VALUE"""),4)</f>
        <v>4</v>
      </c>
      <c r="Y12" s="524"/>
      <c r="Z12" s="524"/>
      <c r="AA12" s="495"/>
      <c r="AB12" s="495"/>
      <c r="AC12" s="521">
        <f t="shared" ca="1" si="0"/>
        <v>0</v>
      </c>
      <c r="AD12" s="52"/>
      <c r="AE12" s="52"/>
      <c r="AF12" s="52"/>
      <c r="AG12" s="52"/>
      <c r="AH12" s="52"/>
      <c r="AI12" s="52"/>
      <c r="AJ12" s="52"/>
      <c r="AK12" s="52"/>
      <c r="AL12" s="52"/>
    </row>
    <row r="13" spans="1:38" ht="15.75" customHeight="1">
      <c r="A13" s="498">
        <f ca="1">IFERROR(__xludf.DUMMYFUNCTION("""COMPUTED_VALUE"""),2024)</f>
        <v>2024</v>
      </c>
      <c r="B13" s="499">
        <f ca="1">IFERROR(__xludf.DUMMYFUNCTION("""COMPUTED_VALUE"""),2025)</f>
        <v>2025</v>
      </c>
      <c r="C13" s="509"/>
      <c r="D13" s="509">
        <f ca="1">IFERROR(__xludf.DUMMYFUNCTION("""COMPUTED_VALUE"""),46099)</f>
        <v>46099</v>
      </c>
      <c r="E13" s="511">
        <f ca="1">IFERROR(__xludf.DUMMYFUNCTION("""COMPUTED_VALUE"""),970)</f>
        <v>970</v>
      </c>
      <c r="F13" s="466">
        <f ca="1">IFERROR(__xludf.DUMMYFUNCTION("""COMPUTED_VALUE"""),0)</f>
        <v>0</v>
      </c>
      <c r="G13" s="466">
        <f ca="1">IFERROR(__xludf.DUMMYFUNCTION("""COMPUTED_VALUE"""),4.5)</f>
        <v>4.5</v>
      </c>
      <c r="H13" s="513">
        <f ca="1">IFERROR(__xludf.DUMMYFUNCTION("""COMPUTED_VALUE"""),45.25)</f>
        <v>45.25</v>
      </c>
      <c r="I13" s="497">
        <f ca="1">IFERROR(__xludf.DUMMYFUNCTION("""COMPUTED_VALUE"""),0.0994)</f>
        <v>9.9400000000000002E-2</v>
      </c>
      <c r="J13" s="497">
        <f ca="1">IFERROR(__xludf.DUMMYFUNCTION("""COMPUTED_VALUE"""),0.0046)</f>
        <v>4.5999999999999999E-3</v>
      </c>
      <c r="K13" s="497">
        <f ca="1">IFERROR(__xludf.DUMMYFUNCTION("""COMPUTED_VALUE"""),0)</f>
        <v>0</v>
      </c>
      <c r="L13" s="495">
        <f ca="1">IFERROR(__xludf.DUMMYFUNCTION("""COMPUTED_VALUE"""),0)</f>
        <v>0</v>
      </c>
      <c r="M13" s="496">
        <f ca="1">IFERROR(__xludf.DUMMYFUNCTION("""COMPUTED_VALUE"""),0)</f>
        <v>0</v>
      </c>
      <c r="N13" s="656">
        <f ca="1">IFERROR(__xludf.DUMMYFUNCTION("""COMPUTED_VALUE"""),2023)</f>
        <v>2023</v>
      </c>
      <c r="O13" s="513">
        <f ca="1">IFERROR(__xludf.DUMMYFUNCTION("""COMPUTED_VALUE"""),3.5)</f>
        <v>3.5</v>
      </c>
      <c r="P13" s="508">
        <f ca="1">IFERROR(__xludf.DUMMYFUNCTION("""COMPUTED_VALUE"""),45456)</f>
        <v>45456</v>
      </c>
      <c r="Q13" s="508">
        <f ca="1">IFERROR(__xludf.DUMMYFUNCTION("""COMPUTED_VALUE"""),45484)</f>
        <v>45484</v>
      </c>
      <c r="R13" s="495">
        <f ca="1">IFERROR(__xludf.DUMMYFUNCTION("""COMPUTED_VALUE"""),909)</f>
        <v>909</v>
      </c>
      <c r="S13" s="495">
        <f ca="1">IFERROR(__xludf.DUMMYFUNCTION("""COMPUTED_VALUE"""),1)</f>
        <v>1</v>
      </c>
      <c r="T13" s="513">
        <f ca="1">IFERROR(__xludf.DUMMYFUNCTION("""COMPUTED_VALUE"""),0)</f>
        <v>0</v>
      </c>
      <c r="U13" s="508" t="str">
        <f ca="1">IFERROR(__xludf.DUMMYFUNCTION("""COMPUTED_VALUE"""),"-")</f>
        <v>-</v>
      </c>
      <c r="V13" s="495" t="str">
        <f ca="1">IFERROR(__xludf.DUMMYFUNCTION("""COMPUTED_VALUE"""),"-")</f>
        <v>-</v>
      </c>
      <c r="W13" s="495" t="str">
        <f ca="1">IFERROR(__xludf.DUMMYFUNCTION("""COMPUTED_VALUE"""),"-")</f>
        <v>-</v>
      </c>
      <c r="X13" s="513">
        <f ca="1">IFERROR(__xludf.DUMMYFUNCTION("""COMPUTED_VALUE"""),3.5)</f>
        <v>3.5</v>
      </c>
      <c r="Y13" s="524">
        <f ca="1">IFERROR(__xludf.DUMMYFUNCTION("""COMPUTED_VALUE"""),1.43)</f>
        <v>1.43</v>
      </c>
      <c r="Z13" s="524">
        <f ca="1">IFERROR(__xludf.DUMMYFUNCTION("""COMPUTED_VALUE"""),40.2)</f>
        <v>40.200000000000003</v>
      </c>
      <c r="AA13" s="495">
        <f ca="1">IFERROR(__xludf.DUMMYFUNCTION("""COMPUTED_VALUE"""),0)</f>
        <v>0</v>
      </c>
      <c r="AB13" s="495">
        <f ca="1">IFERROR(__xludf.DUMMYFUNCTION("""COMPUTED_VALUE"""),40.2)</f>
        <v>40.200000000000003</v>
      </c>
      <c r="AC13" s="521">
        <f t="shared" ca="1" si="0"/>
        <v>12.998699999999999</v>
      </c>
      <c r="AD13" s="52"/>
      <c r="AE13" s="52"/>
      <c r="AF13" s="52"/>
      <c r="AG13" s="52"/>
      <c r="AH13" s="52"/>
      <c r="AI13" s="52"/>
      <c r="AJ13" s="52"/>
      <c r="AK13" s="52"/>
      <c r="AL13" s="52"/>
    </row>
    <row r="14" spans="1:38" ht="15.75" customHeight="1">
      <c r="A14" s="494">
        <f ca="1">IFERROR(__xludf.DUMMYFUNCTION("""COMPUTED_VALUE"""),2023)</f>
        <v>2023</v>
      </c>
      <c r="B14" s="495">
        <f ca="1">IFERROR(__xludf.DUMMYFUNCTION("""COMPUTED_VALUE"""),2024)</f>
        <v>2024</v>
      </c>
      <c r="C14" s="508"/>
      <c r="D14" s="508">
        <f ca="1">IFERROR(__xludf.DUMMYFUNCTION("""COMPUTED_VALUE"""),46368)</f>
        <v>46368</v>
      </c>
      <c r="E14" s="500">
        <f ca="1">IFERROR(__xludf.DUMMYFUNCTION("""COMPUTED_VALUE"""),1045)</f>
        <v>1045</v>
      </c>
      <c r="F14" s="513">
        <f ca="1">IFERROR(__xludf.DUMMYFUNCTION("""COMPUTED_VALUE"""),0)</f>
        <v>0</v>
      </c>
      <c r="G14" s="513">
        <f ca="1">IFERROR(__xludf.DUMMYFUNCTION("""COMPUTED_VALUE"""),4)</f>
        <v>4</v>
      </c>
      <c r="H14" s="513">
        <f ca="1">IFERROR(__xludf.DUMMYFUNCTION("""COMPUTED_VALUE"""),32.34)</f>
        <v>32.340000000000003</v>
      </c>
      <c r="I14" s="497">
        <f ca="1">IFERROR(__xludf.DUMMYFUNCTION("""COMPUTED_VALUE"""),0.1237)</f>
        <v>0.1237</v>
      </c>
      <c r="J14" s="497">
        <f ca="1">IFERROR(__xludf.DUMMYFUNCTION("""COMPUTED_VALUE"""),0.0038)</f>
        <v>3.8E-3</v>
      </c>
      <c r="K14" s="497">
        <f ca="1">IFERROR(__xludf.DUMMYFUNCTION("""COMPUTED_VALUE"""),0)</f>
        <v>0</v>
      </c>
      <c r="L14" s="495">
        <f ca="1">IFERROR(__xludf.DUMMYFUNCTION("""COMPUTED_VALUE"""),0)</f>
        <v>0</v>
      </c>
      <c r="M14" s="496">
        <f ca="1">IFERROR(__xludf.DUMMYFUNCTION("""COMPUTED_VALUE"""),0)</f>
        <v>0</v>
      </c>
      <c r="N14" s="656"/>
      <c r="O14" s="513">
        <f ca="1">IFERROR(__xludf.DUMMYFUNCTION("""COMPUTED_VALUE"""),3.5)</f>
        <v>3.5</v>
      </c>
      <c r="P14" s="508">
        <f ca="1">IFERROR(__xludf.DUMMYFUNCTION("""COMPUTED_VALUE"""),45369)</f>
        <v>45369</v>
      </c>
      <c r="Q14" s="508">
        <f ca="1">IFERROR(__xludf.DUMMYFUNCTION("""COMPUTED_VALUE"""),45393)</f>
        <v>45393</v>
      </c>
      <c r="R14" s="495">
        <f ca="1">IFERROR(__xludf.DUMMYFUNCTION("""COMPUTED_VALUE"""),753)</f>
        <v>753</v>
      </c>
      <c r="S14" s="495">
        <f ca="1">IFERROR(__xludf.DUMMYFUNCTION("""COMPUTED_VALUE"""),1)</f>
        <v>1</v>
      </c>
      <c r="T14" s="513">
        <f ca="1">IFERROR(__xludf.DUMMYFUNCTION("""COMPUTED_VALUE"""),0)</f>
        <v>0</v>
      </c>
      <c r="U14" s="508" t="str">
        <f ca="1">IFERROR(__xludf.DUMMYFUNCTION("""COMPUTED_VALUE"""),"-")</f>
        <v>-</v>
      </c>
      <c r="V14" s="495" t="str">
        <f ca="1">IFERROR(__xludf.DUMMYFUNCTION("""COMPUTED_VALUE"""),"-")</f>
        <v>-</v>
      </c>
      <c r="W14" s="495" t="str">
        <f ca="1">IFERROR(__xludf.DUMMYFUNCTION("""COMPUTED_VALUE"""),"-")</f>
        <v>-</v>
      </c>
      <c r="X14" s="513">
        <f ca="1">IFERROR(__xludf.DUMMYFUNCTION("""COMPUTED_VALUE"""),3.5)</f>
        <v>3.5</v>
      </c>
      <c r="Y14" s="524"/>
      <c r="Z14" s="524"/>
      <c r="AA14" s="495"/>
      <c r="AB14" s="495"/>
      <c r="AC14" s="521">
        <f t="shared" ca="1" si="0"/>
        <v>0</v>
      </c>
      <c r="AD14" s="52"/>
      <c r="AE14" s="52"/>
      <c r="AF14" s="52"/>
      <c r="AG14" s="52"/>
      <c r="AH14" s="52"/>
      <c r="AI14" s="52"/>
      <c r="AJ14" s="52"/>
      <c r="AK14" s="52"/>
      <c r="AL14" s="52"/>
    </row>
    <row r="15" spans="1:38" ht="15.75" customHeight="1">
      <c r="A15" s="494">
        <f ca="1">IFERROR(__xludf.DUMMYFUNCTION("""COMPUTED_VALUE"""),2023)</f>
        <v>2023</v>
      </c>
      <c r="B15" s="495">
        <f ca="1">IFERROR(__xludf.DUMMYFUNCTION("""COMPUTED_VALUE"""),2024)</f>
        <v>2024</v>
      </c>
      <c r="C15" s="508"/>
      <c r="D15" s="508">
        <f ca="1">IFERROR(__xludf.DUMMYFUNCTION("""COMPUTED_VALUE"""),46277)</f>
        <v>46277</v>
      </c>
      <c r="E15" s="500">
        <f ca="1">IFERROR(__xludf.DUMMYFUNCTION("""COMPUTED_VALUE"""),901)</f>
        <v>901</v>
      </c>
      <c r="F15" s="513">
        <f ca="1">IFERROR(__xludf.DUMMYFUNCTION("""COMPUTED_VALUE"""),0)</f>
        <v>0</v>
      </c>
      <c r="G15" s="513">
        <f ca="1">IFERROR(__xludf.DUMMYFUNCTION("""COMPUTED_VALUE"""),4)</f>
        <v>4</v>
      </c>
      <c r="H15" s="513">
        <f ca="1">IFERROR(__xludf.DUMMYFUNCTION("""COMPUTED_VALUE"""),32.34)</f>
        <v>32.340000000000003</v>
      </c>
      <c r="I15" s="497">
        <f ca="1">IFERROR(__xludf.DUMMYFUNCTION("""COMPUTED_VALUE"""),0.1237)</f>
        <v>0.1237</v>
      </c>
      <c r="J15" s="497">
        <f ca="1">IFERROR(__xludf.DUMMYFUNCTION("""COMPUTED_VALUE"""),0.0044)</f>
        <v>4.4000000000000003E-3</v>
      </c>
      <c r="K15" s="497">
        <f ca="1">IFERROR(__xludf.DUMMYFUNCTION("""COMPUTED_VALUE"""),0)</f>
        <v>0</v>
      </c>
      <c r="L15" s="495">
        <f ca="1">IFERROR(__xludf.DUMMYFUNCTION("""COMPUTED_VALUE"""),0)</f>
        <v>0</v>
      </c>
      <c r="M15" s="496">
        <f ca="1">IFERROR(__xludf.DUMMYFUNCTION("""COMPUTED_VALUE"""),0)</f>
        <v>0</v>
      </c>
      <c r="N15" s="656"/>
      <c r="O15" s="513">
        <f ca="1">IFERROR(__xludf.DUMMYFUNCTION("""COMPUTED_VALUE"""),3)</f>
        <v>3</v>
      </c>
      <c r="P15" s="508">
        <f ca="1">IFERROR(__xludf.DUMMYFUNCTION("""COMPUTED_VALUE"""),45274)</f>
        <v>45274</v>
      </c>
      <c r="Q15" s="508">
        <f ca="1">IFERROR(__xludf.DUMMYFUNCTION("""COMPUTED_VALUE"""),45302)</f>
        <v>45302</v>
      </c>
      <c r="R15" s="495">
        <f ca="1">IFERROR(__xludf.DUMMYFUNCTION("""COMPUTED_VALUE"""),577)</f>
        <v>577</v>
      </c>
      <c r="S15" s="495">
        <f ca="1">IFERROR(__xludf.DUMMYFUNCTION("""COMPUTED_VALUE"""),1)</f>
        <v>1</v>
      </c>
      <c r="T15" s="513">
        <f ca="1">IFERROR(__xludf.DUMMYFUNCTION("""COMPUTED_VALUE"""),0)</f>
        <v>0</v>
      </c>
      <c r="U15" s="508" t="str">
        <f ca="1">IFERROR(__xludf.DUMMYFUNCTION("""COMPUTED_VALUE"""),"-")</f>
        <v>-</v>
      </c>
      <c r="V15" s="495" t="str">
        <f ca="1">IFERROR(__xludf.DUMMYFUNCTION("""COMPUTED_VALUE"""),"-")</f>
        <v>-</v>
      </c>
      <c r="W15" s="495" t="str">
        <f ca="1">IFERROR(__xludf.DUMMYFUNCTION("""COMPUTED_VALUE"""),"-")</f>
        <v>-</v>
      </c>
      <c r="X15" s="513">
        <f ca="1">IFERROR(__xludf.DUMMYFUNCTION("""COMPUTED_VALUE"""),3)</f>
        <v>3</v>
      </c>
      <c r="Y15" s="524"/>
      <c r="Z15" s="524"/>
      <c r="AA15" s="495"/>
      <c r="AB15" s="495"/>
      <c r="AC15" s="521">
        <f t="shared" ca="1" si="0"/>
        <v>0</v>
      </c>
      <c r="AD15" s="52"/>
      <c r="AE15" s="52"/>
      <c r="AF15" s="52"/>
      <c r="AG15" s="52"/>
      <c r="AH15" s="52"/>
      <c r="AI15" s="52"/>
      <c r="AJ15" s="52"/>
      <c r="AK15" s="52"/>
      <c r="AL15" s="52"/>
    </row>
    <row r="16" spans="1:38" ht="15.75" customHeight="1">
      <c r="A16" s="494">
        <f ca="1">IFERROR(__xludf.DUMMYFUNCTION("""COMPUTED_VALUE"""),2023)</f>
        <v>2023</v>
      </c>
      <c r="B16" s="495">
        <f ca="1">IFERROR(__xludf.DUMMYFUNCTION("""COMPUTED_VALUE"""),2024)</f>
        <v>2024</v>
      </c>
      <c r="C16" s="508"/>
      <c r="D16" s="508">
        <f ca="1">IFERROR(__xludf.DUMMYFUNCTION("""COMPUTED_VALUE"""),46186)</f>
        <v>46186</v>
      </c>
      <c r="E16" s="500">
        <f ca="1">IFERROR(__xludf.DUMMYFUNCTION("""COMPUTED_VALUE"""),909)</f>
        <v>909</v>
      </c>
      <c r="F16" s="513">
        <f ca="1">IFERROR(__xludf.DUMMYFUNCTION("""COMPUTED_VALUE"""),0)</f>
        <v>0</v>
      </c>
      <c r="G16" s="513">
        <f ca="1">IFERROR(__xludf.DUMMYFUNCTION("""COMPUTED_VALUE"""),3.5)</f>
        <v>3.5</v>
      </c>
      <c r="H16" s="513">
        <f ca="1">IFERROR(__xludf.DUMMYFUNCTION("""COMPUTED_VALUE"""),32.34)</f>
        <v>32.340000000000003</v>
      </c>
      <c r="I16" s="497">
        <f ca="1">IFERROR(__xludf.DUMMYFUNCTION("""COMPUTED_VALUE"""),0.1082)</f>
        <v>0.1082</v>
      </c>
      <c r="J16" s="497">
        <f ca="1">IFERROR(__xludf.DUMMYFUNCTION("""COMPUTED_VALUE"""),0.0039)</f>
        <v>3.8999999999999998E-3</v>
      </c>
      <c r="K16" s="497">
        <f ca="1">IFERROR(__xludf.DUMMYFUNCTION("""COMPUTED_VALUE"""),0)</f>
        <v>0</v>
      </c>
      <c r="L16" s="495">
        <f ca="1">IFERROR(__xludf.DUMMYFUNCTION("""COMPUTED_VALUE"""),0)</f>
        <v>0</v>
      </c>
      <c r="M16" s="496">
        <f ca="1">IFERROR(__xludf.DUMMYFUNCTION("""COMPUTED_VALUE"""),0)</f>
        <v>0</v>
      </c>
      <c r="N16" s="656"/>
      <c r="O16" s="513">
        <f ca="1">IFERROR(__xludf.DUMMYFUNCTION("""COMPUTED_VALUE"""),3)</f>
        <v>3</v>
      </c>
      <c r="P16" s="508">
        <f ca="1">IFERROR(__xludf.DUMMYFUNCTION("""COMPUTED_VALUE"""),45183)</f>
        <v>45183</v>
      </c>
      <c r="Q16" s="508">
        <f ca="1">IFERROR(__xludf.DUMMYFUNCTION("""COMPUTED_VALUE"""),45211)</f>
        <v>45211</v>
      </c>
      <c r="R16" s="495">
        <f ca="1">IFERROR(__xludf.DUMMYFUNCTION("""COMPUTED_VALUE"""),541)</f>
        <v>541</v>
      </c>
      <c r="S16" s="495">
        <f ca="1">IFERROR(__xludf.DUMMYFUNCTION("""COMPUTED_VALUE"""),1)</f>
        <v>1</v>
      </c>
      <c r="T16" s="513">
        <f ca="1">IFERROR(__xludf.DUMMYFUNCTION("""COMPUTED_VALUE"""),0)</f>
        <v>0</v>
      </c>
      <c r="U16" s="508" t="str">
        <f ca="1">IFERROR(__xludf.DUMMYFUNCTION("""COMPUTED_VALUE"""),"-")</f>
        <v>-</v>
      </c>
      <c r="V16" s="495" t="str">
        <f ca="1">IFERROR(__xludf.DUMMYFUNCTION("""COMPUTED_VALUE"""),"-")</f>
        <v>-</v>
      </c>
      <c r="W16" s="495" t="str">
        <f ca="1">IFERROR(__xludf.DUMMYFUNCTION("""COMPUTED_VALUE"""),"-")</f>
        <v>-</v>
      </c>
      <c r="X16" s="513">
        <f ca="1">IFERROR(__xludf.DUMMYFUNCTION("""COMPUTED_VALUE"""),3)</f>
        <v>3</v>
      </c>
      <c r="Y16" s="524"/>
      <c r="Z16" s="524"/>
      <c r="AA16" s="495"/>
      <c r="AB16" s="495"/>
      <c r="AC16" s="521">
        <f t="shared" ca="1" si="0"/>
        <v>0</v>
      </c>
      <c r="AD16" s="52"/>
      <c r="AE16" s="52"/>
      <c r="AF16" s="52"/>
      <c r="AG16" s="52"/>
      <c r="AH16" s="52"/>
      <c r="AI16" s="52"/>
      <c r="AJ16" s="52"/>
      <c r="AK16" s="52"/>
      <c r="AL16" s="52"/>
    </row>
    <row r="17" spans="1:38" ht="15.75" customHeight="1">
      <c r="A17" s="494">
        <f ca="1">IFERROR(__xludf.DUMMYFUNCTION("""COMPUTED_VALUE"""),2023)</f>
        <v>2023</v>
      </c>
      <c r="B17" s="495">
        <f ca="1">IFERROR(__xludf.DUMMYFUNCTION("""COMPUTED_VALUE"""),2024)</f>
        <v>2024</v>
      </c>
      <c r="C17" s="508"/>
      <c r="D17" s="508">
        <f ca="1">IFERROR(__xludf.DUMMYFUNCTION("""COMPUTED_VALUE"""),46099)</f>
        <v>46099</v>
      </c>
      <c r="E17" s="500">
        <f ca="1">IFERROR(__xludf.DUMMYFUNCTION("""COMPUTED_VALUE"""),753)</f>
        <v>753</v>
      </c>
      <c r="F17" s="513">
        <f ca="1">IFERROR(__xludf.DUMMYFUNCTION("""COMPUTED_VALUE"""),0)</f>
        <v>0</v>
      </c>
      <c r="G17" s="513">
        <f ca="1">IFERROR(__xludf.DUMMYFUNCTION("""COMPUTED_VALUE"""),3.5)</f>
        <v>3.5</v>
      </c>
      <c r="H17" s="513">
        <f ca="1">IFERROR(__xludf.DUMMYFUNCTION("""COMPUTED_VALUE"""),32.34)</f>
        <v>32.340000000000003</v>
      </c>
      <c r="I17" s="497">
        <f ca="1">IFERROR(__xludf.DUMMYFUNCTION("""COMPUTED_VALUE"""),0.1082)</f>
        <v>0.1082</v>
      </c>
      <c r="J17" s="497">
        <f ca="1">IFERROR(__xludf.DUMMYFUNCTION("""COMPUTED_VALUE"""),0.0046)</f>
        <v>4.5999999999999999E-3</v>
      </c>
      <c r="K17" s="497">
        <f ca="1">IFERROR(__xludf.DUMMYFUNCTION("""COMPUTED_VALUE"""),0)</f>
        <v>0</v>
      </c>
      <c r="L17" s="495">
        <f ca="1">IFERROR(__xludf.DUMMYFUNCTION("""COMPUTED_VALUE"""),0)</f>
        <v>0</v>
      </c>
      <c r="M17" s="496">
        <f ca="1">IFERROR(__xludf.DUMMYFUNCTION("""COMPUTED_VALUE"""),0)</f>
        <v>0</v>
      </c>
      <c r="N17" s="656">
        <f ca="1">IFERROR(__xludf.DUMMYFUNCTION("""COMPUTED_VALUE"""),2022)</f>
        <v>2022</v>
      </c>
      <c r="O17" s="513">
        <f ca="1">IFERROR(__xludf.DUMMYFUNCTION("""COMPUTED_VALUE"""),2.75)</f>
        <v>2.75</v>
      </c>
      <c r="P17" s="508">
        <f ca="1">IFERROR(__xludf.DUMMYFUNCTION("""COMPUTED_VALUE"""),45092)</f>
        <v>45092</v>
      </c>
      <c r="Q17" s="508">
        <f ca="1">IFERROR(__xludf.DUMMYFUNCTION("""COMPUTED_VALUE"""),45120)</f>
        <v>45120</v>
      </c>
      <c r="R17" s="495">
        <f ca="1">IFERROR(__xludf.DUMMYFUNCTION("""COMPUTED_VALUE"""),590)</f>
        <v>590</v>
      </c>
      <c r="S17" s="495">
        <f ca="1">IFERROR(__xludf.DUMMYFUNCTION("""COMPUTED_VALUE"""),1)</f>
        <v>1</v>
      </c>
      <c r="T17" s="513">
        <f ca="1">IFERROR(__xludf.DUMMYFUNCTION("""COMPUTED_VALUE"""),0)</f>
        <v>0</v>
      </c>
      <c r="U17" s="508" t="str">
        <f ca="1">IFERROR(__xludf.DUMMYFUNCTION("""COMPUTED_VALUE"""),"-")</f>
        <v>-</v>
      </c>
      <c r="V17" s="495" t="str">
        <f ca="1">IFERROR(__xludf.DUMMYFUNCTION("""COMPUTED_VALUE"""),"-")</f>
        <v>-</v>
      </c>
      <c r="W17" s="495" t="str">
        <f ca="1">IFERROR(__xludf.DUMMYFUNCTION("""COMPUTED_VALUE"""),"-")</f>
        <v>-</v>
      </c>
      <c r="X17" s="513">
        <f ca="1">IFERROR(__xludf.DUMMYFUNCTION("""COMPUTED_VALUE"""),2.75)</f>
        <v>2.75</v>
      </c>
      <c r="Y17" s="524">
        <f ca="1">IFERROR(__xludf.DUMMYFUNCTION("""COMPUTED_VALUE"""),1.86)</f>
        <v>1.86</v>
      </c>
      <c r="Z17" s="524">
        <f ca="1">IFERROR(__xludf.DUMMYFUNCTION("""COMPUTED_VALUE"""),28.1)</f>
        <v>28.1</v>
      </c>
      <c r="AA17" s="495">
        <f ca="1">IFERROR(__xludf.DUMMYFUNCTION("""COMPUTED_VALUE"""),0)</f>
        <v>0</v>
      </c>
      <c r="AB17" s="495">
        <f ca="1">IFERROR(__xludf.DUMMYFUNCTION("""COMPUTED_VALUE"""),28.1)</f>
        <v>28.1</v>
      </c>
      <c r="AC17" s="521">
        <f t="shared" ca="1" si="0"/>
        <v>10.974</v>
      </c>
      <c r="AD17" s="52"/>
      <c r="AE17" s="52"/>
      <c r="AF17" s="52"/>
      <c r="AG17" s="52"/>
      <c r="AH17" s="52"/>
      <c r="AI17" s="52"/>
      <c r="AJ17" s="52"/>
      <c r="AK17" s="52"/>
      <c r="AL17" s="52"/>
    </row>
    <row r="18" spans="1:38" ht="15.75" customHeight="1">
      <c r="A18" s="498">
        <f ca="1">IFERROR(__xludf.DUMMYFUNCTION("""COMPUTED_VALUE"""),2022)</f>
        <v>2022</v>
      </c>
      <c r="B18" s="499">
        <f ca="1">IFERROR(__xludf.DUMMYFUNCTION("""COMPUTED_VALUE"""),2023)</f>
        <v>2023</v>
      </c>
      <c r="C18" s="509"/>
      <c r="D18" s="509">
        <f ca="1">IFERROR(__xludf.DUMMYFUNCTION("""COMPUTED_VALUE"""),46370)</f>
        <v>46370</v>
      </c>
      <c r="E18" s="511">
        <f ca="1">IFERROR(__xludf.DUMMYFUNCTION("""COMPUTED_VALUE"""),577)</f>
        <v>577</v>
      </c>
      <c r="F18" s="466">
        <f ca="1">IFERROR(__xludf.DUMMYFUNCTION("""COMPUTED_VALUE"""),0)</f>
        <v>0</v>
      </c>
      <c r="G18" s="466">
        <f ca="1">IFERROR(__xludf.DUMMYFUNCTION("""COMPUTED_VALUE"""),3)</f>
        <v>3</v>
      </c>
      <c r="H18" s="513">
        <f ca="1">IFERROR(__xludf.DUMMYFUNCTION("""COMPUTED_VALUE"""),39.2)</f>
        <v>39.200000000000003</v>
      </c>
      <c r="I18" s="497">
        <f ca="1">IFERROR(__xludf.DUMMYFUNCTION("""COMPUTED_VALUE"""),0.0765)</f>
        <v>7.6499999999999999E-2</v>
      </c>
      <c r="J18" s="497">
        <f ca="1">IFERROR(__xludf.DUMMYFUNCTION("""COMPUTED_VALUE"""),0.0052)</f>
        <v>5.1999999999999998E-3</v>
      </c>
      <c r="K18" s="497">
        <f ca="1">IFERROR(__xludf.DUMMYFUNCTION("""COMPUTED_VALUE"""),0)</f>
        <v>0</v>
      </c>
      <c r="L18" s="495">
        <f ca="1">IFERROR(__xludf.DUMMYFUNCTION("""COMPUTED_VALUE"""),0)</f>
        <v>0</v>
      </c>
      <c r="M18" s="496">
        <f ca="1">IFERROR(__xludf.DUMMYFUNCTION("""COMPUTED_VALUE"""),0)</f>
        <v>0</v>
      </c>
      <c r="N18" s="656"/>
      <c r="O18" s="513">
        <f ca="1">IFERROR(__xludf.DUMMYFUNCTION("""COMPUTED_VALUE"""),2.75)</f>
        <v>2.75</v>
      </c>
      <c r="P18" s="508">
        <f ca="1">IFERROR(__xludf.DUMMYFUNCTION("""COMPUTED_VALUE"""),45001)</f>
        <v>45001</v>
      </c>
      <c r="Q18" s="508">
        <f ca="1">IFERROR(__xludf.DUMMYFUNCTION("""COMPUTED_VALUE"""),45029)</f>
        <v>45029</v>
      </c>
      <c r="R18" s="495">
        <f ca="1">IFERROR(__xludf.DUMMYFUNCTION("""COMPUTED_VALUE"""),511)</f>
        <v>511</v>
      </c>
      <c r="S18" s="495">
        <f ca="1">IFERROR(__xludf.DUMMYFUNCTION("""COMPUTED_VALUE"""),2)</f>
        <v>2</v>
      </c>
      <c r="T18" s="513">
        <f ca="1">IFERROR(__xludf.DUMMYFUNCTION("""COMPUTED_VALUE"""),0)</f>
        <v>0</v>
      </c>
      <c r="U18" s="508" t="str">
        <f ca="1">IFERROR(__xludf.DUMMYFUNCTION("""COMPUTED_VALUE"""),"-")</f>
        <v>-</v>
      </c>
      <c r="V18" s="495" t="str">
        <f ca="1">IFERROR(__xludf.DUMMYFUNCTION("""COMPUTED_VALUE"""),"-")</f>
        <v>-</v>
      </c>
      <c r="W18" s="495" t="str">
        <f ca="1">IFERROR(__xludf.DUMMYFUNCTION("""COMPUTED_VALUE"""),"-")</f>
        <v>-</v>
      </c>
      <c r="X18" s="513">
        <f ca="1">IFERROR(__xludf.DUMMYFUNCTION("""COMPUTED_VALUE"""),2.75)</f>
        <v>2.75</v>
      </c>
      <c r="Y18" s="524"/>
      <c r="Z18" s="524"/>
      <c r="AA18" s="495"/>
      <c r="AB18" s="495"/>
      <c r="AC18" s="521">
        <f t="shared" ca="1" si="0"/>
        <v>0</v>
      </c>
      <c r="AD18" s="52"/>
      <c r="AE18" s="52"/>
      <c r="AF18" s="52"/>
      <c r="AG18" s="52"/>
      <c r="AH18" s="52"/>
      <c r="AI18" s="52"/>
      <c r="AJ18" s="52"/>
      <c r="AK18" s="52"/>
      <c r="AL18" s="52"/>
    </row>
    <row r="19" spans="1:38" ht="15.75" customHeight="1">
      <c r="A19" s="498">
        <f ca="1">IFERROR(__xludf.DUMMYFUNCTION("""COMPUTED_VALUE"""),2022)</f>
        <v>2022</v>
      </c>
      <c r="B19" s="499">
        <f ca="1">IFERROR(__xludf.DUMMYFUNCTION("""COMPUTED_VALUE"""),2023)</f>
        <v>2023</v>
      </c>
      <c r="C19" s="509"/>
      <c r="D19" s="509">
        <f ca="1">IFERROR(__xludf.DUMMYFUNCTION("""COMPUTED_VALUE"""),46279)</f>
        <v>46279</v>
      </c>
      <c r="E19" s="511">
        <f ca="1">IFERROR(__xludf.DUMMYFUNCTION("""COMPUTED_VALUE"""),541)</f>
        <v>541</v>
      </c>
      <c r="F19" s="466">
        <f ca="1">IFERROR(__xludf.DUMMYFUNCTION("""COMPUTED_VALUE"""),0)</f>
        <v>0</v>
      </c>
      <c r="G19" s="466">
        <f ca="1">IFERROR(__xludf.DUMMYFUNCTION("""COMPUTED_VALUE"""),3)</f>
        <v>3</v>
      </c>
      <c r="H19" s="513">
        <f ca="1">IFERROR(__xludf.DUMMYFUNCTION("""COMPUTED_VALUE"""),39.2)</f>
        <v>39.200000000000003</v>
      </c>
      <c r="I19" s="497">
        <f ca="1">IFERROR(__xludf.DUMMYFUNCTION("""COMPUTED_VALUE"""),0.0765)</f>
        <v>7.6499999999999999E-2</v>
      </c>
      <c r="J19" s="497">
        <f ca="1">IFERROR(__xludf.DUMMYFUNCTION("""COMPUTED_VALUE"""),0.0055)</f>
        <v>5.4999999999999997E-3</v>
      </c>
      <c r="K19" s="497">
        <f ca="1">IFERROR(__xludf.DUMMYFUNCTION("""COMPUTED_VALUE"""),0)</f>
        <v>0</v>
      </c>
      <c r="L19" s="495">
        <f ca="1">IFERROR(__xludf.DUMMYFUNCTION("""COMPUTED_VALUE"""),0)</f>
        <v>0</v>
      </c>
      <c r="M19" s="496">
        <f ca="1">IFERROR(__xludf.DUMMYFUNCTION("""COMPUTED_VALUE"""),0)</f>
        <v>0</v>
      </c>
      <c r="N19" s="656"/>
      <c r="O19" s="513">
        <f ca="1">IFERROR(__xludf.DUMMYFUNCTION("""COMPUTED_VALUE"""),2.75)</f>
        <v>2.75</v>
      </c>
      <c r="P19" s="508">
        <f ca="1">IFERROR(__xludf.DUMMYFUNCTION("""COMPUTED_VALUE"""),44910)</f>
        <v>44910</v>
      </c>
      <c r="Q19" s="508">
        <f ca="1">IFERROR(__xludf.DUMMYFUNCTION("""COMPUTED_VALUE"""),44938)</f>
        <v>44938</v>
      </c>
      <c r="R19" s="495">
        <f ca="1">IFERROR(__xludf.DUMMYFUNCTION("""COMPUTED_VALUE"""),480.5)</f>
        <v>480.5</v>
      </c>
      <c r="S19" s="495">
        <f ca="1">IFERROR(__xludf.DUMMYFUNCTION("""COMPUTED_VALUE"""),1)</f>
        <v>1</v>
      </c>
      <c r="T19" s="513">
        <f ca="1">IFERROR(__xludf.DUMMYFUNCTION("""COMPUTED_VALUE"""),0)</f>
        <v>0</v>
      </c>
      <c r="U19" s="508" t="str">
        <f ca="1">IFERROR(__xludf.DUMMYFUNCTION("""COMPUTED_VALUE"""),"-")</f>
        <v>-</v>
      </c>
      <c r="V19" s="495" t="str">
        <f ca="1">IFERROR(__xludf.DUMMYFUNCTION("""COMPUTED_VALUE"""),"-")</f>
        <v>-</v>
      </c>
      <c r="W19" s="495" t="str">
        <f ca="1">IFERROR(__xludf.DUMMYFUNCTION("""COMPUTED_VALUE"""),"-")</f>
        <v>-</v>
      </c>
      <c r="X19" s="513">
        <f ca="1">IFERROR(__xludf.DUMMYFUNCTION("""COMPUTED_VALUE"""),2.75)</f>
        <v>2.75</v>
      </c>
      <c r="Y19" s="524"/>
      <c r="Z19" s="524"/>
      <c r="AA19" s="495"/>
      <c r="AB19" s="495"/>
      <c r="AC19" s="521">
        <f t="shared" ca="1" si="0"/>
        <v>0</v>
      </c>
      <c r="AD19" s="52"/>
      <c r="AE19" s="52"/>
      <c r="AF19" s="52"/>
      <c r="AG19" s="52"/>
      <c r="AH19" s="52"/>
      <c r="AI19" s="52"/>
      <c r="AJ19" s="52"/>
      <c r="AK19" s="52"/>
      <c r="AL19" s="52"/>
    </row>
    <row r="20" spans="1:38" ht="15.75" customHeight="1">
      <c r="A20" s="498">
        <f ca="1">IFERROR(__xludf.DUMMYFUNCTION("""COMPUTED_VALUE"""),2022)</f>
        <v>2022</v>
      </c>
      <c r="B20" s="499">
        <f ca="1">IFERROR(__xludf.DUMMYFUNCTION("""COMPUTED_VALUE"""),2023)</f>
        <v>2023</v>
      </c>
      <c r="C20" s="509"/>
      <c r="D20" s="509">
        <f ca="1">IFERROR(__xludf.DUMMYFUNCTION("""COMPUTED_VALUE"""),46188)</f>
        <v>46188</v>
      </c>
      <c r="E20" s="511">
        <f ca="1">IFERROR(__xludf.DUMMYFUNCTION("""COMPUTED_VALUE"""),590)</f>
        <v>590</v>
      </c>
      <c r="F20" s="466">
        <f ca="1">IFERROR(__xludf.DUMMYFUNCTION("""COMPUTED_VALUE"""),0)</f>
        <v>0</v>
      </c>
      <c r="G20" s="466">
        <f ca="1">IFERROR(__xludf.DUMMYFUNCTION("""COMPUTED_VALUE"""),2.75)</f>
        <v>2.75</v>
      </c>
      <c r="H20" s="513">
        <f ca="1">IFERROR(__xludf.DUMMYFUNCTION("""COMPUTED_VALUE"""),39.2)</f>
        <v>39.200000000000003</v>
      </c>
      <c r="I20" s="497">
        <f ca="1">IFERROR(__xludf.DUMMYFUNCTION("""COMPUTED_VALUE"""),0.0702)</f>
        <v>7.0199999999999999E-2</v>
      </c>
      <c r="J20" s="497">
        <f ca="1">IFERROR(__xludf.DUMMYFUNCTION("""COMPUTED_VALUE"""),0.0047)</f>
        <v>4.7000000000000002E-3</v>
      </c>
      <c r="K20" s="497">
        <f ca="1">IFERROR(__xludf.DUMMYFUNCTION("""COMPUTED_VALUE"""),0)</f>
        <v>0</v>
      </c>
      <c r="L20" s="495">
        <f ca="1">IFERROR(__xludf.DUMMYFUNCTION("""COMPUTED_VALUE"""),0)</f>
        <v>0</v>
      </c>
      <c r="M20" s="496">
        <f ca="1">IFERROR(__xludf.DUMMYFUNCTION("""COMPUTED_VALUE"""),0)</f>
        <v>0</v>
      </c>
      <c r="N20" s="656"/>
      <c r="O20" s="513">
        <f ca="1">IFERROR(__xludf.DUMMYFUNCTION("""COMPUTED_VALUE"""),2.75)</f>
        <v>2.75</v>
      </c>
      <c r="P20" s="508">
        <f ca="1">IFERROR(__xludf.DUMMYFUNCTION("""COMPUTED_VALUE"""),44819)</f>
        <v>44819</v>
      </c>
      <c r="Q20" s="508">
        <f ca="1">IFERROR(__xludf.DUMMYFUNCTION("""COMPUTED_VALUE"""),44847)</f>
        <v>44847</v>
      </c>
      <c r="R20" s="495">
        <f ca="1">IFERROR(__xludf.DUMMYFUNCTION("""COMPUTED_VALUE"""),480)</f>
        <v>480</v>
      </c>
      <c r="S20" s="495">
        <f ca="1">IFERROR(__xludf.DUMMYFUNCTION("""COMPUTED_VALUE"""),43)</f>
        <v>43</v>
      </c>
      <c r="T20" s="513">
        <f ca="1">IFERROR(__xludf.DUMMYFUNCTION("""COMPUTED_VALUE"""),0)</f>
        <v>0</v>
      </c>
      <c r="U20" s="508" t="str">
        <f ca="1">IFERROR(__xludf.DUMMYFUNCTION("""COMPUTED_VALUE"""),"-")</f>
        <v>-</v>
      </c>
      <c r="V20" s="495" t="str">
        <f ca="1">IFERROR(__xludf.DUMMYFUNCTION("""COMPUTED_VALUE"""),"-")</f>
        <v>-</v>
      </c>
      <c r="W20" s="495" t="str">
        <f ca="1">IFERROR(__xludf.DUMMYFUNCTION("""COMPUTED_VALUE"""),"-")</f>
        <v>-</v>
      </c>
      <c r="X20" s="513">
        <f ca="1">IFERROR(__xludf.DUMMYFUNCTION("""COMPUTED_VALUE"""),2.75)</f>
        <v>2.75</v>
      </c>
      <c r="Y20" s="524"/>
      <c r="Z20" s="524"/>
      <c r="AA20" s="495"/>
      <c r="AB20" s="495"/>
      <c r="AC20" s="521">
        <f t="shared" ca="1" si="0"/>
        <v>0</v>
      </c>
      <c r="AD20" s="52"/>
      <c r="AE20" s="52"/>
      <c r="AF20" s="52"/>
      <c r="AG20" s="52"/>
      <c r="AH20" s="52"/>
      <c r="AI20" s="52"/>
      <c r="AJ20" s="52"/>
      <c r="AK20" s="52"/>
      <c r="AL20" s="52"/>
    </row>
    <row r="21" spans="1:38" ht="15.75" customHeight="1" thickBot="1">
      <c r="A21" s="498">
        <f ca="1">IFERROR(__xludf.DUMMYFUNCTION("""COMPUTED_VALUE"""),2022)</f>
        <v>2022</v>
      </c>
      <c r="B21" s="499">
        <f ca="1">IFERROR(__xludf.DUMMYFUNCTION("""COMPUTED_VALUE"""),2023)</f>
        <v>2023</v>
      </c>
      <c r="C21" s="509"/>
      <c r="D21" s="509">
        <f ca="1">IFERROR(__xludf.DUMMYFUNCTION("""COMPUTED_VALUE"""),46097)</f>
        <v>46097</v>
      </c>
      <c r="E21" s="511">
        <f ca="1">IFERROR(__xludf.DUMMYFUNCTION("""COMPUTED_VALUE"""),511)</f>
        <v>511</v>
      </c>
      <c r="F21" s="466">
        <f ca="1">IFERROR(__xludf.DUMMYFUNCTION("""COMPUTED_VALUE"""),0)</f>
        <v>0</v>
      </c>
      <c r="G21" s="466">
        <f ca="1">IFERROR(__xludf.DUMMYFUNCTION("""COMPUTED_VALUE"""),2.75)</f>
        <v>2.75</v>
      </c>
      <c r="H21" s="513">
        <f ca="1">IFERROR(__xludf.DUMMYFUNCTION("""COMPUTED_VALUE"""),39.2)</f>
        <v>39.200000000000003</v>
      </c>
      <c r="I21" s="497">
        <f ca="1">IFERROR(__xludf.DUMMYFUNCTION("""COMPUTED_VALUE"""),0.0702)</f>
        <v>7.0199999999999999E-2</v>
      </c>
      <c r="J21" s="497">
        <f ca="1">IFERROR(__xludf.DUMMYFUNCTION("""COMPUTED_VALUE"""),0.0054)</f>
        <v>5.4000000000000003E-3</v>
      </c>
      <c r="K21" s="497">
        <f ca="1">IFERROR(__xludf.DUMMYFUNCTION("""COMPUTED_VALUE"""),0)</f>
        <v>0</v>
      </c>
      <c r="L21" s="495">
        <f ca="1">IFERROR(__xludf.DUMMYFUNCTION("""COMPUTED_VALUE"""),0)</f>
        <v>0</v>
      </c>
      <c r="M21" s="496">
        <f ca="1">IFERROR(__xludf.DUMMYFUNCTION("""COMPUTED_VALUE"""),0)</f>
        <v>0</v>
      </c>
      <c r="N21" s="657">
        <f ca="1">IFERROR(__xludf.DUMMYFUNCTION("""COMPUTED_VALUE"""),2021)</f>
        <v>2021</v>
      </c>
      <c r="O21" s="514">
        <f ca="1">IFERROR(__xludf.DUMMYFUNCTION("""COMPUTED_VALUE"""),2.75)</f>
        <v>2.75</v>
      </c>
      <c r="P21" s="510">
        <f ca="1">IFERROR(__xludf.DUMMYFUNCTION("""COMPUTED_VALUE"""),44728)</f>
        <v>44728</v>
      </c>
      <c r="Q21" s="510">
        <f ca="1">IFERROR(__xludf.DUMMYFUNCTION("""COMPUTED_VALUE"""),44756)</f>
        <v>44756</v>
      </c>
      <c r="R21" s="506">
        <f ca="1">IFERROR(__xludf.DUMMYFUNCTION("""COMPUTED_VALUE"""),509)</f>
        <v>509</v>
      </c>
      <c r="S21" s="506">
        <f ca="1">IFERROR(__xludf.DUMMYFUNCTION("""COMPUTED_VALUE"""),32)</f>
        <v>32</v>
      </c>
      <c r="T21" s="514">
        <f ca="1">IFERROR(__xludf.DUMMYFUNCTION("""COMPUTED_VALUE"""),0)</f>
        <v>0</v>
      </c>
      <c r="U21" s="510" t="str">
        <f ca="1">IFERROR(__xludf.DUMMYFUNCTION("""COMPUTED_VALUE"""),"-")</f>
        <v>-</v>
      </c>
      <c r="V21" s="506" t="str">
        <f ca="1">IFERROR(__xludf.DUMMYFUNCTION("""COMPUTED_VALUE"""),"-")</f>
        <v>-</v>
      </c>
      <c r="W21" s="506" t="str">
        <f ca="1">IFERROR(__xludf.DUMMYFUNCTION("""COMPUTED_VALUE"""),"-")</f>
        <v>-</v>
      </c>
      <c r="X21" s="514">
        <f ca="1">IFERROR(__xludf.DUMMYFUNCTION("""COMPUTED_VALUE"""),2.75)</f>
        <v>2.75</v>
      </c>
      <c r="Y21" s="525">
        <f ca="1">IFERROR(__xludf.DUMMYFUNCTION("""COMPUTED_VALUE"""),2.16)</f>
        <v>2.16</v>
      </c>
      <c r="Z21" s="525">
        <f ca="1">IFERROR(__xludf.DUMMYFUNCTION("""COMPUTED_VALUE"""),47.8)</f>
        <v>47.8</v>
      </c>
      <c r="AA21" s="506">
        <f ca="1">IFERROR(__xludf.DUMMYFUNCTION("""COMPUTED_VALUE"""),0)</f>
        <v>0</v>
      </c>
      <c r="AB21" s="506">
        <f ca="1">IFERROR(__xludf.DUMMYFUNCTION("""COMPUTED_VALUE"""),47.8)</f>
        <v>47.8</v>
      </c>
      <c r="AC21" s="523">
        <f t="shared" ca="1" si="0"/>
        <v>10.994400000000001</v>
      </c>
      <c r="AD21" s="52"/>
      <c r="AE21" s="52"/>
      <c r="AF21" s="52"/>
      <c r="AG21" s="52"/>
      <c r="AH21" s="52"/>
      <c r="AI21" s="52"/>
      <c r="AJ21" s="52"/>
      <c r="AK21" s="52"/>
      <c r="AL21" s="52"/>
    </row>
    <row r="22" spans="1:38" ht="15.75" customHeight="1">
      <c r="A22" s="494">
        <f ca="1">IFERROR(__xludf.DUMMYFUNCTION("""COMPUTED_VALUE"""),2021)</f>
        <v>2021</v>
      </c>
      <c r="B22" s="495">
        <f ca="1">IFERROR(__xludf.DUMMYFUNCTION("""COMPUTED_VALUE"""),2022)</f>
        <v>2022</v>
      </c>
      <c r="C22" s="508"/>
      <c r="D22" s="508">
        <f ca="1">IFERROR(__xludf.DUMMYFUNCTION("""COMPUTED_VALUE"""),46371)</f>
        <v>46371</v>
      </c>
      <c r="E22" s="500">
        <f ca="1">IFERROR(__xludf.DUMMYFUNCTION("""COMPUTED_VALUE"""),480.5)</f>
        <v>480.5</v>
      </c>
      <c r="F22" s="513">
        <f ca="1">IFERROR(__xludf.DUMMYFUNCTION("""COMPUTED_VALUE"""),0)</f>
        <v>0</v>
      </c>
      <c r="G22" s="513">
        <f ca="1">IFERROR(__xludf.DUMMYFUNCTION("""COMPUTED_VALUE"""),2.75)</f>
        <v>2.75</v>
      </c>
      <c r="H22" s="513">
        <f ca="1">IFERROR(__xludf.DUMMYFUNCTION("""COMPUTED_VALUE"""),23.01)</f>
        <v>23.01</v>
      </c>
      <c r="I22" s="497">
        <f ca="1">IFERROR(__xludf.DUMMYFUNCTION("""COMPUTED_VALUE"""),0.1195)</f>
        <v>0.1195</v>
      </c>
      <c r="J22" s="497">
        <f ca="1">IFERROR(__xludf.DUMMYFUNCTION("""COMPUTED_VALUE"""),0.0057)</f>
        <v>5.7000000000000002E-3</v>
      </c>
      <c r="K22" s="497">
        <f ca="1">IFERROR(__xludf.DUMMYFUNCTION("""COMPUTED_VALUE"""),0)</f>
        <v>0</v>
      </c>
      <c r="L22" s="495">
        <f ca="1">IFERROR(__xludf.DUMMYFUNCTION("""COMPUTED_VALUE"""),0)</f>
        <v>0</v>
      </c>
      <c r="M22" s="496">
        <f ca="1">IFERROR(__xludf.DUMMYFUNCTION("""COMPUTED_VALUE"""),0)</f>
        <v>0</v>
      </c>
      <c r="N22" s="52"/>
      <c r="O22" s="52">
        <f ca="1">IFERROR(__xludf.DUMMYFUNCTION("""COMPUTED_VALUE"""),2.75)</f>
        <v>2.75</v>
      </c>
      <c r="P22" s="54">
        <f ca="1">IFERROR(__xludf.DUMMYFUNCTION("""COMPUTED_VALUE"""),44636)</f>
        <v>44636</v>
      </c>
      <c r="Q22" s="54">
        <f ca="1">IFERROR(__xludf.DUMMYFUNCTION("""COMPUTED_VALUE"""),44665)</f>
        <v>44665</v>
      </c>
      <c r="R22" s="52">
        <f ca="1">IFERROR(__xludf.DUMMYFUNCTION("""COMPUTED_VALUE"""),558)</f>
        <v>558</v>
      </c>
      <c r="S22" s="52">
        <f ca="1">IFERROR(__xludf.DUMMYFUNCTION("""COMPUTED_VALUE"""),1)</f>
        <v>1</v>
      </c>
      <c r="T22" s="52">
        <f ca="1">IFERROR(__xludf.DUMMYFUNCTION("""COMPUTED_VALUE"""),0)</f>
        <v>0</v>
      </c>
      <c r="U22" s="52" t="str">
        <f ca="1">IFERROR(__xludf.DUMMYFUNCTION("""COMPUTED_VALUE"""),"-")</f>
        <v>-</v>
      </c>
      <c r="V22" s="52" t="str">
        <f ca="1">IFERROR(__xludf.DUMMYFUNCTION("""COMPUTED_VALUE"""),"-")</f>
        <v>-</v>
      </c>
      <c r="W22" s="52" t="str">
        <f ca="1">IFERROR(__xludf.DUMMYFUNCTION("""COMPUTED_VALUE"""),"-")</f>
        <v>-</v>
      </c>
      <c r="X22" s="52">
        <f ca="1">IFERROR(__xludf.DUMMYFUNCTION("""COMPUTED_VALUE"""),2.75)</f>
        <v>2.75</v>
      </c>
      <c r="Y22" s="52"/>
      <c r="Z22" s="52"/>
      <c r="AA22" s="52"/>
      <c r="AB22" s="52"/>
      <c r="AC22" s="53">
        <f t="shared" ca="1" si="0"/>
        <v>0</v>
      </c>
      <c r="AD22" s="52"/>
      <c r="AE22" s="52"/>
      <c r="AF22" s="52"/>
      <c r="AG22" s="52"/>
      <c r="AH22" s="52"/>
      <c r="AI22" s="52"/>
      <c r="AJ22" s="52"/>
      <c r="AK22" s="52"/>
      <c r="AL22" s="52"/>
    </row>
    <row r="23" spans="1:38" ht="15.75" customHeight="1">
      <c r="A23" s="494">
        <f ca="1">IFERROR(__xludf.DUMMYFUNCTION("""COMPUTED_VALUE"""),2021)</f>
        <v>2021</v>
      </c>
      <c r="B23" s="495">
        <f ca="1">IFERROR(__xludf.DUMMYFUNCTION("""COMPUTED_VALUE"""),2022)</f>
        <v>2022</v>
      </c>
      <c r="C23" s="508"/>
      <c r="D23" s="508">
        <f ca="1">IFERROR(__xludf.DUMMYFUNCTION("""COMPUTED_VALUE"""),46280)</f>
        <v>46280</v>
      </c>
      <c r="E23" s="500">
        <f ca="1">IFERROR(__xludf.DUMMYFUNCTION("""COMPUTED_VALUE"""),480)</f>
        <v>480</v>
      </c>
      <c r="F23" s="513">
        <f ca="1">IFERROR(__xludf.DUMMYFUNCTION("""COMPUTED_VALUE"""),0)</f>
        <v>0</v>
      </c>
      <c r="G23" s="513">
        <f ca="1">IFERROR(__xludf.DUMMYFUNCTION("""COMPUTED_VALUE"""),2.75)</f>
        <v>2.75</v>
      </c>
      <c r="H23" s="513">
        <f ca="1">IFERROR(__xludf.DUMMYFUNCTION("""COMPUTED_VALUE"""),23.01)</f>
        <v>23.01</v>
      </c>
      <c r="I23" s="497">
        <f ca="1">IFERROR(__xludf.DUMMYFUNCTION("""COMPUTED_VALUE"""),0.1195)</f>
        <v>0.1195</v>
      </c>
      <c r="J23" s="497">
        <f ca="1">IFERROR(__xludf.DUMMYFUNCTION("""COMPUTED_VALUE"""),0.0057)</f>
        <v>5.7000000000000002E-3</v>
      </c>
      <c r="K23" s="497">
        <f ca="1">IFERROR(__xludf.DUMMYFUNCTION("""COMPUTED_VALUE"""),0)</f>
        <v>0</v>
      </c>
      <c r="L23" s="495">
        <f ca="1">IFERROR(__xludf.DUMMYFUNCTION("""COMPUTED_VALUE"""),0)</f>
        <v>0</v>
      </c>
      <c r="M23" s="496">
        <f ca="1">IFERROR(__xludf.DUMMYFUNCTION("""COMPUTED_VALUE"""),0)</f>
        <v>0</v>
      </c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3">
        <f t="shared" si="0"/>
        <v>0</v>
      </c>
      <c r="AD23" s="52"/>
      <c r="AE23" s="52"/>
      <c r="AF23" s="52"/>
      <c r="AG23" s="52"/>
      <c r="AH23" s="52"/>
      <c r="AI23" s="52"/>
      <c r="AJ23" s="52"/>
      <c r="AK23" s="52"/>
      <c r="AL23" s="52"/>
    </row>
    <row r="24" spans="1:38" ht="15.75" customHeight="1">
      <c r="A24" s="494">
        <f ca="1">IFERROR(__xludf.DUMMYFUNCTION("""COMPUTED_VALUE"""),2021)</f>
        <v>2021</v>
      </c>
      <c r="B24" s="495">
        <f ca="1">IFERROR(__xludf.DUMMYFUNCTION("""COMPUTED_VALUE"""),2022)</f>
        <v>2022</v>
      </c>
      <c r="C24" s="508"/>
      <c r="D24" s="508">
        <f ca="1">IFERROR(__xludf.DUMMYFUNCTION("""COMPUTED_VALUE"""),46189)</f>
        <v>46189</v>
      </c>
      <c r="E24" s="500">
        <f ca="1">IFERROR(__xludf.DUMMYFUNCTION("""COMPUTED_VALUE"""),509)</f>
        <v>509</v>
      </c>
      <c r="F24" s="513">
        <f ca="1">IFERROR(__xludf.DUMMYFUNCTION("""COMPUTED_VALUE"""),0)</f>
        <v>0</v>
      </c>
      <c r="G24" s="513">
        <f ca="1">IFERROR(__xludf.DUMMYFUNCTION("""COMPUTED_VALUE"""),2.75)</f>
        <v>2.75</v>
      </c>
      <c r="H24" s="513">
        <f ca="1">IFERROR(__xludf.DUMMYFUNCTION("""COMPUTED_VALUE"""),23.01)</f>
        <v>23.01</v>
      </c>
      <c r="I24" s="497">
        <f ca="1">IFERROR(__xludf.DUMMYFUNCTION("""COMPUTED_VALUE"""),0.1195)</f>
        <v>0.1195</v>
      </c>
      <c r="J24" s="497">
        <f ca="1">IFERROR(__xludf.DUMMYFUNCTION("""COMPUTED_VALUE"""),0.0054)</f>
        <v>5.4000000000000003E-3</v>
      </c>
      <c r="K24" s="497">
        <f ca="1">IFERROR(__xludf.DUMMYFUNCTION("""COMPUTED_VALUE"""),0)</f>
        <v>0</v>
      </c>
      <c r="L24" s="495">
        <f ca="1">IFERROR(__xludf.DUMMYFUNCTION("""COMPUTED_VALUE"""),0)</f>
        <v>0</v>
      </c>
      <c r="M24" s="496">
        <f ca="1">IFERROR(__xludf.DUMMYFUNCTION("""COMPUTED_VALUE"""),0)</f>
        <v>0</v>
      </c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3">
        <f t="shared" si="0"/>
        <v>0</v>
      </c>
      <c r="AD24" s="52"/>
      <c r="AE24" s="52"/>
      <c r="AF24" s="52"/>
      <c r="AG24" s="52"/>
      <c r="AH24" s="52"/>
      <c r="AI24" s="52"/>
      <c r="AJ24" s="52"/>
      <c r="AK24" s="52"/>
      <c r="AL24" s="52"/>
    </row>
    <row r="25" spans="1:38" ht="15.75" customHeight="1">
      <c r="A25" s="498">
        <f ca="1">IFERROR(__xludf.DUMMYFUNCTION("""COMPUTED_VALUE"""),2021)</f>
        <v>2021</v>
      </c>
      <c r="B25" s="499">
        <f ca="1">IFERROR(__xludf.DUMMYFUNCTION("""COMPUTED_VALUE"""),2022)</f>
        <v>2022</v>
      </c>
      <c r="C25" s="509"/>
      <c r="D25" s="509">
        <f ca="1">IFERROR(__xludf.DUMMYFUNCTION("""COMPUTED_VALUE"""),46097)</f>
        <v>46097</v>
      </c>
      <c r="E25" s="511">
        <f ca="1">IFERROR(__xludf.DUMMYFUNCTION("""COMPUTED_VALUE"""),558)</f>
        <v>558</v>
      </c>
      <c r="F25" s="466">
        <f ca="1">IFERROR(__xludf.DUMMYFUNCTION("""COMPUTED_VALUE"""),0)</f>
        <v>0</v>
      </c>
      <c r="G25" s="466">
        <f ca="1">IFERROR(__xludf.DUMMYFUNCTION("""COMPUTED_VALUE"""),2.75)</f>
        <v>2.75</v>
      </c>
      <c r="H25" s="513">
        <f ca="1">IFERROR(__xludf.DUMMYFUNCTION("""COMPUTED_VALUE"""),23.01)</f>
        <v>23.01</v>
      </c>
      <c r="I25" s="497">
        <f ca="1">IFERROR(__xludf.DUMMYFUNCTION("""COMPUTED_VALUE"""),0.1195)</f>
        <v>0.1195</v>
      </c>
      <c r="J25" s="497">
        <f ca="1">IFERROR(__xludf.DUMMYFUNCTION("""COMPUTED_VALUE"""),0.0049)</f>
        <v>4.8999999999999998E-3</v>
      </c>
      <c r="K25" s="497">
        <f ca="1">IFERROR(__xludf.DUMMYFUNCTION("""COMPUTED_VALUE"""),0)</f>
        <v>0</v>
      </c>
      <c r="L25" s="495">
        <f ca="1">IFERROR(__xludf.DUMMYFUNCTION("""COMPUTED_VALUE"""),0)</f>
        <v>0</v>
      </c>
      <c r="M25" s="496">
        <f ca="1">IFERROR(__xludf.DUMMYFUNCTION("""COMPUTED_VALUE"""),0)</f>
        <v>0</v>
      </c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3">
        <f t="shared" si="0"/>
        <v>0</v>
      </c>
      <c r="AD25" s="52"/>
      <c r="AE25" s="52"/>
      <c r="AF25" s="52"/>
      <c r="AG25" s="52"/>
      <c r="AH25" s="52"/>
      <c r="AI25" s="52"/>
      <c r="AJ25" s="52"/>
      <c r="AK25" s="52"/>
      <c r="AL25" s="52"/>
    </row>
    <row r="26" spans="1:38" ht="15.75" customHeight="1">
      <c r="A26" s="498">
        <f ca="1">IFERROR(__xludf.DUMMYFUNCTION("""COMPUTED_VALUE"""),2020)</f>
        <v>2020</v>
      </c>
      <c r="B26" s="499">
        <f ca="1">IFERROR(__xludf.DUMMYFUNCTION("""COMPUTED_VALUE"""),2021)</f>
        <v>2021</v>
      </c>
      <c r="C26" s="509"/>
      <c r="D26" s="509">
        <f ca="1">IFERROR(__xludf.DUMMYFUNCTION("""COMPUTED_VALUE"""),46372)</f>
        <v>46372</v>
      </c>
      <c r="E26" s="511">
        <f ca="1">IFERROR(__xludf.DUMMYFUNCTION("""COMPUTED_VALUE"""),600)</f>
        <v>600</v>
      </c>
      <c r="F26" s="466">
        <f ca="1">IFERROR(__xludf.DUMMYFUNCTION("""COMPUTED_VALUE"""),0)</f>
        <v>0</v>
      </c>
      <c r="G26" s="466">
        <f ca="1">IFERROR(__xludf.DUMMYFUNCTION("""COMPUTED_VALUE"""),2.75)</f>
        <v>2.75</v>
      </c>
      <c r="H26" s="513">
        <f ca="1">IFERROR(__xludf.DUMMYFUNCTION("""COMPUTED_VALUE"""),19.97)</f>
        <v>19.97</v>
      </c>
      <c r="I26" s="497">
        <f ca="1">IFERROR(__xludf.DUMMYFUNCTION("""COMPUTED_VALUE"""),0.1377)</f>
        <v>0.13769999999999999</v>
      </c>
      <c r="J26" s="497">
        <f ca="1">IFERROR(__xludf.DUMMYFUNCTION("""COMPUTED_VALUE"""),0.0046)</f>
        <v>4.5999999999999999E-3</v>
      </c>
      <c r="K26" s="497">
        <f ca="1">IFERROR(__xludf.DUMMYFUNCTION("""COMPUTED_VALUE"""),0)</f>
        <v>0</v>
      </c>
      <c r="L26" s="495">
        <f ca="1">IFERROR(__xludf.DUMMYFUNCTION("""COMPUTED_VALUE"""),0)</f>
        <v>0</v>
      </c>
      <c r="M26" s="496">
        <f ca="1">IFERROR(__xludf.DUMMYFUNCTION("""COMPUTED_VALUE"""),0)</f>
        <v>0</v>
      </c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3">
        <f t="shared" si="0"/>
        <v>0</v>
      </c>
      <c r="AD26" s="52"/>
      <c r="AE26" s="52"/>
      <c r="AF26" s="52"/>
      <c r="AG26" s="52"/>
      <c r="AH26" s="52"/>
      <c r="AI26" s="52"/>
      <c r="AJ26" s="52"/>
      <c r="AK26" s="52"/>
      <c r="AL26" s="52"/>
    </row>
    <row r="27" spans="1:38" ht="15.75" customHeight="1">
      <c r="A27" s="498">
        <f ca="1">IFERROR(__xludf.DUMMYFUNCTION("""COMPUTED_VALUE"""),2020)</f>
        <v>2020</v>
      </c>
      <c r="B27" s="499">
        <f ca="1">IFERROR(__xludf.DUMMYFUNCTION("""COMPUTED_VALUE"""),2021)</f>
        <v>2021</v>
      </c>
      <c r="C27" s="509"/>
      <c r="D27" s="509">
        <f ca="1">IFERROR(__xludf.DUMMYFUNCTION("""COMPUTED_VALUE"""),46281)</f>
        <v>46281</v>
      </c>
      <c r="E27" s="511">
        <f ca="1">IFERROR(__xludf.DUMMYFUNCTION("""COMPUTED_VALUE"""),607)</f>
        <v>607</v>
      </c>
      <c r="F27" s="466">
        <f ca="1">IFERROR(__xludf.DUMMYFUNCTION("""COMPUTED_VALUE"""),0)</f>
        <v>0</v>
      </c>
      <c r="G27" s="466">
        <f ca="1">IFERROR(__xludf.DUMMYFUNCTION("""COMPUTED_VALUE"""),2.75)</f>
        <v>2.75</v>
      </c>
      <c r="H27" s="513">
        <f ca="1">IFERROR(__xludf.DUMMYFUNCTION("""COMPUTED_VALUE"""),19.97)</f>
        <v>19.97</v>
      </c>
      <c r="I27" s="497">
        <f ca="1">IFERROR(__xludf.DUMMYFUNCTION("""COMPUTED_VALUE"""),0.1377)</f>
        <v>0.13769999999999999</v>
      </c>
      <c r="J27" s="497">
        <f ca="1">IFERROR(__xludf.DUMMYFUNCTION("""COMPUTED_VALUE"""),0.0045)</f>
        <v>4.4999999999999997E-3</v>
      </c>
      <c r="K27" s="497">
        <f ca="1">IFERROR(__xludf.DUMMYFUNCTION("""COMPUTED_VALUE"""),0)</f>
        <v>0</v>
      </c>
      <c r="L27" s="495">
        <f ca="1">IFERROR(__xludf.DUMMYFUNCTION("""COMPUTED_VALUE"""),0)</f>
        <v>0</v>
      </c>
      <c r="M27" s="496">
        <f ca="1">IFERROR(__xludf.DUMMYFUNCTION("""COMPUTED_VALUE"""),0)</f>
        <v>0</v>
      </c>
      <c r="N27" s="52"/>
      <c r="U27" s="52"/>
      <c r="V27" s="52"/>
      <c r="W27" s="52"/>
      <c r="X27" s="52"/>
      <c r="Y27" s="52"/>
      <c r="Z27" s="52"/>
      <c r="AA27" s="52"/>
      <c r="AB27" s="52"/>
      <c r="AC27" s="53">
        <f t="shared" si="0"/>
        <v>0</v>
      </c>
      <c r="AD27" s="52"/>
      <c r="AE27" s="52"/>
      <c r="AF27" s="52"/>
      <c r="AG27" s="52"/>
      <c r="AH27" s="52"/>
      <c r="AI27" s="52"/>
      <c r="AJ27" s="52"/>
      <c r="AK27" s="52"/>
      <c r="AL27" s="52"/>
    </row>
    <row r="28" spans="1:38" ht="15.75" customHeight="1">
      <c r="A28" s="498">
        <f ca="1">IFERROR(__xludf.DUMMYFUNCTION("""COMPUTED_VALUE"""),2020)</f>
        <v>2020</v>
      </c>
      <c r="B28" s="499">
        <f ca="1">IFERROR(__xludf.DUMMYFUNCTION("""COMPUTED_VALUE"""),2021)</f>
        <v>2021</v>
      </c>
      <c r="C28" s="509"/>
      <c r="D28" s="509">
        <f ca="1">IFERROR(__xludf.DUMMYFUNCTION("""COMPUTED_VALUE"""),46190)</f>
        <v>46190</v>
      </c>
      <c r="E28" s="511">
        <f ca="1">IFERROR(__xludf.DUMMYFUNCTION("""COMPUTED_VALUE"""),605)</f>
        <v>605</v>
      </c>
      <c r="F28" s="466">
        <f ca="1">IFERROR(__xludf.DUMMYFUNCTION("""COMPUTED_VALUE"""),0)</f>
        <v>0</v>
      </c>
      <c r="G28" s="466">
        <f ca="1">IFERROR(__xludf.DUMMYFUNCTION("""COMPUTED_VALUE"""),2.5)</f>
        <v>2.5</v>
      </c>
      <c r="H28" s="513">
        <f ca="1">IFERROR(__xludf.DUMMYFUNCTION("""COMPUTED_VALUE"""),19.97)</f>
        <v>19.97</v>
      </c>
      <c r="I28" s="497">
        <f ca="1">IFERROR(__xludf.DUMMYFUNCTION("""COMPUTED_VALUE"""),0.1252)</f>
        <v>0.12520000000000001</v>
      </c>
      <c r="J28" s="497">
        <f ca="1">IFERROR(__xludf.DUMMYFUNCTION("""COMPUTED_VALUE"""),0.0041)</f>
        <v>4.1000000000000003E-3</v>
      </c>
      <c r="K28" s="497">
        <f ca="1">IFERROR(__xludf.DUMMYFUNCTION("""COMPUTED_VALUE"""),0)</f>
        <v>0</v>
      </c>
      <c r="L28" s="495">
        <f ca="1">IFERROR(__xludf.DUMMYFUNCTION("""COMPUTED_VALUE"""),0)</f>
        <v>0</v>
      </c>
      <c r="M28" s="496">
        <f ca="1">IFERROR(__xludf.DUMMYFUNCTION("""COMPUTED_VALUE"""),0)</f>
        <v>0</v>
      </c>
      <c r="N28" s="52"/>
      <c r="U28" s="52"/>
      <c r="V28" s="52"/>
      <c r="W28" s="52"/>
      <c r="X28" s="52"/>
      <c r="Y28" s="52"/>
      <c r="Z28" s="52"/>
      <c r="AA28" s="52"/>
      <c r="AB28" s="52"/>
      <c r="AC28" s="53">
        <f t="shared" si="0"/>
        <v>0</v>
      </c>
      <c r="AD28" s="52"/>
      <c r="AE28" s="52"/>
      <c r="AF28" s="52"/>
      <c r="AG28" s="52"/>
      <c r="AH28" s="52"/>
      <c r="AI28" s="52"/>
      <c r="AJ28" s="52"/>
      <c r="AK28" s="52"/>
      <c r="AL28" s="52"/>
    </row>
    <row r="29" spans="1:38" ht="15.75" customHeight="1">
      <c r="A29" s="498">
        <f ca="1">IFERROR(__xludf.DUMMYFUNCTION("""COMPUTED_VALUE"""),2019)</f>
        <v>2019</v>
      </c>
      <c r="B29" s="499">
        <f ca="1">IFERROR(__xludf.DUMMYFUNCTION("""COMPUTED_VALUE"""),2020)</f>
        <v>2020</v>
      </c>
      <c r="C29" s="509"/>
      <c r="D29" s="509">
        <f ca="1">IFERROR(__xludf.DUMMYFUNCTION("""COMPUTED_VALUE"""),46373)</f>
        <v>46373</v>
      </c>
      <c r="E29" s="511">
        <f ca="1">IFERROR(__xludf.DUMMYFUNCTION("""COMPUTED_VALUE"""),0)</f>
        <v>0</v>
      </c>
      <c r="F29" s="466">
        <f ca="1">IFERROR(__xludf.DUMMYFUNCTION("""COMPUTED_VALUE"""),0)</f>
        <v>0</v>
      </c>
      <c r="G29" s="466">
        <f ca="1">IFERROR(__xludf.DUMMYFUNCTION("""COMPUTED_VALUE"""),2.5)</f>
        <v>2.5</v>
      </c>
      <c r="H29" s="513">
        <f ca="1">IFERROR(__xludf.DUMMYFUNCTION("""COMPUTED_VALUE"""),13.32)</f>
        <v>13.32</v>
      </c>
      <c r="I29" s="497">
        <f ca="1">IFERROR(__xludf.DUMMYFUNCTION("""COMPUTED_VALUE"""),0.1877)</f>
        <v>0.18770000000000001</v>
      </c>
      <c r="J29" s="497">
        <f ca="1">IFERROR(__xludf.DUMMYFUNCTION("""COMPUTED_VALUE"""),0)</f>
        <v>0</v>
      </c>
      <c r="K29" s="497">
        <f ca="1">IFERROR(__xludf.DUMMYFUNCTION("""COMPUTED_VALUE"""),0)</f>
        <v>0</v>
      </c>
      <c r="L29" s="495">
        <f ca="1">IFERROR(__xludf.DUMMYFUNCTION("""COMPUTED_VALUE"""),0)</f>
        <v>0</v>
      </c>
      <c r="M29" s="496">
        <f ca="1">IFERROR(__xludf.DUMMYFUNCTION("""COMPUTED_VALUE"""),0)</f>
        <v>0</v>
      </c>
      <c r="N29" s="52"/>
      <c r="U29" s="52"/>
      <c r="V29" s="52"/>
      <c r="W29" s="52"/>
      <c r="X29" s="52"/>
      <c r="Y29" s="52"/>
      <c r="Z29" s="52"/>
      <c r="AA29" s="52"/>
      <c r="AB29" s="52"/>
      <c r="AC29" s="53">
        <f t="shared" si="0"/>
        <v>0</v>
      </c>
      <c r="AD29" s="52"/>
      <c r="AE29" s="52"/>
      <c r="AF29" s="52"/>
      <c r="AG29" s="52"/>
      <c r="AH29" s="52"/>
      <c r="AI29" s="52"/>
      <c r="AJ29" s="52"/>
      <c r="AK29" s="52"/>
      <c r="AL29" s="52"/>
    </row>
    <row r="30" spans="1:38" ht="15.75" customHeight="1">
      <c r="A30" s="498">
        <f ca="1">IFERROR(__xludf.DUMMYFUNCTION("""COMPUTED_VALUE"""),2019)</f>
        <v>2019</v>
      </c>
      <c r="B30" s="499">
        <f ca="1">IFERROR(__xludf.DUMMYFUNCTION("""COMPUTED_VALUE"""),2020)</f>
        <v>2020</v>
      </c>
      <c r="C30" s="509"/>
      <c r="D30" s="509">
        <f ca="1">IFERROR(__xludf.DUMMYFUNCTION("""COMPUTED_VALUE"""),46282)</f>
        <v>46282</v>
      </c>
      <c r="E30" s="511">
        <f ca="1">IFERROR(__xludf.DUMMYFUNCTION("""COMPUTED_VALUE"""),0)</f>
        <v>0</v>
      </c>
      <c r="F30" s="466">
        <f ca="1">IFERROR(__xludf.DUMMYFUNCTION("""COMPUTED_VALUE"""),0)</f>
        <v>0</v>
      </c>
      <c r="G30" s="466">
        <f ca="1">IFERROR(__xludf.DUMMYFUNCTION("""COMPUTED_VALUE"""),2.5)</f>
        <v>2.5</v>
      </c>
      <c r="H30" s="513">
        <f ca="1">IFERROR(__xludf.DUMMYFUNCTION("""COMPUTED_VALUE"""),13.32)</f>
        <v>13.32</v>
      </c>
      <c r="I30" s="497">
        <f ca="1">IFERROR(__xludf.DUMMYFUNCTION("""COMPUTED_VALUE"""),0.1877)</f>
        <v>0.18770000000000001</v>
      </c>
      <c r="J30" s="497">
        <f ca="1">IFERROR(__xludf.DUMMYFUNCTION("""COMPUTED_VALUE"""),0)</f>
        <v>0</v>
      </c>
      <c r="K30" s="497">
        <f ca="1">IFERROR(__xludf.DUMMYFUNCTION("""COMPUTED_VALUE"""),0)</f>
        <v>0</v>
      </c>
      <c r="L30" s="495">
        <f ca="1">IFERROR(__xludf.DUMMYFUNCTION("""COMPUTED_VALUE"""),0)</f>
        <v>0</v>
      </c>
      <c r="M30" s="496">
        <f ca="1">IFERROR(__xludf.DUMMYFUNCTION("""COMPUTED_VALUE"""),0)</f>
        <v>0</v>
      </c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3">
        <f t="shared" si="0"/>
        <v>0</v>
      </c>
      <c r="AD30" s="52"/>
      <c r="AE30" s="52"/>
      <c r="AF30" s="52"/>
      <c r="AG30" s="52"/>
      <c r="AH30" s="52"/>
      <c r="AI30" s="52"/>
      <c r="AJ30" s="52"/>
      <c r="AK30" s="52"/>
      <c r="AL30" s="52"/>
    </row>
    <row r="31" spans="1:38" ht="15.75" customHeight="1">
      <c r="A31" s="498">
        <f ca="1">IFERROR(__xludf.DUMMYFUNCTION("""COMPUTED_VALUE"""),2019)</f>
        <v>2019</v>
      </c>
      <c r="B31" s="499">
        <f ca="1">IFERROR(__xludf.DUMMYFUNCTION("""COMPUTED_VALUE"""),2020)</f>
        <v>2020</v>
      </c>
      <c r="C31" s="509"/>
      <c r="D31" s="509">
        <f ca="1">IFERROR(__xludf.DUMMYFUNCTION("""COMPUTED_VALUE"""),46191)</f>
        <v>46191</v>
      </c>
      <c r="E31" s="511">
        <f ca="1">IFERROR(__xludf.DUMMYFUNCTION("""COMPUTED_VALUE"""),0)</f>
        <v>0</v>
      </c>
      <c r="F31" s="466">
        <f ca="1">IFERROR(__xludf.DUMMYFUNCTION("""COMPUTED_VALUE"""),0)</f>
        <v>0</v>
      </c>
      <c r="G31" s="466">
        <f ca="1">IFERROR(__xludf.DUMMYFUNCTION("""COMPUTED_VALUE"""),2.5)</f>
        <v>2.5</v>
      </c>
      <c r="H31" s="513">
        <f ca="1">IFERROR(__xludf.DUMMYFUNCTION("""COMPUTED_VALUE"""),13.32)</f>
        <v>13.32</v>
      </c>
      <c r="I31" s="497">
        <f ca="1">IFERROR(__xludf.DUMMYFUNCTION("""COMPUTED_VALUE"""),0.1877)</f>
        <v>0.18770000000000001</v>
      </c>
      <c r="J31" s="497">
        <f ca="1">IFERROR(__xludf.DUMMYFUNCTION("""COMPUTED_VALUE"""),0)</f>
        <v>0</v>
      </c>
      <c r="K31" s="497">
        <f ca="1">IFERROR(__xludf.DUMMYFUNCTION("""COMPUTED_VALUE"""),0)</f>
        <v>0</v>
      </c>
      <c r="L31" s="495">
        <f ca="1">IFERROR(__xludf.DUMMYFUNCTION("""COMPUTED_VALUE"""),0)</f>
        <v>0</v>
      </c>
      <c r="M31" s="496">
        <f ca="1">IFERROR(__xludf.DUMMYFUNCTION("""COMPUTED_VALUE"""),0)</f>
        <v>0</v>
      </c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3">
        <f t="shared" si="0"/>
        <v>0</v>
      </c>
      <c r="AD31" s="52"/>
      <c r="AE31" s="52"/>
      <c r="AF31" s="52"/>
      <c r="AG31" s="52"/>
      <c r="AH31" s="52"/>
      <c r="AI31" s="52"/>
      <c r="AJ31" s="52"/>
      <c r="AK31" s="52"/>
      <c r="AL31" s="52"/>
    </row>
    <row r="32" spans="1:38" ht="15.75" customHeight="1">
      <c r="A32" s="498">
        <f ca="1">IFERROR(__xludf.DUMMYFUNCTION("""COMPUTED_VALUE"""),2018)</f>
        <v>2018</v>
      </c>
      <c r="B32" s="499">
        <f ca="1">IFERROR(__xludf.DUMMYFUNCTION("""COMPUTED_VALUE"""),2019)</f>
        <v>2019</v>
      </c>
      <c r="C32" s="509"/>
      <c r="D32" s="509">
        <f ca="1">IFERROR(__xludf.DUMMYFUNCTION("""COMPUTED_VALUE"""),46375)</f>
        <v>46375</v>
      </c>
      <c r="E32" s="511">
        <f ca="1">IFERROR(__xludf.DUMMYFUNCTION("""COMPUTED_VALUE"""),0)</f>
        <v>0</v>
      </c>
      <c r="F32" s="466">
        <f ca="1">IFERROR(__xludf.DUMMYFUNCTION("""COMPUTED_VALUE"""),0)</f>
        <v>0</v>
      </c>
      <c r="G32" s="466">
        <f ca="1">IFERROR(__xludf.DUMMYFUNCTION("""COMPUTED_VALUE"""),2.5)</f>
        <v>2.5</v>
      </c>
      <c r="H32" s="513">
        <f ca="1">IFERROR(__xludf.DUMMYFUNCTION("""COMPUTED_VALUE"""),13.54)</f>
        <v>13.54</v>
      </c>
      <c r="I32" s="497">
        <f ca="1">IFERROR(__xludf.DUMMYFUNCTION("""COMPUTED_VALUE"""),0.1846)</f>
        <v>0.18459999999999999</v>
      </c>
      <c r="J32" s="497">
        <f ca="1">IFERROR(__xludf.DUMMYFUNCTION("""COMPUTED_VALUE"""),0)</f>
        <v>0</v>
      </c>
      <c r="K32" s="497">
        <f ca="1">IFERROR(__xludf.DUMMYFUNCTION("""COMPUTED_VALUE"""),0)</f>
        <v>0</v>
      </c>
      <c r="L32" s="495">
        <f ca="1">IFERROR(__xludf.DUMMYFUNCTION("""COMPUTED_VALUE"""),0)</f>
        <v>0</v>
      </c>
      <c r="M32" s="496">
        <f ca="1">IFERROR(__xludf.DUMMYFUNCTION("""COMPUTED_VALUE"""),0)</f>
        <v>0</v>
      </c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3">
        <f t="shared" si="0"/>
        <v>0</v>
      </c>
      <c r="AD32" s="52"/>
      <c r="AE32" s="52"/>
      <c r="AF32" s="52"/>
      <c r="AG32" s="52"/>
      <c r="AH32" s="52"/>
      <c r="AI32" s="52"/>
      <c r="AJ32" s="52"/>
      <c r="AK32" s="52"/>
      <c r="AL32" s="52"/>
    </row>
    <row r="33" spans="1:38" ht="15.75" customHeight="1">
      <c r="A33" s="498">
        <f ca="1">IFERROR(__xludf.DUMMYFUNCTION("""COMPUTED_VALUE"""),2018)</f>
        <v>2018</v>
      </c>
      <c r="B33" s="499">
        <f ca="1">IFERROR(__xludf.DUMMYFUNCTION("""COMPUTED_VALUE"""),2019)</f>
        <v>2019</v>
      </c>
      <c r="C33" s="509"/>
      <c r="D33" s="509">
        <f ca="1">IFERROR(__xludf.DUMMYFUNCTION("""COMPUTED_VALUE"""),46284)</f>
        <v>46284</v>
      </c>
      <c r="E33" s="511">
        <f ca="1">IFERROR(__xludf.DUMMYFUNCTION("""COMPUTED_VALUE"""),0)</f>
        <v>0</v>
      </c>
      <c r="F33" s="466">
        <f ca="1">IFERROR(__xludf.DUMMYFUNCTION("""COMPUTED_VALUE"""),0)</f>
        <v>0</v>
      </c>
      <c r="G33" s="466">
        <f ca="1">IFERROR(__xludf.DUMMYFUNCTION("""COMPUTED_VALUE"""),2)</f>
        <v>2</v>
      </c>
      <c r="H33" s="513">
        <f ca="1">IFERROR(__xludf.DUMMYFUNCTION("""COMPUTED_VALUE"""),13.54)</f>
        <v>13.54</v>
      </c>
      <c r="I33" s="497">
        <f ca="1">IFERROR(__xludf.DUMMYFUNCTION("""COMPUTED_VALUE"""),0.1477)</f>
        <v>0.1477</v>
      </c>
      <c r="J33" s="497">
        <f ca="1">IFERROR(__xludf.DUMMYFUNCTION("""COMPUTED_VALUE"""),0)</f>
        <v>0</v>
      </c>
      <c r="K33" s="497">
        <f ca="1">IFERROR(__xludf.DUMMYFUNCTION("""COMPUTED_VALUE"""),0)</f>
        <v>0</v>
      </c>
      <c r="L33" s="495">
        <f ca="1">IFERROR(__xludf.DUMMYFUNCTION("""COMPUTED_VALUE"""),0)</f>
        <v>0</v>
      </c>
      <c r="M33" s="496">
        <f ca="1">IFERROR(__xludf.DUMMYFUNCTION("""COMPUTED_VALUE"""),0)</f>
        <v>0</v>
      </c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3">
        <f t="shared" si="0"/>
        <v>0</v>
      </c>
      <c r="AD33" s="52"/>
      <c r="AE33" s="52"/>
      <c r="AF33" s="52"/>
      <c r="AG33" s="52"/>
      <c r="AH33" s="52"/>
      <c r="AI33" s="52"/>
      <c r="AJ33" s="52"/>
      <c r="AK33" s="52"/>
      <c r="AL33" s="52"/>
    </row>
    <row r="34" spans="1:38" ht="15.75" customHeight="1" thickBot="1">
      <c r="A34" s="522">
        <f ca="1">IFERROR(__xludf.DUMMYFUNCTION("""COMPUTED_VALUE"""),2018)</f>
        <v>2018</v>
      </c>
      <c r="B34" s="506">
        <f ca="1">IFERROR(__xludf.DUMMYFUNCTION("""COMPUTED_VALUE"""),2019)</f>
        <v>2019</v>
      </c>
      <c r="C34" s="510"/>
      <c r="D34" s="510">
        <f ca="1">IFERROR(__xludf.DUMMYFUNCTION("""COMPUTED_VALUE"""),46197)</f>
        <v>46197</v>
      </c>
      <c r="E34" s="512">
        <f ca="1">IFERROR(__xludf.DUMMYFUNCTION("""COMPUTED_VALUE"""),0)</f>
        <v>0</v>
      </c>
      <c r="F34" s="514">
        <f ca="1">IFERROR(__xludf.DUMMYFUNCTION("""COMPUTED_VALUE"""),0)</f>
        <v>0</v>
      </c>
      <c r="G34" s="514">
        <f ca="1">IFERROR(__xludf.DUMMYFUNCTION("""COMPUTED_VALUE"""),8)</f>
        <v>8</v>
      </c>
      <c r="H34" s="514">
        <f ca="1">IFERROR(__xludf.DUMMYFUNCTION("""COMPUTED_VALUE"""),13.54)</f>
        <v>13.54</v>
      </c>
      <c r="I34" s="504">
        <f ca="1">IFERROR(__xludf.DUMMYFUNCTION("""COMPUTED_VALUE"""),0.5908)</f>
        <v>0.59079999999999999</v>
      </c>
      <c r="J34" s="504">
        <f ca="1">IFERROR(__xludf.DUMMYFUNCTION("""COMPUTED_VALUE"""),0)</f>
        <v>0</v>
      </c>
      <c r="K34" s="504">
        <f ca="1">IFERROR(__xludf.DUMMYFUNCTION("""COMPUTED_VALUE"""),0)</f>
        <v>0</v>
      </c>
      <c r="L34" s="506">
        <f ca="1">IFERROR(__xludf.DUMMYFUNCTION("""COMPUTED_VALUE"""),0)</f>
        <v>0</v>
      </c>
      <c r="M34" s="507">
        <f ca="1">IFERROR(__xludf.DUMMYFUNCTION("""COMPUTED_VALUE"""),0)</f>
        <v>0</v>
      </c>
      <c r="N34" s="52"/>
      <c r="U34" s="52"/>
      <c r="V34" s="52"/>
      <c r="W34" s="52"/>
      <c r="X34" s="52"/>
      <c r="Y34" s="52"/>
      <c r="Z34" s="52"/>
      <c r="AA34" s="52"/>
      <c r="AB34" s="52"/>
      <c r="AC34" s="53">
        <f t="shared" ref="AC34:AC36" ca="1" si="1">D1*Y34/100</f>
        <v>0</v>
      </c>
      <c r="AD34" s="52"/>
      <c r="AE34" s="52"/>
      <c r="AF34" s="52"/>
      <c r="AG34" s="52"/>
      <c r="AH34" s="52"/>
      <c r="AI34" s="52"/>
      <c r="AJ34" s="52"/>
      <c r="AK34" s="52"/>
      <c r="AL34" s="52"/>
    </row>
    <row r="35" spans="1:38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U35" s="52"/>
      <c r="V35" s="52"/>
      <c r="W35" s="52"/>
      <c r="X35" s="52"/>
      <c r="Y35" s="52"/>
      <c r="Z35" s="52"/>
      <c r="AA35" s="52"/>
      <c r="AB35" s="52"/>
      <c r="AC35" s="53">
        <f t="shared" ca="1" si="1"/>
        <v>0</v>
      </c>
      <c r="AD35" s="52"/>
      <c r="AE35" s="52"/>
      <c r="AF35" s="52"/>
      <c r="AG35" s="52"/>
      <c r="AH35" s="52"/>
      <c r="AI35" s="52"/>
      <c r="AJ35" s="52"/>
      <c r="AK35" s="52"/>
      <c r="AL35" s="52"/>
    </row>
    <row r="36" spans="1:38" ht="15.75" customHeight="1">
      <c r="A36" s="8"/>
      <c r="B36" s="8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U36" s="52"/>
      <c r="V36" s="52"/>
      <c r="W36" s="52"/>
      <c r="X36" s="52"/>
      <c r="Y36" s="52"/>
      <c r="Z36" s="52"/>
      <c r="AA36" s="52"/>
      <c r="AB36" s="52"/>
      <c r="AC36" s="53">
        <f t="shared" ca="1" si="1"/>
        <v>0</v>
      </c>
      <c r="AD36" s="52"/>
      <c r="AE36" s="52"/>
      <c r="AF36" s="52"/>
      <c r="AG36" s="52"/>
      <c r="AH36" s="52"/>
      <c r="AI36" s="52"/>
      <c r="AJ36" s="52"/>
      <c r="AK36" s="52"/>
      <c r="AL36" s="52"/>
    </row>
    <row r="37" spans="1:38" ht="15.75" customHeight="1">
      <c r="A37" s="52"/>
      <c r="B37" s="8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3">
        <f t="shared" ref="AC37:AC40" si="2">R37*Y37/100</f>
        <v>0</v>
      </c>
      <c r="AD37" s="52"/>
      <c r="AE37" s="52"/>
      <c r="AF37" s="52"/>
      <c r="AG37" s="52"/>
      <c r="AH37" s="52"/>
      <c r="AI37" s="52"/>
      <c r="AJ37" s="52"/>
      <c r="AK37" s="52"/>
      <c r="AL37" s="52"/>
    </row>
    <row r="38" spans="1:38" ht="15.75" customHeight="1">
      <c r="A38" s="52"/>
      <c r="B38" s="8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3">
        <f t="shared" si="2"/>
        <v>0</v>
      </c>
      <c r="AD38" s="52"/>
      <c r="AE38" s="52"/>
      <c r="AF38" s="52"/>
      <c r="AG38" s="52"/>
      <c r="AH38" s="52"/>
      <c r="AI38" s="52"/>
      <c r="AJ38" s="52"/>
      <c r="AK38" s="52"/>
      <c r="AL38" s="52"/>
    </row>
    <row r="39" spans="1:38" ht="15.75" customHeight="1">
      <c r="A39" s="52"/>
      <c r="B39" s="8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3">
        <f t="shared" si="2"/>
        <v>0</v>
      </c>
      <c r="AD39" s="52"/>
      <c r="AE39" s="52"/>
      <c r="AF39" s="52"/>
      <c r="AG39" s="52"/>
      <c r="AH39" s="52"/>
      <c r="AI39" s="52"/>
      <c r="AJ39" s="52"/>
      <c r="AK39" s="52"/>
      <c r="AL39" s="52"/>
    </row>
    <row r="40" spans="1:38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3">
        <f t="shared" si="2"/>
        <v>0</v>
      </c>
      <c r="AD40" s="52"/>
      <c r="AE40" s="52"/>
      <c r="AF40" s="52"/>
      <c r="AG40" s="52"/>
      <c r="AH40" s="52"/>
      <c r="AI40" s="52"/>
      <c r="AJ40" s="52"/>
      <c r="AK40" s="52"/>
      <c r="AL40" s="52"/>
    </row>
    <row r="41" spans="1:38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3"/>
      <c r="AD41" s="52"/>
      <c r="AE41" s="52"/>
      <c r="AF41" s="52"/>
      <c r="AG41" s="52"/>
      <c r="AH41" s="52"/>
      <c r="AI41" s="52"/>
      <c r="AJ41" s="52"/>
      <c r="AK41" s="52"/>
      <c r="AL41" s="52"/>
    </row>
    <row r="42" spans="1:38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3"/>
      <c r="AD42" s="52"/>
      <c r="AE42" s="52"/>
      <c r="AF42" s="52"/>
      <c r="AG42" s="52"/>
      <c r="AH42" s="52"/>
      <c r="AI42" s="52"/>
      <c r="AJ42" s="52"/>
      <c r="AK42" s="52"/>
      <c r="AL42" s="52"/>
    </row>
    <row r="43" spans="1:38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3"/>
      <c r="AD43" s="52"/>
      <c r="AE43" s="52"/>
      <c r="AF43" s="52"/>
      <c r="AG43" s="52"/>
      <c r="AH43" s="52"/>
      <c r="AI43" s="52"/>
      <c r="AJ43" s="52"/>
      <c r="AK43" s="52"/>
      <c r="AL43" s="52"/>
    </row>
    <row r="44" spans="1:38" ht="15.75" customHeight="1" thickBot="1">
      <c r="A44" s="658" t="s">
        <v>275</v>
      </c>
      <c r="B44" s="658"/>
      <c r="C44" s="658"/>
      <c r="D44" s="658"/>
      <c r="E44" s="658"/>
      <c r="F44" s="658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3"/>
      <c r="AD44" s="52"/>
      <c r="AE44" s="52"/>
      <c r="AF44" s="52"/>
      <c r="AG44" s="52"/>
      <c r="AH44" s="52"/>
      <c r="AI44" s="52"/>
      <c r="AJ44" s="52"/>
      <c r="AK44" s="52"/>
      <c r="AL44" s="52"/>
    </row>
    <row r="45" spans="1:38" ht="15.75" customHeight="1">
      <c r="A45" s="452" t="str">
        <f ca="1">IFERROR(__xludf.DUMMYFUNCTION("IMPORTHTML(SUBSTITUTE(""https://histock.tw/stock/股票代碼/%E7%8F%BE%E9%87%91%E6%B5%81%E9%87%8F%E8%A1%A8"", ""股票代碼"",'股價預估'!E1),""table"",0)"),"年度/季別")</f>
        <v>年度/季別</v>
      </c>
      <c r="B45" s="428" t="str">
        <f ca="1">IFERROR(__xludf.DUMMYFUNCTION("""COMPUTED_VALUE"""),"營業現金流")</f>
        <v>營業現金流</v>
      </c>
      <c r="C45" s="428" t="str">
        <f ca="1">IFERROR(__xludf.DUMMYFUNCTION("""COMPUTED_VALUE"""),"投資現金流")</f>
        <v>投資現金流</v>
      </c>
      <c r="D45" s="428" t="str">
        <f ca="1">IFERROR(__xludf.DUMMYFUNCTION("""COMPUTED_VALUE"""),"融資現金流")</f>
        <v>融資現金流</v>
      </c>
      <c r="E45" s="428" t="str">
        <f ca="1">IFERROR(__xludf.DUMMYFUNCTION("""COMPUTED_VALUE"""),"自由現金流")</f>
        <v>自由現金流</v>
      </c>
      <c r="F45" s="429" t="str">
        <f ca="1">IFERROR(__xludf.DUMMYFUNCTION("""COMPUTED_VALUE"""),"淨現金流")</f>
        <v>淨現金流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3"/>
      <c r="AD45" s="52"/>
      <c r="AE45" s="52"/>
      <c r="AF45" s="52"/>
      <c r="AG45" s="52"/>
      <c r="AH45" s="52"/>
      <c r="AI45" s="52"/>
      <c r="AJ45" s="52"/>
      <c r="AK45" s="52"/>
      <c r="AL45" s="52"/>
    </row>
    <row r="46" spans="1:38" ht="15.75" customHeight="1">
      <c r="A46" s="494" t="str">
        <f ca="1">IFERROR(__xludf.DUMMYFUNCTION("""COMPUTED_VALUE"""),"2026Q1")</f>
        <v>2026Q1</v>
      </c>
      <c r="B46" s="659">
        <f ca="1">IFERROR(__xludf.DUMMYFUNCTION("""COMPUTED_VALUE"""),698976265)</f>
        <v>698976265</v>
      </c>
      <c r="C46" s="659">
        <f ca="1">IFERROR(__xludf.DUMMYFUNCTION("""COMPUTED_VALUE"""),-356853756)</f>
        <v>-356853756</v>
      </c>
      <c r="D46" s="659">
        <f ca="1">IFERROR(__xludf.DUMMYFUNCTION("""COMPUTED_VALUE"""),-119910612)</f>
        <v>-119910612</v>
      </c>
      <c r="E46" s="659">
        <f ca="1">IFERROR(__xludf.DUMMYFUNCTION("""COMPUTED_VALUE"""),342122509)</f>
        <v>342122509</v>
      </c>
      <c r="F46" s="660">
        <f ca="1">IFERROR(__xludf.DUMMYFUNCTION("""COMPUTED_VALUE"""),222211897)</f>
        <v>222211897</v>
      </c>
      <c r="G46" s="52"/>
      <c r="H46" s="52"/>
      <c r="I46" s="52"/>
      <c r="J46" s="52"/>
      <c r="K46" s="52"/>
      <c r="L46" s="52"/>
      <c r="M46" s="52"/>
      <c r="N46" s="52"/>
      <c r="V46" s="52"/>
      <c r="W46" s="52"/>
      <c r="X46" s="52"/>
      <c r="Y46" s="52"/>
      <c r="Z46" s="52"/>
      <c r="AA46" s="52"/>
      <c r="AB46" s="52"/>
      <c r="AC46" s="53"/>
      <c r="AD46" s="52"/>
      <c r="AE46" s="52"/>
      <c r="AF46" s="52"/>
      <c r="AG46" s="52"/>
      <c r="AH46" s="52"/>
      <c r="AI46" s="52"/>
      <c r="AJ46" s="52"/>
      <c r="AK46" s="52"/>
      <c r="AL46" s="52"/>
    </row>
    <row r="47" spans="1:38" ht="15.75" customHeight="1">
      <c r="A47" s="494" t="str">
        <f ca="1">IFERROR(__xludf.DUMMYFUNCTION("""COMPUTED_VALUE"""),"2025Q4")</f>
        <v>2025Q4</v>
      </c>
      <c r="B47" s="659">
        <f ca="1">IFERROR(__xludf.DUMMYFUNCTION("""COMPUTED_VALUE"""),725508787)</f>
        <v>725508787</v>
      </c>
      <c r="C47" s="659">
        <f ca="1">IFERROR(__xludf.DUMMYFUNCTION("""COMPUTED_VALUE"""),-365960057)</f>
        <v>-365960057</v>
      </c>
      <c r="D47" s="659">
        <f ca="1">IFERROR(__xludf.DUMMYFUNCTION("""COMPUTED_VALUE"""),-107685373)</f>
        <v>-107685373</v>
      </c>
      <c r="E47" s="659">
        <f ca="1">IFERROR(__xludf.DUMMYFUNCTION("""COMPUTED_VALUE"""),359548730)</f>
        <v>359548730</v>
      </c>
      <c r="F47" s="660">
        <f ca="1">IFERROR(__xludf.DUMMYFUNCTION("""COMPUTED_VALUE"""),251863357)</f>
        <v>251863357</v>
      </c>
      <c r="G47" s="52"/>
      <c r="H47" s="52"/>
      <c r="I47" s="52"/>
      <c r="J47" s="52"/>
      <c r="K47" s="52"/>
      <c r="L47" s="52"/>
      <c r="M47" s="52"/>
      <c r="N47" s="52"/>
      <c r="V47" s="52"/>
      <c r="W47" s="52"/>
      <c r="X47" s="52"/>
      <c r="Y47" s="52"/>
      <c r="Z47" s="52"/>
      <c r="AA47" s="52"/>
      <c r="AB47" s="52"/>
      <c r="AC47" s="53"/>
      <c r="AD47" s="52"/>
      <c r="AE47" s="52"/>
      <c r="AF47" s="52"/>
      <c r="AG47" s="52"/>
      <c r="AH47" s="52"/>
      <c r="AI47" s="52"/>
      <c r="AJ47" s="52"/>
      <c r="AK47" s="52"/>
      <c r="AL47" s="52"/>
    </row>
    <row r="48" spans="1:38" ht="15.75" customHeight="1">
      <c r="A48" s="494" t="str">
        <f ca="1">IFERROR(__xludf.DUMMYFUNCTION("""COMPUTED_VALUE"""),"2025Q3")</f>
        <v>2025Q3</v>
      </c>
      <c r="B48" s="659">
        <f ca="1">IFERROR(__xludf.DUMMYFUNCTION("""COMPUTED_VALUE"""),426829081)</f>
        <v>426829081</v>
      </c>
      <c r="C48" s="659">
        <f ca="1">IFERROR(__xludf.DUMMYFUNCTION("""COMPUTED_VALUE"""),-259752617)</f>
        <v>-259752617</v>
      </c>
      <c r="D48" s="659">
        <f ca="1">IFERROR(__xludf.DUMMYFUNCTION("""COMPUTED_VALUE"""),-128293126)</f>
        <v>-128293126</v>
      </c>
      <c r="E48" s="659">
        <f ca="1">IFERROR(__xludf.DUMMYFUNCTION("""COMPUTED_VALUE"""),167076464)</f>
        <v>167076464</v>
      </c>
      <c r="F48" s="660">
        <f ca="1">IFERROR(__xludf.DUMMYFUNCTION("""COMPUTED_VALUE"""),38783338)</f>
        <v>38783338</v>
      </c>
      <c r="G48" s="52"/>
      <c r="H48" s="52"/>
      <c r="I48" s="52"/>
      <c r="J48" s="52"/>
      <c r="K48" s="52"/>
      <c r="L48" s="52"/>
      <c r="M48" s="52"/>
      <c r="N48" s="52"/>
      <c r="V48" s="52"/>
      <c r="W48" s="52"/>
      <c r="X48" s="52"/>
      <c r="Y48" s="52"/>
      <c r="Z48" s="52"/>
      <c r="AA48" s="52"/>
      <c r="AB48" s="52"/>
      <c r="AC48" s="53"/>
      <c r="AD48" s="52"/>
      <c r="AE48" s="52"/>
      <c r="AF48" s="52"/>
      <c r="AG48" s="52"/>
      <c r="AH48" s="52"/>
      <c r="AI48" s="52"/>
      <c r="AJ48" s="52"/>
      <c r="AK48" s="52"/>
      <c r="AL48" s="52"/>
    </row>
    <row r="49" spans="1:38" ht="15.75" customHeight="1">
      <c r="A49" s="494" t="str">
        <f ca="1">IFERROR(__xludf.DUMMYFUNCTION("""COMPUTED_VALUE"""),"2025Q2")</f>
        <v>2025Q2</v>
      </c>
      <c r="B49" s="659">
        <f ca="1">IFERROR(__xludf.DUMMYFUNCTION("""COMPUTED_VALUE"""),497064085)</f>
        <v>497064085</v>
      </c>
      <c r="C49" s="659">
        <f ca="1">IFERROR(__xludf.DUMMYFUNCTION("""COMPUTED_VALUE"""),-228488307)</f>
        <v>-228488307</v>
      </c>
      <c r="D49" s="659">
        <f ca="1">IFERROR(__xludf.DUMMYFUNCTION("""COMPUTED_VALUE"""),-119700601)</f>
        <v>-119700601</v>
      </c>
      <c r="E49" s="659">
        <f ca="1">IFERROR(__xludf.DUMMYFUNCTION("""COMPUTED_VALUE"""),268575778)</f>
        <v>268575778</v>
      </c>
      <c r="F49" s="660">
        <f ca="1">IFERROR(__xludf.DUMMYFUNCTION("""COMPUTED_VALUE"""),148875177)</f>
        <v>148875177</v>
      </c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V49" s="52"/>
      <c r="W49" s="52"/>
      <c r="X49" s="52"/>
      <c r="Y49" s="52"/>
      <c r="Z49" s="52"/>
      <c r="AA49" s="52"/>
      <c r="AB49" s="52"/>
      <c r="AC49" s="53"/>
      <c r="AD49" s="52"/>
      <c r="AE49" s="52"/>
      <c r="AF49" s="52"/>
      <c r="AG49" s="52"/>
      <c r="AH49" s="52"/>
      <c r="AI49" s="52"/>
      <c r="AJ49" s="52"/>
      <c r="AK49" s="52"/>
      <c r="AL49" s="52"/>
    </row>
    <row r="50" spans="1:38" ht="15.75" customHeight="1">
      <c r="A50" s="494" t="str">
        <f ca="1">IFERROR(__xludf.DUMMYFUNCTION("""COMPUTED_VALUE"""),"2025Q1")</f>
        <v>2025Q1</v>
      </c>
      <c r="B50" s="659">
        <f ca="1">IFERROR(__xludf.DUMMYFUNCTION("""COMPUTED_VALUE"""),625573672)</f>
        <v>625573672</v>
      </c>
      <c r="C50" s="659">
        <f ca="1">IFERROR(__xludf.DUMMYFUNCTION("""COMPUTED_VALUE"""),-290192426)</f>
        <v>-290192426</v>
      </c>
      <c r="D50" s="659">
        <f ca="1">IFERROR(__xludf.DUMMYFUNCTION("""COMPUTED_VALUE"""),-84665592)</f>
        <v>-84665592</v>
      </c>
      <c r="E50" s="659">
        <f ca="1">IFERROR(__xludf.DUMMYFUNCTION("""COMPUTED_VALUE"""),335381246)</f>
        <v>335381246</v>
      </c>
      <c r="F50" s="660">
        <f ca="1">IFERROR(__xludf.DUMMYFUNCTION("""COMPUTED_VALUE"""),250715654)</f>
        <v>250715654</v>
      </c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3"/>
      <c r="AD50" s="52"/>
      <c r="AE50" s="52"/>
      <c r="AF50" s="52"/>
      <c r="AG50" s="52"/>
      <c r="AH50" s="52"/>
      <c r="AI50" s="52"/>
      <c r="AJ50" s="52"/>
      <c r="AK50" s="52"/>
      <c r="AL50" s="52"/>
    </row>
    <row r="51" spans="1:38" ht="15.75" customHeight="1">
      <c r="A51" s="494" t="str">
        <f ca="1">IFERROR(__xludf.DUMMYFUNCTION("""COMPUTED_VALUE"""),"2024Q4")</f>
        <v>2024Q4</v>
      </c>
      <c r="B51" s="659">
        <f ca="1">IFERROR(__xludf.DUMMYFUNCTION("""COMPUTED_VALUE"""),620205283)</f>
        <v>620205283</v>
      </c>
      <c r="C51" s="659">
        <f ca="1">IFERROR(__xludf.DUMMYFUNCTION("""COMPUTED_VALUE"""),-311918527)</f>
        <v>-311918527</v>
      </c>
      <c r="D51" s="659">
        <f ca="1">IFERROR(__xludf.DUMMYFUNCTION("""COMPUTED_VALUE"""),-100732423)</f>
        <v>-100732423</v>
      </c>
      <c r="E51" s="659">
        <f ca="1">IFERROR(__xludf.DUMMYFUNCTION("""COMPUTED_VALUE"""),308286756)</f>
        <v>308286756</v>
      </c>
      <c r="F51" s="660">
        <f ca="1">IFERROR(__xludf.DUMMYFUNCTION("""COMPUTED_VALUE"""),207554333)</f>
        <v>207554333</v>
      </c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3"/>
      <c r="AD51" s="52"/>
      <c r="AE51" s="52"/>
      <c r="AF51" s="52"/>
      <c r="AG51" s="52"/>
      <c r="AH51" s="52"/>
      <c r="AI51" s="52"/>
      <c r="AJ51" s="52"/>
      <c r="AK51" s="52"/>
      <c r="AL51" s="52"/>
    </row>
    <row r="52" spans="1:38" ht="15.75" customHeight="1">
      <c r="A52" s="494" t="str">
        <f ca="1">IFERROR(__xludf.DUMMYFUNCTION("""COMPUTED_VALUE"""),"2024Q3")</f>
        <v>2024Q3</v>
      </c>
      <c r="B52" s="659">
        <f ca="1">IFERROR(__xludf.DUMMYFUNCTION("""COMPUTED_VALUE"""),391992467)</f>
        <v>391992467</v>
      </c>
      <c r="C52" s="659">
        <f ca="1">IFERROR(__xludf.DUMMYFUNCTION("""COMPUTED_VALUE"""),-195509921)</f>
        <v>-195509921</v>
      </c>
      <c r="D52" s="659">
        <f ca="1">IFERROR(__xludf.DUMMYFUNCTION("""COMPUTED_VALUE"""),-83638287)</f>
        <v>-83638287</v>
      </c>
      <c r="E52" s="659">
        <f ca="1">IFERROR(__xludf.DUMMYFUNCTION("""COMPUTED_VALUE"""),196482546)</f>
        <v>196482546</v>
      </c>
      <c r="F52" s="660">
        <f ca="1">IFERROR(__xludf.DUMMYFUNCTION("""COMPUTED_VALUE"""),112844259)</f>
        <v>112844259</v>
      </c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3"/>
      <c r="AD52" s="52"/>
      <c r="AE52" s="52"/>
      <c r="AF52" s="52"/>
      <c r="AG52" s="52"/>
      <c r="AH52" s="52"/>
      <c r="AI52" s="52"/>
      <c r="AJ52" s="52"/>
      <c r="AK52" s="52"/>
      <c r="AL52" s="52"/>
    </row>
    <row r="53" spans="1:38" ht="15.75" customHeight="1">
      <c r="A53" s="494" t="str">
        <f ca="1">IFERROR(__xludf.DUMMYFUNCTION("""COMPUTED_VALUE"""),"2024Q2")</f>
        <v>2024Q2</v>
      </c>
      <c r="B53" s="659">
        <f ca="1">IFERROR(__xludf.DUMMYFUNCTION("""COMPUTED_VALUE"""),377668210)</f>
        <v>377668210</v>
      </c>
      <c r="C53" s="659">
        <f ca="1">IFERROR(__xludf.DUMMYFUNCTION("""COMPUTED_VALUE"""),-197607330)</f>
        <v>-197607330</v>
      </c>
      <c r="D53" s="659">
        <f ca="1">IFERROR(__xludf.DUMMYFUNCTION("""COMPUTED_VALUE"""),-90244583)</f>
        <v>-90244583</v>
      </c>
      <c r="E53" s="659">
        <f ca="1">IFERROR(__xludf.DUMMYFUNCTION("""COMPUTED_VALUE"""),180060880)</f>
        <v>180060880</v>
      </c>
      <c r="F53" s="660">
        <f ca="1">IFERROR(__xludf.DUMMYFUNCTION("""COMPUTED_VALUE"""),89816297)</f>
        <v>89816297</v>
      </c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3"/>
      <c r="AD53" s="52"/>
      <c r="AE53" s="52"/>
      <c r="AF53" s="52"/>
      <c r="AG53" s="52"/>
      <c r="AH53" s="52"/>
      <c r="AI53" s="52"/>
      <c r="AJ53" s="52"/>
      <c r="AK53" s="52"/>
      <c r="AL53" s="52"/>
    </row>
    <row r="54" spans="1:38" ht="15.75" customHeight="1">
      <c r="A54" s="494" t="str">
        <f ca="1">IFERROR(__xludf.DUMMYFUNCTION("""COMPUTED_VALUE"""),"2024Q1")</f>
        <v>2024Q1</v>
      </c>
      <c r="B54" s="659">
        <f ca="1">IFERROR(__xludf.DUMMYFUNCTION("""COMPUTED_VALUE"""),436311108)</f>
        <v>436311108</v>
      </c>
      <c r="C54" s="659">
        <f ca="1">IFERROR(__xludf.DUMMYFUNCTION("""COMPUTED_VALUE"""),-159806991)</f>
        <v>-159806991</v>
      </c>
      <c r="D54" s="659">
        <f ca="1">IFERROR(__xludf.DUMMYFUNCTION("""COMPUTED_VALUE"""),-71685617)</f>
        <v>-71685617</v>
      </c>
      <c r="E54" s="659">
        <f ca="1">IFERROR(__xludf.DUMMYFUNCTION("""COMPUTED_VALUE"""),276504117)</f>
        <v>276504117</v>
      </c>
      <c r="F54" s="660">
        <f ca="1">IFERROR(__xludf.DUMMYFUNCTION("""COMPUTED_VALUE"""),204818500)</f>
        <v>204818500</v>
      </c>
      <c r="G54" s="52"/>
      <c r="H54" s="52"/>
      <c r="I54" s="52"/>
      <c r="J54" s="52"/>
      <c r="K54" s="52"/>
      <c r="L54" s="52"/>
      <c r="M54" s="52"/>
      <c r="N54" s="52"/>
      <c r="O54" s="52" t="s">
        <v>158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3"/>
      <c r="AD54" s="52"/>
      <c r="AE54" s="52"/>
      <c r="AF54" s="52"/>
      <c r="AG54" s="52"/>
      <c r="AH54" s="52"/>
      <c r="AI54" s="52"/>
      <c r="AJ54" s="52"/>
      <c r="AK54" s="52"/>
      <c r="AL54" s="52"/>
    </row>
    <row r="55" spans="1:38" ht="15.75" customHeight="1">
      <c r="A55" s="494" t="str">
        <f ca="1">IFERROR(__xludf.DUMMYFUNCTION("""COMPUTED_VALUE"""),"2023Q4")</f>
        <v>2023Q4</v>
      </c>
      <c r="B55" s="659">
        <f ca="1">IFERROR(__xludf.DUMMYFUNCTION("""COMPUTED_VALUE"""),394829347)</f>
        <v>394829347</v>
      </c>
      <c r="C55" s="659">
        <f ca="1">IFERROR(__xludf.DUMMYFUNCTION("""COMPUTED_VALUE"""),-132319502)</f>
        <v>-132319502</v>
      </c>
      <c r="D55" s="659">
        <f ca="1">IFERROR(__xludf.DUMMYFUNCTION("""COMPUTED_VALUE"""),-75367133)</f>
        <v>-75367133</v>
      </c>
      <c r="E55" s="659">
        <f ca="1">IFERROR(__xludf.DUMMYFUNCTION("""COMPUTED_VALUE"""),262509845)</f>
        <v>262509845</v>
      </c>
      <c r="F55" s="660">
        <f ca="1">IFERROR(__xludf.DUMMYFUNCTION("""COMPUTED_VALUE"""),187142712)</f>
        <v>187142712</v>
      </c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3"/>
      <c r="AD55" s="52"/>
      <c r="AE55" s="52"/>
      <c r="AF55" s="52"/>
      <c r="AG55" s="52"/>
      <c r="AH55" s="52"/>
      <c r="AI55" s="52"/>
      <c r="AJ55" s="52"/>
      <c r="AK55" s="52"/>
      <c r="AL55" s="52"/>
    </row>
    <row r="56" spans="1:38" ht="12.5">
      <c r="A56" s="494" t="str">
        <f ca="1">IFERROR(__xludf.DUMMYFUNCTION("""COMPUTED_VALUE"""),"2023Q3")</f>
        <v>2023Q3</v>
      </c>
      <c r="B56" s="659">
        <f ca="1">IFERROR(__xludf.DUMMYFUNCTION("""COMPUTED_VALUE"""),294645276)</f>
        <v>294645276</v>
      </c>
      <c r="C56" s="659">
        <f ca="1">IFERROR(__xludf.DUMMYFUNCTION("""COMPUTED_VALUE"""),-242243223)</f>
        <v>-242243223</v>
      </c>
      <c r="D56" s="659">
        <f ca="1">IFERROR(__xludf.DUMMYFUNCTION("""COMPUTED_VALUE"""),-38451204)</f>
        <v>-38451204</v>
      </c>
      <c r="E56" s="659">
        <f ca="1">IFERROR(__xludf.DUMMYFUNCTION("""COMPUTED_VALUE"""),52402053)</f>
        <v>52402053</v>
      </c>
      <c r="F56" s="660">
        <f ca="1">IFERROR(__xludf.DUMMYFUNCTION("""COMPUTED_VALUE"""),13950849)</f>
        <v>13950849</v>
      </c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3"/>
      <c r="AD56" s="52"/>
      <c r="AE56" s="52"/>
      <c r="AF56" s="52"/>
      <c r="AG56" s="52"/>
      <c r="AH56" s="52"/>
      <c r="AI56" s="52"/>
      <c r="AJ56" s="52"/>
      <c r="AK56" s="52"/>
      <c r="AL56" s="52"/>
    </row>
    <row r="57" spans="1:38" ht="12.5">
      <c r="A57" s="494" t="str">
        <f ca="1">IFERROR(__xludf.DUMMYFUNCTION("""COMPUTED_VALUE"""),"2023Q2")</f>
        <v>2023Q2</v>
      </c>
      <c r="B57" s="659">
        <f ca="1">IFERROR(__xludf.DUMMYFUNCTION("""COMPUTED_VALUE"""),167247979)</f>
        <v>167247979</v>
      </c>
      <c r="C57" s="659">
        <f ca="1">IFERROR(__xludf.DUMMYFUNCTION("""COMPUTED_VALUE"""),-259326076)</f>
        <v>-259326076</v>
      </c>
      <c r="D57" s="659">
        <f ca="1">IFERROR(__xludf.DUMMYFUNCTION("""COMPUTED_VALUE"""),-26588885)</f>
        <v>-26588885</v>
      </c>
      <c r="E57" s="659">
        <f ca="1">IFERROR(__xludf.DUMMYFUNCTION("""COMPUTED_VALUE"""),-92078097)</f>
        <v>-92078097</v>
      </c>
      <c r="F57" s="660">
        <f ca="1">IFERROR(__xludf.DUMMYFUNCTION("""COMPUTED_VALUE"""),-118666982)</f>
        <v>-118666982</v>
      </c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3"/>
      <c r="AD57" s="52"/>
      <c r="AE57" s="52"/>
      <c r="AF57" s="52"/>
      <c r="AG57" s="52"/>
      <c r="AH57" s="52"/>
      <c r="AI57" s="52"/>
      <c r="AJ57" s="52"/>
      <c r="AK57" s="52"/>
      <c r="AL57" s="52"/>
    </row>
    <row r="58" spans="1:38" ht="12.5">
      <c r="A58" s="494" t="str">
        <f ca="1">IFERROR(__xludf.DUMMYFUNCTION("""COMPUTED_VALUE"""),"2023Q1")</f>
        <v>2023Q1</v>
      </c>
      <c r="B58" s="659">
        <f ca="1">IFERROR(__xludf.DUMMYFUNCTION("""COMPUTED_VALUE"""),385244745)</f>
        <v>385244745</v>
      </c>
      <c r="C58" s="659">
        <f ca="1">IFERROR(__xludf.DUMMYFUNCTION("""COMPUTED_VALUE"""),-272231795)</f>
        <v>-272231795</v>
      </c>
      <c r="D58" s="659">
        <f ca="1">IFERROR(__xludf.DUMMYFUNCTION("""COMPUTED_VALUE"""),-64487030)</f>
        <v>-64487030</v>
      </c>
      <c r="E58" s="659">
        <f ca="1">IFERROR(__xludf.DUMMYFUNCTION("""COMPUTED_VALUE"""),113012950)</f>
        <v>113012950</v>
      </c>
      <c r="F58" s="660">
        <f ca="1">IFERROR(__xludf.DUMMYFUNCTION("""COMPUTED_VALUE"""),48525920)</f>
        <v>48525920</v>
      </c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3"/>
      <c r="AD58" s="52"/>
      <c r="AE58" s="52"/>
      <c r="AF58" s="52"/>
      <c r="AG58" s="52"/>
      <c r="AH58" s="52"/>
      <c r="AI58" s="52"/>
      <c r="AJ58" s="52"/>
      <c r="AK58" s="52"/>
      <c r="AL58" s="52"/>
    </row>
    <row r="59" spans="1:38" ht="12.5">
      <c r="A59" s="494" t="str">
        <f ca="1">IFERROR(__xludf.DUMMYFUNCTION("""COMPUTED_VALUE"""),"2022Q4")</f>
        <v>2022Q4</v>
      </c>
      <c r="B59" s="659">
        <f ca="1">IFERROR(__xludf.DUMMYFUNCTION("""COMPUTED_VALUE"""),486881904)</f>
        <v>486881904</v>
      </c>
      <c r="C59" s="659">
        <f ca="1">IFERROR(__xludf.DUMMYFUNCTION("""COMPUTED_VALUE"""),-342532013)</f>
        <v>-342532013</v>
      </c>
      <c r="D59" s="659">
        <f ca="1">IFERROR(__xludf.DUMMYFUNCTION("""COMPUTED_VALUE"""),-69831545)</f>
        <v>-69831545</v>
      </c>
      <c r="E59" s="659">
        <f ca="1">IFERROR(__xludf.DUMMYFUNCTION("""COMPUTED_VALUE"""),144349891)</f>
        <v>144349891</v>
      </c>
      <c r="F59" s="660">
        <f ca="1">IFERROR(__xludf.DUMMYFUNCTION("""COMPUTED_VALUE"""),74518346)</f>
        <v>74518346</v>
      </c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3"/>
      <c r="AD59" s="52"/>
      <c r="AE59" s="52"/>
      <c r="AF59" s="52"/>
      <c r="AG59" s="52"/>
      <c r="AH59" s="52"/>
      <c r="AI59" s="52"/>
      <c r="AJ59" s="52"/>
      <c r="AK59" s="52"/>
      <c r="AL59" s="52"/>
    </row>
    <row r="60" spans="1:38" ht="12.5">
      <c r="A60" s="494" t="str">
        <f ca="1">IFERROR(__xludf.DUMMYFUNCTION("""COMPUTED_VALUE"""),"2022Q3")</f>
        <v>2022Q3</v>
      </c>
      <c r="B60" s="659">
        <f ca="1">IFERROR(__xludf.DUMMYFUNCTION("""COMPUTED_VALUE"""),412698167)</f>
        <v>412698167</v>
      </c>
      <c r="C60" s="659">
        <f ca="1">IFERROR(__xludf.DUMMYFUNCTION("""COMPUTED_VALUE"""),-284390325)</f>
        <v>-284390325</v>
      </c>
      <c r="D60" s="659">
        <f ca="1">IFERROR(__xludf.DUMMYFUNCTION("""COMPUTED_VALUE"""),-130406753)</f>
        <v>-130406753</v>
      </c>
      <c r="E60" s="659">
        <f ca="1">IFERROR(__xludf.DUMMYFUNCTION("""COMPUTED_VALUE"""),128307842)</f>
        <v>128307842</v>
      </c>
      <c r="F60" s="660">
        <f ca="1">IFERROR(__xludf.DUMMYFUNCTION("""COMPUTED_VALUE"""),-2098911)</f>
        <v>-2098911</v>
      </c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3"/>
      <c r="AD60" s="52"/>
      <c r="AE60" s="52"/>
      <c r="AF60" s="52"/>
      <c r="AG60" s="52"/>
      <c r="AH60" s="52"/>
      <c r="AI60" s="52"/>
      <c r="AJ60" s="52"/>
      <c r="AK60" s="52"/>
      <c r="AL60" s="52"/>
    </row>
    <row r="61" spans="1:38" ht="12.5">
      <c r="A61" s="494" t="str">
        <f ca="1">IFERROR(__xludf.DUMMYFUNCTION("""COMPUTED_VALUE"""),"2022Q2")</f>
        <v>2022Q2</v>
      </c>
      <c r="B61" s="659">
        <f ca="1">IFERROR(__xludf.DUMMYFUNCTION("""COMPUTED_VALUE"""),338849429)</f>
        <v>338849429</v>
      </c>
      <c r="C61" s="659">
        <f ca="1">IFERROR(__xludf.DUMMYFUNCTION("""COMPUTED_VALUE"""),-275932106)</f>
        <v>-275932106</v>
      </c>
      <c r="D61" s="659">
        <f ca="1">IFERROR(__xludf.DUMMYFUNCTION("""COMPUTED_VALUE"""),19080454)</f>
        <v>19080454</v>
      </c>
      <c r="E61" s="659">
        <f ca="1">IFERROR(__xludf.DUMMYFUNCTION("""COMPUTED_VALUE"""),62917323)</f>
        <v>62917323</v>
      </c>
      <c r="F61" s="660">
        <f ca="1">IFERROR(__xludf.DUMMYFUNCTION("""COMPUTED_VALUE"""),81997777)</f>
        <v>81997777</v>
      </c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3"/>
      <c r="AD61" s="52"/>
      <c r="AE61" s="52"/>
      <c r="AF61" s="52"/>
      <c r="AG61" s="52"/>
      <c r="AH61" s="52"/>
      <c r="AI61" s="52"/>
      <c r="AJ61" s="52"/>
      <c r="AK61" s="52"/>
      <c r="AL61" s="52"/>
    </row>
    <row r="62" spans="1:38" ht="12.5">
      <c r="A62" s="494" t="str">
        <f ca="1">IFERROR(__xludf.DUMMYFUNCTION("""COMPUTED_VALUE"""),"2022Q1")</f>
        <v>2022Q1</v>
      </c>
      <c r="B62" s="659">
        <f ca="1">IFERROR(__xludf.DUMMYFUNCTION("""COMPUTED_VALUE"""),372169688)</f>
        <v>372169688</v>
      </c>
      <c r="C62" s="659">
        <f ca="1">IFERROR(__xludf.DUMMYFUNCTION("""COMPUTED_VALUE"""),-288073791)</f>
        <v>-288073791</v>
      </c>
      <c r="D62" s="659">
        <f ca="1">IFERROR(__xludf.DUMMYFUNCTION("""COMPUTED_VALUE"""),-19086188)</f>
        <v>-19086188</v>
      </c>
      <c r="E62" s="659">
        <f ca="1">IFERROR(__xludf.DUMMYFUNCTION("""COMPUTED_VALUE"""),84095897)</f>
        <v>84095897</v>
      </c>
      <c r="F62" s="660">
        <f ca="1">IFERROR(__xludf.DUMMYFUNCTION("""COMPUTED_VALUE"""),65009709)</f>
        <v>65009709</v>
      </c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3"/>
      <c r="AD62" s="52"/>
      <c r="AE62" s="52"/>
      <c r="AF62" s="52"/>
      <c r="AG62" s="52"/>
      <c r="AH62" s="52"/>
      <c r="AI62" s="52"/>
      <c r="AJ62" s="52"/>
      <c r="AK62" s="52"/>
      <c r="AL62" s="52"/>
    </row>
    <row r="63" spans="1:38" ht="12.5">
      <c r="A63" s="494" t="str">
        <f ca="1">IFERROR(__xludf.DUMMYFUNCTION("""COMPUTED_VALUE"""),"2021Q4")</f>
        <v>2021Q4</v>
      </c>
      <c r="B63" s="659">
        <f ca="1">IFERROR(__xludf.DUMMYFUNCTION("""COMPUTED_VALUE"""),378199317)</f>
        <v>378199317</v>
      </c>
      <c r="C63" s="659">
        <f ca="1">IFERROR(__xludf.DUMMYFUNCTION("""COMPUTED_VALUE"""),-245343292)</f>
        <v>-245343292</v>
      </c>
      <c r="D63" s="659">
        <f ca="1">IFERROR(__xludf.DUMMYFUNCTION("""COMPUTED_VALUE"""),82284018)</f>
        <v>82284018</v>
      </c>
      <c r="E63" s="659">
        <f ca="1">IFERROR(__xludf.DUMMYFUNCTION("""COMPUTED_VALUE"""),132856025)</f>
        <v>132856025</v>
      </c>
      <c r="F63" s="660">
        <f ca="1">IFERROR(__xludf.DUMMYFUNCTION("""COMPUTED_VALUE"""),215140043)</f>
        <v>215140043</v>
      </c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3"/>
      <c r="AD63" s="52"/>
      <c r="AE63" s="52"/>
      <c r="AF63" s="52"/>
      <c r="AG63" s="52"/>
      <c r="AH63" s="52"/>
      <c r="AI63" s="52"/>
      <c r="AJ63" s="52"/>
      <c r="AK63" s="52"/>
      <c r="AL63" s="52"/>
    </row>
    <row r="64" spans="1:38" ht="12.5">
      <c r="A64" s="494" t="str">
        <f ca="1">IFERROR(__xludf.DUMMYFUNCTION("""COMPUTED_VALUE"""),"2021Q3")</f>
        <v>2021Q3</v>
      </c>
      <c r="B64" s="659">
        <f ca="1">IFERROR(__xludf.DUMMYFUNCTION("""COMPUTED_VALUE"""),318706207)</f>
        <v>318706207</v>
      </c>
      <c r="C64" s="659">
        <f ca="1">IFERROR(__xludf.DUMMYFUNCTION("""COMPUTED_VALUE"""),-177020159)</f>
        <v>-177020159</v>
      </c>
      <c r="D64" s="659">
        <f ca="1">IFERROR(__xludf.DUMMYFUNCTION("""COMPUTED_VALUE"""),-35324719)</f>
        <v>-35324719</v>
      </c>
      <c r="E64" s="659">
        <f ca="1">IFERROR(__xludf.DUMMYFUNCTION("""COMPUTED_VALUE"""),141686048)</f>
        <v>141686048</v>
      </c>
      <c r="F64" s="660">
        <f ca="1">IFERROR(__xludf.DUMMYFUNCTION("""COMPUTED_VALUE"""),106361329)</f>
        <v>106361329</v>
      </c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3"/>
      <c r="AD64" s="52"/>
      <c r="AE64" s="52"/>
      <c r="AF64" s="52"/>
      <c r="AG64" s="52"/>
      <c r="AH64" s="52"/>
      <c r="AI64" s="52"/>
      <c r="AJ64" s="52"/>
      <c r="AK64" s="52"/>
      <c r="AL64" s="52"/>
    </row>
    <row r="65" spans="1:38" ht="12.5">
      <c r="A65" s="494" t="str">
        <f ca="1">IFERROR(__xludf.DUMMYFUNCTION("""COMPUTED_VALUE"""),"2021Q2")</f>
        <v>2021Q2</v>
      </c>
      <c r="B65" s="659">
        <f ca="1">IFERROR(__xludf.DUMMYFUNCTION("""COMPUTED_VALUE"""),187439492)</f>
        <v>187439492</v>
      </c>
      <c r="C65" s="659">
        <f ca="1">IFERROR(__xludf.DUMMYFUNCTION("""COMPUTED_VALUE"""),-169750998)</f>
        <v>-169750998</v>
      </c>
      <c r="D65" s="659">
        <f ca="1">IFERROR(__xludf.DUMMYFUNCTION("""COMPUTED_VALUE"""),75030682)</f>
        <v>75030682</v>
      </c>
      <c r="E65" s="659">
        <f ca="1">IFERROR(__xludf.DUMMYFUNCTION("""COMPUTED_VALUE"""),17688494)</f>
        <v>17688494</v>
      </c>
      <c r="F65" s="660">
        <f ca="1">IFERROR(__xludf.DUMMYFUNCTION("""COMPUTED_VALUE"""),92719176)</f>
        <v>92719176</v>
      </c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3"/>
      <c r="AD65" s="52"/>
      <c r="AE65" s="52"/>
      <c r="AF65" s="52"/>
      <c r="AG65" s="52"/>
      <c r="AH65" s="52"/>
      <c r="AI65" s="52"/>
      <c r="AJ65" s="52"/>
      <c r="AK65" s="52"/>
      <c r="AL65" s="52"/>
    </row>
    <row r="66" spans="1:38" ht="13" thickBot="1">
      <c r="A66" s="522" t="str">
        <f ca="1">IFERROR(__xludf.DUMMYFUNCTION("""COMPUTED_VALUE"""),"2021Q1")</f>
        <v>2021Q1</v>
      </c>
      <c r="B66" s="661">
        <f ca="1">IFERROR(__xludf.DUMMYFUNCTION("""COMPUTED_VALUE"""),227815706)</f>
        <v>227815706</v>
      </c>
      <c r="C66" s="661">
        <f ca="1">IFERROR(__xludf.DUMMYFUNCTION("""COMPUTED_VALUE"""),-244251414)</f>
        <v>-244251414</v>
      </c>
      <c r="D66" s="661">
        <f ca="1">IFERROR(__xludf.DUMMYFUNCTION("""COMPUTED_VALUE"""),14618457)</f>
        <v>14618457</v>
      </c>
      <c r="E66" s="661">
        <f ca="1">IFERROR(__xludf.DUMMYFUNCTION("""COMPUTED_VALUE"""),-16435708)</f>
        <v>-16435708</v>
      </c>
      <c r="F66" s="662">
        <f ca="1">IFERROR(__xludf.DUMMYFUNCTION("""COMPUTED_VALUE"""),-1817251)</f>
        <v>-1817251</v>
      </c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3"/>
      <c r="AD66" s="52"/>
      <c r="AE66" s="52"/>
      <c r="AF66" s="52"/>
      <c r="AG66" s="52"/>
      <c r="AH66" s="52"/>
      <c r="AI66" s="52"/>
      <c r="AJ66" s="52"/>
      <c r="AK66" s="52"/>
      <c r="AL66" s="52"/>
    </row>
    <row r="67" spans="1:38" ht="12.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3"/>
      <c r="AD67" s="52"/>
      <c r="AE67" s="52"/>
      <c r="AF67" s="52"/>
      <c r="AG67" s="52"/>
      <c r="AH67" s="52"/>
      <c r="AI67" s="52"/>
      <c r="AJ67" s="52"/>
      <c r="AK67" s="52"/>
      <c r="AL67" s="52"/>
    </row>
    <row r="68" spans="1:38" ht="12.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3"/>
      <c r="AD68" s="52"/>
      <c r="AE68" s="52"/>
      <c r="AF68" s="52"/>
      <c r="AG68" s="52"/>
      <c r="AH68" s="52"/>
      <c r="AI68" s="52"/>
      <c r="AJ68" s="52"/>
      <c r="AK68" s="52"/>
      <c r="AL68" s="52"/>
    </row>
    <row r="69" spans="1:38" ht="12.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3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1:38" ht="12.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3"/>
      <c r="AD70" s="52"/>
      <c r="AE70" s="52"/>
      <c r="AF70" s="52"/>
      <c r="AG70" s="52"/>
      <c r="AH70" s="52"/>
      <c r="AI70" s="52"/>
      <c r="AJ70" s="52"/>
      <c r="AK70" s="52"/>
      <c r="AL70" s="52"/>
    </row>
    <row r="71" spans="1:38" ht="12.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3"/>
      <c r="AD71" s="52"/>
      <c r="AE71" s="52"/>
      <c r="AF71" s="52"/>
      <c r="AG71" s="52"/>
      <c r="AH71" s="52"/>
      <c r="AI71" s="52"/>
      <c r="AJ71" s="52"/>
      <c r="AK71" s="52"/>
      <c r="AL71" s="52"/>
    </row>
    <row r="72" spans="1:38" ht="12.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3"/>
      <c r="AD72" s="52"/>
      <c r="AE72" s="52"/>
      <c r="AF72" s="52"/>
      <c r="AG72" s="52"/>
      <c r="AH72" s="52"/>
      <c r="AI72" s="52"/>
      <c r="AJ72" s="52"/>
      <c r="AK72" s="52"/>
      <c r="AL72" s="52"/>
    </row>
    <row r="73" spans="1:38" ht="12.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3"/>
      <c r="AD73" s="52"/>
      <c r="AE73" s="52"/>
      <c r="AF73" s="52"/>
      <c r="AG73" s="52"/>
      <c r="AH73" s="52"/>
      <c r="AI73" s="52"/>
      <c r="AJ73" s="52"/>
      <c r="AK73" s="52"/>
      <c r="AL73" s="52"/>
    </row>
    <row r="74" spans="1:38" ht="12.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3"/>
      <c r="AD74" s="52"/>
      <c r="AE74" s="52"/>
      <c r="AF74" s="52"/>
      <c r="AG74" s="52"/>
      <c r="AH74" s="52"/>
      <c r="AI74" s="52"/>
      <c r="AJ74" s="52"/>
      <c r="AK74" s="52"/>
      <c r="AL74" s="52"/>
    </row>
    <row r="75" spans="1:38" ht="12.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3"/>
      <c r="AD75" s="52"/>
      <c r="AE75" s="52"/>
      <c r="AF75" s="52"/>
      <c r="AG75" s="52"/>
      <c r="AH75" s="52"/>
      <c r="AI75" s="52"/>
      <c r="AJ75" s="52"/>
      <c r="AK75" s="52"/>
      <c r="AL75" s="52"/>
    </row>
    <row r="76" spans="1:38" ht="12.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3"/>
      <c r="AD76" s="52"/>
      <c r="AE76" s="52"/>
      <c r="AF76" s="52"/>
      <c r="AG76" s="52"/>
      <c r="AH76" s="52"/>
      <c r="AI76" s="52"/>
      <c r="AJ76" s="52"/>
      <c r="AK76" s="52"/>
      <c r="AL76" s="52"/>
    </row>
    <row r="77" spans="1:38" ht="12.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3"/>
      <c r="AD77" s="52"/>
      <c r="AE77" s="52"/>
      <c r="AF77" s="52"/>
      <c r="AG77" s="52"/>
      <c r="AH77" s="52"/>
      <c r="AI77" s="52"/>
      <c r="AJ77" s="52"/>
      <c r="AK77" s="52"/>
      <c r="AL77" s="52"/>
    </row>
    <row r="78" spans="1:38" ht="12.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3"/>
      <c r="AD78" s="52"/>
      <c r="AE78" s="52"/>
      <c r="AF78" s="52"/>
      <c r="AG78" s="52"/>
      <c r="AH78" s="52"/>
      <c r="AI78" s="52"/>
      <c r="AJ78" s="52"/>
      <c r="AK78" s="52"/>
      <c r="AL78" s="52"/>
    </row>
    <row r="79" spans="1:38" ht="13.5" thickBot="1">
      <c r="A79" s="658" t="s">
        <v>276</v>
      </c>
      <c r="B79" s="658"/>
      <c r="C79" s="658"/>
      <c r="D79" s="658"/>
      <c r="E79" s="658"/>
      <c r="F79" s="658"/>
      <c r="G79" s="658"/>
      <c r="H79" s="658"/>
      <c r="I79" s="52"/>
      <c r="J79" s="52"/>
      <c r="K79" s="52"/>
      <c r="L79" s="52"/>
      <c r="M79" s="52"/>
      <c r="N79" s="52" t="str">
        <f t="shared" ref="N79:O79" ca="1" si="3">A80</f>
        <v>年度/月份</v>
      </c>
      <c r="O79" s="52" t="str">
        <f t="shared" ca="1" si="3"/>
        <v>現金殖利率</v>
      </c>
      <c r="P79" s="59">
        <v>0.03</v>
      </c>
      <c r="Q79" s="59">
        <v>0.05</v>
      </c>
      <c r="R79" s="59">
        <v>7.0000000000000007E-2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3"/>
      <c r="AD79" s="52"/>
      <c r="AE79" s="52"/>
      <c r="AF79" s="52"/>
      <c r="AG79" s="52"/>
      <c r="AH79" s="52"/>
      <c r="AI79" s="52"/>
      <c r="AJ79" s="52"/>
      <c r="AK79" s="52"/>
      <c r="AL79" s="52"/>
    </row>
    <row r="80" spans="1:38" ht="13">
      <c r="A80" s="452" t="str">
        <f ca="1">IFERROR(__xludf.DUMMYFUNCTION("IMPORTHTML(SUBSTITUTE(""https://histock.tw/stock/股票代碼/%E7%8F%BE%E9%87%91%E6%AE%96%E5%88%A9%E7%8E%87"", ""股票代碼"",'股價預估'!E1),""table"",0)"),"年度/月份")</f>
        <v>年度/月份</v>
      </c>
      <c r="B80" s="428" t="str">
        <f ca="1">IFERROR(__xludf.DUMMYFUNCTION("""COMPUTED_VALUE"""),"現金殖利率")</f>
        <v>現金殖利率</v>
      </c>
      <c r="C80" s="428" t="str">
        <f ca="1">IFERROR(__xludf.DUMMYFUNCTION("""COMPUTED_VALUE"""),"年度/月份")</f>
        <v>年度/月份</v>
      </c>
      <c r="D80" s="428" t="str">
        <f ca="1">IFERROR(__xludf.DUMMYFUNCTION("""COMPUTED_VALUE"""),"現金殖利率")</f>
        <v>現金殖利率</v>
      </c>
      <c r="E80" s="428" t="str">
        <f ca="1">IFERROR(__xludf.DUMMYFUNCTION("""COMPUTED_VALUE"""),"年度/月份")</f>
        <v>年度/月份</v>
      </c>
      <c r="F80" s="428" t="str">
        <f ca="1">IFERROR(__xludf.DUMMYFUNCTION("""COMPUTED_VALUE"""),"現金殖利率")</f>
        <v>現金殖利率</v>
      </c>
      <c r="G80" s="428" t="str">
        <f ca="1">IFERROR(__xludf.DUMMYFUNCTION("""COMPUTED_VALUE"""),"年度/月份")</f>
        <v>年度/月份</v>
      </c>
      <c r="H80" s="429" t="str">
        <f ca="1">IFERROR(__xludf.DUMMYFUNCTION("""COMPUTED_VALUE"""),"現金殖利率")</f>
        <v>現金殖利率</v>
      </c>
      <c r="I80" s="52"/>
      <c r="J80" s="52"/>
      <c r="K80" s="52"/>
      <c r="L80" s="52"/>
      <c r="M80" s="52"/>
      <c r="N80" s="33">
        <f ca="1">DATE(YEAR(TODAY()),MONTH(TODAY())+2,DAY(TODAY()))</f>
        <v>46312</v>
      </c>
      <c r="O80" s="58">
        <f ca="1">股價預估!H30</f>
        <v>1.424522294717683E-2</v>
      </c>
      <c r="P80" s="59">
        <v>0.03</v>
      </c>
      <c r="Q80" s="59">
        <v>0.05</v>
      </c>
      <c r="R80" s="59">
        <v>7.0000000000000007E-2</v>
      </c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3"/>
      <c r="AD80" s="52"/>
      <c r="AE80" s="52"/>
      <c r="AF80" s="52"/>
      <c r="AG80" s="52"/>
      <c r="AH80" s="52"/>
      <c r="AI80" s="52"/>
      <c r="AJ80" s="52"/>
      <c r="AK80" s="52"/>
      <c r="AL80" s="52"/>
    </row>
    <row r="81" spans="1:38" ht="12.5">
      <c r="A81" s="501">
        <f ca="1">IFERROR(__xludf.DUMMYFUNCTION("""COMPUTED_VALUE"""),46235)</f>
        <v>46235</v>
      </c>
      <c r="B81" s="497">
        <f ca="1">IFERROR(__xludf.DUMMYFUNCTION("""COMPUTED_VALUE"""),0.0092)</f>
        <v>9.1999999999999998E-3</v>
      </c>
      <c r="C81" s="502">
        <f ca="1">IFERROR(__xludf.DUMMYFUNCTION("""COMPUTED_VALUE"""),45748)</f>
        <v>45748</v>
      </c>
      <c r="D81" s="497">
        <f ca="1">IFERROR(__xludf.DUMMYFUNCTION("""COMPUTED_VALUE"""),0.0187)</f>
        <v>1.8700000000000001E-2</v>
      </c>
      <c r="E81" s="502">
        <f ca="1">IFERROR(__xludf.DUMMYFUNCTION("""COMPUTED_VALUE"""),45261)</f>
        <v>45261</v>
      </c>
      <c r="F81" s="497">
        <f ca="1">IFERROR(__xludf.DUMMYFUNCTION("""COMPUTED_VALUE"""),0.0185)</f>
        <v>1.8499999999999999E-2</v>
      </c>
      <c r="G81" s="502">
        <f ca="1">IFERROR(__xludf.DUMMYFUNCTION("""COMPUTED_VALUE"""),44743)</f>
        <v>44743</v>
      </c>
      <c r="H81" s="694">
        <f ca="1">IFERROR(__xludf.DUMMYFUNCTION("""COMPUTED_VALUE"""),0.0216)</f>
        <v>2.1600000000000001E-2</v>
      </c>
      <c r="I81" s="52"/>
      <c r="J81" s="52"/>
      <c r="K81" s="52"/>
      <c r="L81" s="52"/>
      <c r="M81" s="52"/>
      <c r="N81" s="60">
        <f t="shared" ref="N81:O81" ca="1" si="4">A81</f>
        <v>46235</v>
      </c>
      <c r="O81" s="55">
        <f t="shared" ca="1" si="4"/>
        <v>9.1999999999999998E-3</v>
      </c>
      <c r="P81" s="59">
        <v>0.03</v>
      </c>
      <c r="Q81" s="59">
        <v>0.05</v>
      </c>
      <c r="R81" s="59">
        <v>7.0000000000000007E-2</v>
      </c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3"/>
      <c r="AD81" s="52"/>
      <c r="AE81" s="52"/>
      <c r="AF81" s="52"/>
      <c r="AG81" s="52"/>
      <c r="AH81" s="52"/>
      <c r="AI81" s="52"/>
      <c r="AJ81" s="52"/>
      <c r="AK81" s="52"/>
      <c r="AL81" s="52"/>
    </row>
    <row r="82" spans="1:38" ht="12.5">
      <c r="A82" s="501">
        <f ca="1">IFERROR(__xludf.DUMMYFUNCTION("""COMPUTED_VALUE"""),46204)</f>
        <v>46204</v>
      </c>
      <c r="B82" s="497">
        <f ca="1">IFERROR(__xludf.DUMMYFUNCTION("""COMPUTED_VALUE"""),0.0091)</f>
        <v>9.1000000000000004E-3</v>
      </c>
      <c r="C82" s="502">
        <f ca="1">IFERROR(__xludf.DUMMYFUNCTION("""COMPUTED_VALUE"""),45717)</f>
        <v>45717</v>
      </c>
      <c r="D82" s="497">
        <f ca="1">IFERROR(__xludf.DUMMYFUNCTION("""COMPUTED_VALUE"""),0.0187)</f>
        <v>1.8700000000000001E-2</v>
      </c>
      <c r="E82" s="502">
        <f ca="1">IFERROR(__xludf.DUMMYFUNCTION("""COMPUTED_VALUE"""),45231)</f>
        <v>45231</v>
      </c>
      <c r="F82" s="497">
        <f ca="1">IFERROR(__xludf.DUMMYFUNCTION("""COMPUTED_VALUE"""),0.0192)</f>
        <v>1.9199999999999998E-2</v>
      </c>
      <c r="G82" s="502">
        <f ca="1">IFERROR(__xludf.DUMMYFUNCTION("""COMPUTED_VALUE"""),44713)</f>
        <v>44713</v>
      </c>
      <c r="H82" s="694">
        <f ca="1">IFERROR(__xludf.DUMMYFUNCTION("""COMPUTED_VALUE"""),0.0231)</f>
        <v>2.3099999999999999E-2</v>
      </c>
      <c r="I82" s="52"/>
      <c r="J82" s="52"/>
      <c r="K82" s="52"/>
      <c r="L82" s="52"/>
      <c r="M82" s="52"/>
      <c r="N82" s="60">
        <f t="shared" ref="N82:O82" ca="1" si="5">A82</f>
        <v>46204</v>
      </c>
      <c r="O82" s="55">
        <f t="shared" ca="1" si="5"/>
        <v>9.1000000000000004E-3</v>
      </c>
      <c r="P82" s="59">
        <v>0.03</v>
      </c>
      <c r="Q82" s="59">
        <v>0.05</v>
      </c>
      <c r="R82" s="59">
        <v>7.0000000000000007E-2</v>
      </c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3"/>
      <c r="AD82" s="52"/>
      <c r="AE82" s="52"/>
      <c r="AF82" s="52"/>
      <c r="AG82" s="52"/>
      <c r="AH82" s="52"/>
      <c r="AI82" s="52"/>
      <c r="AJ82" s="52"/>
      <c r="AK82" s="52"/>
      <c r="AL82" s="52"/>
    </row>
    <row r="83" spans="1:38" ht="12.5">
      <c r="A83" s="501">
        <f ca="1">IFERROR(__xludf.DUMMYFUNCTION("""COMPUTED_VALUE"""),46174)</f>
        <v>46174</v>
      </c>
      <c r="B83" s="497">
        <f ca="1">IFERROR(__xludf.DUMMYFUNCTION("""COMPUTED_VALUE"""),0.0091)</f>
        <v>9.1000000000000004E-3</v>
      </c>
      <c r="C83" s="502">
        <f ca="1">IFERROR(__xludf.DUMMYFUNCTION("""COMPUTED_VALUE"""),45689)</f>
        <v>45689</v>
      </c>
      <c r="D83" s="497">
        <f ca="1">IFERROR(__xludf.DUMMYFUNCTION("""COMPUTED_VALUE"""),0.0163)</f>
        <v>1.6299999999999999E-2</v>
      </c>
      <c r="E83" s="502">
        <f ca="1">IFERROR(__xludf.DUMMYFUNCTION("""COMPUTED_VALUE"""),45200)</f>
        <v>45200</v>
      </c>
      <c r="F83" s="497">
        <f ca="1">IFERROR(__xludf.DUMMYFUNCTION("""COMPUTED_VALUE"""),0.0208)</f>
        <v>2.0799999999999999E-2</v>
      </c>
      <c r="G83" s="502">
        <f ca="1">IFERROR(__xludf.DUMMYFUNCTION("""COMPUTED_VALUE"""),44682)</f>
        <v>44682</v>
      </c>
      <c r="H83" s="694">
        <f ca="1">IFERROR(__xludf.DUMMYFUNCTION("""COMPUTED_VALUE"""),0.0196)</f>
        <v>1.9599999999999999E-2</v>
      </c>
      <c r="I83" s="52"/>
      <c r="J83" s="52"/>
      <c r="K83" s="52"/>
      <c r="L83" s="52"/>
      <c r="M83" s="52"/>
      <c r="N83" s="60">
        <f t="shared" ref="N83:O83" ca="1" si="6">A83</f>
        <v>46174</v>
      </c>
      <c r="O83" s="55">
        <f t="shared" ca="1" si="6"/>
        <v>9.1000000000000004E-3</v>
      </c>
      <c r="P83" s="59">
        <v>0.03</v>
      </c>
      <c r="Q83" s="59">
        <v>0.05</v>
      </c>
      <c r="R83" s="59">
        <v>7.0000000000000007E-2</v>
      </c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3"/>
      <c r="AD83" s="52"/>
      <c r="AE83" s="52"/>
      <c r="AF83" s="52"/>
      <c r="AG83" s="52"/>
      <c r="AH83" s="52"/>
      <c r="AI83" s="52"/>
      <c r="AJ83" s="52"/>
      <c r="AK83" s="52"/>
      <c r="AL83" s="52"/>
    </row>
    <row r="84" spans="1:38" ht="12.5">
      <c r="A84" s="501">
        <f ca="1">IFERROR(__xludf.DUMMYFUNCTION("""COMPUTED_VALUE"""),46143)</f>
        <v>46143</v>
      </c>
      <c r="B84" s="497">
        <f ca="1">IFERROR(__xludf.DUMMYFUNCTION("""COMPUTED_VALUE"""),0.0093)</f>
        <v>9.2999999999999992E-3</v>
      </c>
      <c r="C84" s="502">
        <f ca="1">IFERROR(__xludf.DUMMYFUNCTION("""COMPUTED_VALUE"""),45658)</f>
        <v>45658</v>
      </c>
      <c r="D84" s="497">
        <f ca="1">IFERROR(__xludf.DUMMYFUNCTION("""COMPUTED_VALUE"""),0.0115)</f>
        <v>1.15E-2</v>
      </c>
      <c r="E84" s="502">
        <f ca="1">IFERROR(__xludf.DUMMYFUNCTION("""COMPUTED_VALUE"""),45170)</f>
        <v>45170</v>
      </c>
      <c r="F84" s="497">
        <f ca="1">IFERROR(__xludf.DUMMYFUNCTION("""COMPUTED_VALUE"""),0.0199)</f>
        <v>1.9900000000000001E-2</v>
      </c>
      <c r="G84" s="502">
        <f ca="1">IFERROR(__xludf.DUMMYFUNCTION("""COMPUTED_VALUE"""),44652)</f>
        <v>44652</v>
      </c>
      <c r="H84" s="694">
        <f ca="1">IFERROR(__xludf.DUMMYFUNCTION("""COMPUTED_VALUE"""),0.0204)</f>
        <v>2.0400000000000001E-2</v>
      </c>
      <c r="I84" s="52"/>
      <c r="J84" s="52"/>
      <c r="K84" s="52"/>
      <c r="L84" s="52"/>
      <c r="M84" s="52"/>
      <c r="N84" s="60">
        <f t="shared" ref="N84:O84" ca="1" si="7">A84</f>
        <v>46143</v>
      </c>
      <c r="O84" s="55">
        <f t="shared" ca="1" si="7"/>
        <v>9.2999999999999992E-3</v>
      </c>
      <c r="P84" s="59">
        <v>0.03</v>
      </c>
      <c r="Q84" s="59">
        <v>0.05</v>
      </c>
      <c r="R84" s="59">
        <v>7.0000000000000007E-2</v>
      </c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3"/>
      <c r="AD84" s="52"/>
      <c r="AE84" s="52"/>
      <c r="AF84" s="52"/>
      <c r="AG84" s="52"/>
      <c r="AH84" s="52"/>
      <c r="AI84" s="52"/>
      <c r="AJ84" s="52"/>
      <c r="AK84" s="52"/>
      <c r="AL84" s="52"/>
    </row>
    <row r="85" spans="1:38" ht="12.5">
      <c r="A85" s="501">
        <f ca="1">IFERROR(__xludf.DUMMYFUNCTION("""COMPUTED_VALUE"""),46113)</f>
        <v>46113</v>
      </c>
      <c r="B85" s="497">
        <f ca="1">IFERROR(__xludf.DUMMYFUNCTION("""COMPUTED_VALUE"""),0.0103)</f>
        <v>1.03E-2</v>
      </c>
      <c r="C85" s="502">
        <f ca="1">IFERROR(__xludf.DUMMYFUNCTION("""COMPUTED_VALUE"""),45627)</f>
        <v>45627</v>
      </c>
      <c r="D85" s="497">
        <f ca="1">IFERROR(__xludf.DUMMYFUNCTION("""COMPUTED_VALUE"""),0.0121)</f>
        <v>1.21E-2</v>
      </c>
      <c r="E85" s="502">
        <f ca="1">IFERROR(__xludf.DUMMYFUNCTION("""COMPUTED_VALUE"""),45108)</f>
        <v>45108</v>
      </c>
      <c r="F85" s="497">
        <f ca="1">IFERROR(__xludf.DUMMYFUNCTION("""COMPUTED_VALUE"""),0.0189)</f>
        <v>1.89E-2</v>
      </c>
      <c r="G85" s="502">
        <f ca="1">IFERROR(__xludf.DUMMYFUNCTION("""COMPUTED_VALUE"""),44621)</f>
        <v>44621</v>
      </c>
      <c r="H85" s="694">
        <f ca="1">IFERROR(__xludf.DUMMYFUNCTION("""COMPUTED_VALUE"""),0.0184)</f>
        <v>1.84E-2</v>
      </c>
      <c r="I85" s="52"/>
      <c r="J85" s="52"/>
      <c r="K85" s="52"/>
      <c r="L85" s="52"/>
      <c r="M85" s="52"/>
      <c r="N85" s="60">
        <f t="shared" ref="N85:O85" ca="1" si="8">A85</f>
        <v>46113</v>
      </c>
      <c r="O85" s="55">
        <f t="shared" ca="1" si="8"/>
        <v>1.03E-2</v>
      </c>
      <c r="P85" s="59">
        <v>0.03</v>
      </c>
      <c r="Q85" s="59">
        <v>0.05</v>
      </c>
      <c r="R85" s="59">
        <v>7.0000000000000007E-2</v>
      </c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3"/>
      <c r="AD85" s="52"/>
      <c r="AE85" s="52"/>
      <c r="AF85" s="52"/>
      <c r="AG85" s="52"/>
      <c r="AH85" s="52"/>
      <c r="AI85" s="52"/>
      <c r="AJ85" s="52"/>
      <c r="AK85" s="52"/>
      <c r="AL85" s="52"/>
    </row>
    <row r="86" spans="1:38" ht="12.5">
      <c r="A86" s="501">
        <f ca="1">IFERROR(__xludf.DUMMYFUNCTION("""COMPUTED_VALUE"""),46082)</f>
        <v>46082</v>
      </c>
      <c r="B86" s="497">
        <f ca="1">IFERROR(__xludf.DUMMYFUNCTION("""COMPUTED_VALUE"""),0.0125)</f>
        <v>1.2500000000000001E-2</v>
      </c>
      <c r="C86" s="502">
        <f ca="1">IFERROR(__xludf.DUMMYFUNCTION("""COMPUTED_VALUE"""),45597)</f>
        <v>45597</v>
      </c>
      <c r="D86" s="497">
        <f ca="1">IFERROR(__xludf.DUMMYFUNCTION("""COMPUTED_VALUE"""),0.0131)</f>
        <v>1.3100000000000001E-2</v>
      </c>
      <c r="E86" s="502">
        <f ca="1">IFERROR(__xludf.DUMMYFUNCTION("""COMPUTED_VALUE"""),45078)</f>
        <v>45078</v>
      </c>
      <c r="F86" s="497">
        <f ca="1">IFERROR(__xludf.DUMMYFUNCTION("""COMPUTED_VALUE"""),0.0191)</f>
        <v>1.9099999999999999E-2</v>
      </c>
      <c r="G86" s="502">
        <f ca="1">IFERROR(__xludf.DUMMYFUNCTION("""COMPUTED_VALUE"""),44593)</f>
        <v>44593</v>
      </c>
      <c r="H86" s="694">
        <f ca="1">IFERROR(__xludf.DUMMYFUNCTION("""COMPUTED_VALUE"""),0.0166)</f>
        <v>1.66E-2</v>
      </c>
      <c r="I86" s="52"/>
      <c r="J86" s="52"/>
      <c r="K86" s="52"/>
      <c r="L86" s="52"/>
      <c r="M86" s="52"/>
      <c r="N86" s="60">
        <f t="shared" ref="N86:O86" ca="1" si="9">A86</f>
        <v>46082</v>
      </c>
      <c r="O86" s="55">
        <f t="shared" ca="1" si="9"/>
        <v>1.2500000000000001E-2</v>
      </c>
      <c r="P86" s="59">
        <v>0.03</v>
      </c>
      <c r="Q86" s="59">
        <v>0.05</v>
      </c>
      <c r="R86" s="59">
        <v>7.0000000000000007E-2</v>
      </c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3"/>
      <c r="AD86" s="52"/>
      <c r="AE86" s="52"/>
      <c r="AF86" s="52"/>
      <c r="AG86" s="52"/>
      <c r="AH86" s="52"/>
      <c r="AI86" s="52"/>
      <c r="AJ86" s="52"/>
      <c r="AK86" s="52"/>
      <c r="AL86" s="52"/>
    </row>
    <row r="87" spans="1:38" ht="12.5">
      <c r="A87" s="501">
        <f ca="1">IFERROR(__xludf.DUMMYFUNCTION("""COMPUTED_VALUE"""),46054)</f>
        <v>46054</v>
      </c>
      <c r="B87" s="497">
        <f ca="1">IFERROR(__xludf.DUMMYFUNCTION("""COMPUTED_VALUE"""),0.011)</f>
        <v>1.0999999999999999E-2</v>
      </c>
      <c r="C87" s="502">
        <f ca="1">IFERROR(__xludf.DUMMYFUNCTION("""COMPUTED_VALUE"""),45566)</f>
        <v>45566</v>
      </c>
      <c r="D87" s="497">
        <f ca="1">IFERROR(__xludf.DUMMYFUNCTION("""COMPUTED_VALUE"""),0.0126)</f>
        <v>1.26E-2</v>
      </c>
      <c r="E87" s="502">
        <f ca="1">IFERROR(__xludf.DUMMYFUNCTION("""COMPUTED_VALUE"""),45047)</f>
        <v>45047</v>
      </c>
      <c r="F87" s="497">
        <f ca="1">IFERROR(__xludf.DUMMYFUNCTION("""COMPUTED_VALUE"""),0.0197)</f>
        <v>1.9699999999999999E-2</v>
      </c>
      <c r="G87" s="502">
        <f ca="1">IFERROR(__xludf.DUMMYFUNCTION("""COMPUTED_VALUE"""),44562)</f>
        <v>44562</v>
      </c>
      <c r="H87" s="694">
        <f ca="1">IFERROR(__xludf.DUMMYFUNCTION("""COMPUTED_VALUE"""),0.0157)</f>
        <v>1.5699999999999999E-2</v>
      </c>
      <c r="I87" s="52"/>
      <c r="J87" s="52"/>
      <c r="K87" s="52"/>
      <c r="L87" s="52"/>
      <c r="M87" s="52"/>
      <c r="N87" s="60">
        <f t="shared" ref="N87:O87" ca="1" si="10">A87</f>
        <v>46054</v>
      </c>
      <c r="O87" s="55">
        <f t="shared" ca="1" si="10"/>
        <v>1.0999999999999999E-2</v>
      </c>
      <c r="P87" s="59">
        <v>0.03</v>
      </c>
      <c r="Q87" s="59">
        <v>0.05</v>
      </c>
      <c r="R87" s="59">
        <v>7.0000000000000007E-2</v>
      </c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3"/>
      <c r="AD87" s="52"/>
      <c r="AE87" s="52"/>
      <c r="AF87" s="52"/>
      <c r="AG87" s="52"/>
      <c r="AH87" s="52"/>
      <c r="AI87" s="52"/>
      <c r="AJ87" s="52"/>
      <c r="AK87" s="52"/>
      <c r="AL87" s="52"/>
    </row>
    <row r="88" spans="1:38" ht="12.5">
      <c r="A88" s="501">
        <f ca="1">IFERROR(__xludf.DUMMYFUNCTION("""COMPUTED_VALUE"""),46023)</f>
        <v>46023</v>
      </c>
      <c r="B88" s="497">
        <f ca="1">IFERROR(__xludf.DUMMYFUNCTION("""COMPUTED_VALUE"""),0.0096)</f>
        <v>9.5999999999999992E-3</v>
      </c>
      <c r="C88" s="502">
        <f ca="1">IFERROR(__xludf.DUMMYFUNCTION("""COMPUTED_VALUE"""),45536)</f>
        <v>45536</v>
      </c>
      <c r="D88" s="497">
        <f ca="1">IFERROR(__xludf.DUMMYFUNCTION("""COMPUTED_VALUE"""),0.0136)</f>
        <v>1.3599999999999999E-2</v>
      </c>
      <c r="E88" s="502">
        <f ca="1">IFERROR(__xludf.DUMMYFUNCTION("""COMPUTED_VALUE"""),45017)</f>
        <v>45017</v>
      </c>
      <c r="F88" s="497">
        <f ca="1">IFERROR(__xludf.DUMMYFUNCTION("""COMPUTED_VALUE"""),0.0219)</f>
        <v>2.1899999999999999E-2</v>
      </c>
      <c r="G88" s="502">
        <f ca="1">IFERROR(__xludf.DUMMYFUNCTION("""COMPUTED_VALUE"""),44531)</f>
        <v>44531</v>
      </c>
      <c r="H88" s="694">
        <f ca="1">IFERROR(__xludf.DUMMYFUNCTION("""COMPUTED_VALUE"""),0.0163)</f>
        <v>1.6299999999999999E-2</v>
      </c>
      <c r="I88" s="52"/>
      <c r="J88" s="52"/>
      <c r="K88" s="52"/>
      <c r="L88" s="52"/>
      <c r="M88" s="52"/>
      <c r="N88" s="60">
        <f t="shared" ref="N88:O88" ca="1" si="11">A88</f>
        <v>46023</v>
      </c>
      <c r="O88" s="55">
        <f t="shared" ca="1" si="11"/>
        <v>9.5999999999999992E-3</v>
      </c>
      <c r="P88" s="59">
        <v>0.03</v>
      </c>
      <c r="Q88" s="59">
        <v>0.05</v>
      </c>
      <c r="R88" s="59">
        <v>7.0000000000000007E-2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3"/>
      <c r="AD88" s="52"/>
      <c r="AE88" s="52"/>
      <c r="AF88" s="52"/>
      <c r="AG88" s="52"/>
      <c r="AH88" s="52"/>
      <c r="AI88" s="52"/>
      <c r="AJ88" s="52"/>
      <c r="AK88" s="52"/>
      <c r="AL88" s="52"/>
    </row>
    <row r="89" spans="1:38" ht="12.5">
      <c r="A89" s="501">
        <f ca="1">IFERROR(__xludf.DUMMYFUNCTION("""COMPUTED_VALUE"""),45992)</f>
        <v>45992</v>
      </c>
      <c r="B89" s="497">
        <f ca="1">IFERROR(__xludf.DUMMYFUNCTION("""COMPUTED_VALUE"""),0.011)</f>
        <v>1.0999999999999999E-2</v>
      </c>
      <c r="C89" s="502">
        <f ca="1">IFERROR(__xludf.DUMMYFUNCTION("""COMPUTED_VALUE"""),45505)</f>
        <v>45505</v>
      </c>
      <c r="D89" s="497">
        <f ca="1">IFERROR(__xludf.DUMMYFUNCTION("""COMPUTED_VALUE"""),0.0138)</f>
        <v>1.38E-2</v>
      </c>
      <c r="E89" s="502">
        <f ca="1">IFERROR(__xludf.DUMMYFUNCTION("""COMPUTED_VALUE"""),44986)</f>
        <v>44986</v>
      </c>
      <c r="F89" s="497">
        <f ca="1">IFERROR(__xludf.DUMMYFUNCTION("""COMPUTED_VALUE"""),0.0206)</f>
        <v>2.06E-2</v>
      </c>
      <c r="G89" s="502">
        <f ca="1">IFERROR(__xludf.DUMMYFUNCTION("""COMPUTED_VALUE"""),44501)</f>
        <v>44501</v>
      </c>
      <c r="H89" s="694">
        <f ca="1">IFERROR(__xludf.DUMMYFUNCTION("""COMPUTED_VALUE"""),0.0168)</f>
        <v>1.6799999999999999E-2</v>
      </c>
      <c r="I89" s="52"/>
      <c r="J89" s="52"/>
      <c r="K89" s="52"/>
      <c r="L89" s="52"/>
      <c r="M89" s="52"/>
      <c r="N89" s="61">
        <f t="shared" ref="N89:O89" ca="1" si="12">A89</f>
        <v>45992</v>
      </c>
      <c r="O89" s="55">
        <f t="shared" ca="1" si="12"/>
        <v>1.0999999999999999E-2</v>
      </c>
      <c r="P89" s="59">
        <v>0.03</v>
      </c>
      <c r="Q89" s="59">
        <v>0.05</v>
      </c>
      <c r="R89" s="59">
        <v>7.0000000000000007E-2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3"/>
      <c r="AD89" s="52"/>
      <c r="AE89" s="52"/>
      <c r="AF89" s="52"/>
      <c r="AG89" s="52"/>
      <c r="AH89" s="52"/>
      <c r="AI89" s="52"/>
      <c r="AJ89" s="52"/>
      <c r="AK89" s="52"/>
      <c r="AL89" s="52"/>
    </row>
    <row r="90" spans="1:38" ht="12.5">
      <c r="A90" s="501">
        <f ca="1">IFERROR(__xludf.DUMMYFUNCTION("""COMPUTED_VALUE"""),45962)</f>
        <v>45962</v>
      </c>
      <c r="B90" s="497">
        <f ca="1">IFERROR(__xludf.DUMMYFUNCTION("""COMPUTED_VALUE"""),0.0118)</f>
        <v>1.18E-2</v>
      </c>
      <c r="C90" s="502">
        <f ca="1">IFERROR(__xludf.DUMMYFUNCTION("""COMPUTED_VALUE"""),45474)</f>
        <v>45474</v>
      </c>
      <c r="D90" s="497">
        <f ca="1">IFERROR(__xludf.DUMMYFUNCTION("""COMPUTED_VALUE"""),0.0139)</f>
        <v>1.3899999999999999E-2</v>
      </c>
      <c r="E90" s="502">
        <f ca="1">IFERROR(__xludf.DUMMYFUNCTION("""COMPUTED_VALUE"""),44958)</f>
        <v>44958</v>
      </c>
      <c r="F90" s="497">
        <f ca="1">IFERROR(__xludf.DUMMYFUNCTION("""COMPUTED_VALUE"""),0.0215)</f>
        <v>2.1499999999999998E-2</v>
      </c>
      <c r="G90" s="502">
        <f ca="1">IFERROR(__xludf.DUMMYFUNCTION("""COMPUTED_VALUE"""),44470)</f>
        <v>44470</v>
      </c>
      <c r="H90" s="694">
        <f ca="1">IFERROR(__xludf.DUMMYFUNCTION("""COMPUTED_VALUE"""),0.0169)</f>
        <v>1.6899999999999998E-2</v>
      </c>
      <c r="I90" s="52"/>
      <c r="J90" s="52"/>
      <c r="K90" s="52"/>
      <c r="L90" s="52"/>
      <c r="M90" s="52"/>
      <c r="N90" s="61">
        <f t="shared" ref="N90:O90" ca="1" si="13">A90</f>
        <v>45962</v>
      </c>
      <c r="O90" s="55">
        <f t="shared" ca="1" si="13"/>
        <v>1.18E-2</v>
      </c>
      <c r="P90" s="59">
        <v>0.03</v>
      </c>
      <c r="Q90" s="59">
        <v>0.05</v>
      </c>
      <c r="R90" s="59">
        <v>7.0000000000000007E-2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3"/>
      <c r="AD90" s="52"/>
      <c r="AE90" s="52"/>
      <c r="AF90" s="52"/>
      <c r="AG90" s="52"/>
      <c r="AH90" s="52"/>
      <c r="AI90" s="52"/>
      <c r="AJ90" s="52"/>
      <c r="AK90" s="52"/>
      <c r="AL90" s="52"/>
    </row>
    <row r="91" spans="1:38" ht="12.5">
      <c r="A91" s="501">
        <f ca="1">IFERROR(__xludf.DUMMYFUNCTION("""COMPUTED_VALUE"""),45931)</f>
        <v>45931</v>
      </c>
      <c r="B91" s="497">
        <f ca="1">IFERROR(__xludf.DUMMYFUNCTION("""COMPUTED_VALUE"""),0.0113)</f>
        <v>1.1299999999999999E-2</v>
      </c>
      <c r="C91" s="502">
        <f ca="1">IFERROR(__xludf.DUMMYFUNCTION("""COMPUTED_VALUE"""),45444)</f>
        <v>45444</v>
      </c>
      <c r="D91" s="497">
        <f ca="1">IFERROR(__xludf.DUMMYFUNCTION("""COMPUTED_VALUE"""),0.0135)</f>
        <v>1.35E-2</v>
      </c>
      <c r="E91" s="502">
        <f ca="1">IFERROR(__xludf.DUMMYFUNCTION("""COMPUTED_VALUE"""),44927)</f>
        <v>44927</v>
      </c>
      <c r="F91" s="497">
        <f ca="1">IFERROR(__xludf.DUMMYFUNCTION("""COMPUTED_VALUE"""),0.0211)</f>
        <v>2.1100000000000001E-2</v>
      </c>
      <c r="G91" s="502">
        <f ca="1">IFERROR(__xludf.DUMMYFUNCTION("""COMPUTED_VALUE"""),44440)</f>
        <v>44440</v>
      </c>
      <c r="H91" s="694">
        <f ca="1">IFERROR(__xludf.DUMMYFUNCTION("""COMPUTED_VALUE"""),0.0172)</f>
        <v>1.72E-2</v>
      </c>
      <c r="I91" s="52"/>
      <c r="J91" s="52"/>
      <c r="K91" s="52"/>
      <c r="L91" s="52"/>
      <c r="M91" s="52"/>
      <c r="N91" s="61">
        <f t="shared" ref="N91:O91" ca="1" si="14">A91</f>
        <v>45931</v>
      </c>
      <c r="O91" s="55">
        <f t="shared" ca="1" si="14"/>
        <v>1.1299999999999999E-2</v>
      </c>
      <c r="P91" s="59">
        <v>0.03</v>
      </c>
      <c r="Q91" s="59">
        <v>0.05</v>
      </c>
      <c r="R91" s="59">
        <v>7.0000000000000007E-2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3"/>
      <c r="AD91" s="52"/>
      <c r="AE91" s="52"/>
      <c r="AF91" s="52"/>
      <c r="AG91" s="52"/>
      <c r="AH91" s="52"/>
      <c r="AI91" s="52"/>
      <c r="AJ91" s="52"/>
      <c r="AK91" s="52"/>
      <c r="AL91" s="52"/>
    </row>
    <row r="92" spans="1:38" ht="12.5">
      <c r="A92" s="501">
        <f ca="1">IFERROR(__xludf.DUMMYFUNCTION("""COMPUTED_VALUE"""),45901)</f>
        <v>45901</v>
      </c>
      <c r="B92" s="497">
        <f ca="1">IFERROR(__xludf.DUMMYFUNCTION("""COMPUTED_VALUE"""),0.013)</f>
        <v>1.2999999999999999E-2</v>
      </c>
      <c r="C92" s="502">
        <f ca="1">IFERROR(__xludf.DUMMYFUNCTION("""COMPUTED_VALUE"""),45413)</f>
        <v>45413</v>
      </c>
      <c r="D92" s="497">
        <f ca="1">IFERROR(__xludf.DUMMYFUNCTION("""COMPUTED_VALUE"""),0.0158)</f>
        <v>1.5800000000000002E-2</v>
      </c>
      <c r="E92" s="502">
        <f ca="1">IFERROR(__xludf.DUMMYFUNCTION("""COMPUTED_VALUE"""),44896)</f>
        <v>44896</v>
      </c>
      <c r="F92" s="497">
        <f ca="1">IFERROR(__xludf.DUMMYFUNCTION("""COMPUTED_VALUE"""),0.0245)</f>
        <v>2.4500000000000001E-2</v>
      </c>
      <c r="G92" s="502">
        <f ca="1">IFERROR(__xludf.DUMMYFUNCTION("""COMPUTED_VALUE"""),44409)</f>
        <v>44409</v>
      </c>
      <c r="H92" s="694">
        <f ca="1">IFERROR(__xludf.DUMMYFUNCTION("""COMPUTED_VALUE"""),0.0163)</f>
        <v>1.6299999999999999E-2</v>
      </c>
      <c r="I92" s="52"/>
      <c r="J92" s="52"/>
      <c r="K92" s="52"/>
      <c r="L92" s="52"/>
      <c r="M92" s="52"/>
      <c r="N92" s="60">
        <f t="shared" ref="N92:O92" ca="1" si="15">A92</f>
        <v>45901</v>
      </c>
      <c r="O92" s="55">
        <f t="shared" ca="1" si="15"/>
        <v>1.2999999999999999E-2</v>
      </c>
      <c r="P92" s="59">
        <v>0.03</v>
      </c>
      <c r="Q92" s="59">
        <v>0.05</v>
      </c>
      <c r="R92" s="59">
        <v>7.0000000000000007E-2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3"/>
      <c r="AD92" s="52"/>
      <c r="AE92" s="52"/>
      <c r="AF92" s="52"/>
      <c r="AG92" s="52"/>
      <c r="AH92" s="52"/>
      <c r="AI92" s="52"/>
      <c r="AJ92" s="52"/>
      <c r="AK92" s="52"/>
      <c r="AL92" s="52"/>
    </row>
    <row r="93" spans="1:38" ht="12.5">
      <c r="A93" s="501">
        <f ca="1">IFERROR(__xludf.DUMMYFUNCTION("""COMPUTED_VALUE"""),45870)</f>
        <v>45870</v>
      </c>
      <c r="B93" s="497">
        <f ca="1">IFERROR(__xludf.DUMMYFUNCTION("""COMPUTED_VALUE"""),0.0147)</f>
        <v>1.47E-2</v>
      </c>
      <c r="C93" s="502">
        <f ca="1">IFERROR(__xludf.DUMMYFUNCTION("""COMPUTED_VALUE"""),45383)</f>
        <v>45383</v>
      </c>
      <c r="D93" s="497">
        <f ca="1">IFERROR(__xludf.DUMMYFUNCTION("""COMPUTED_VALUE"""),0.0165)</f>
        <v>1.6500000000000001E-2</v>
      </c>
      <c r="E93" s="502">
        <f ca="1">IFERROR(__xludf.DUMMYFUNCTION("""COMPUTED_VALUE"""),44866)</f>
        <v>44866</v>
      </c>
      <c r="F93" s="497">
        <f ca="1">IFERROR(__xludf.DUMMYFUNCTION("""COMPUTED_VALUE"""),0.0224)</f>
        <v>2.24E-2</v>
      </c>
      <c r="G93" s="502">
        <f ca="1">IFERROR(__xludf.DUMMYFUNCTION("""COMPUTED_VALUE"""),44378)</f>
        <v>44378</v>
      </c>
      <c r="H93" s="694">
        <f ca="1">IFERROR(__xludf.DUMMYFUNCTION("""COMPUTED_VALUE"""),0.0172)</f>
        <v>1.72E-2</v>
      </c>
      <c r="I93" s="52"/>
      <c r="J93" s="52"/>
      <c r="K93" s="52"/>
      <c r="L93" s="52"/>
      <c r="M93" s="52"/>
      <c r="N93" s="60">
        <f t="shared" ref="N93:O93" ca="1" si="16">A93</f>
        <v>45870</v>
      </c>
      <c r="O93" s="55">
        <f t="shared" ca="1" si="16"/>
        <v>1.47E-2</v>
      </c>
      <c r="P93" s="59">
        <v>0.03</v>
      </c>
      <c r="Q93" s="59">
        <v>0.05</v>
      </c>
      <c r="R93" s="59">
        <v>7.0000000000000007E-2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3"/>
      <c r="AD93" s="52"/>
      <c r="AE93" s="52"/>
      <c r="AF93" s="52"/>
      <c r="AG93" s="52"/>
      <c r="AH93" s="52"/>
      <c r="AI93" s="52"/>
      <c r="AJ93" s="52"/>
      <c r="AK93" s="52"/>
      <c r="AL93" s="52"/>
    </row>
    <row r="94" spans="1:38" ht="12.5">
      <c r="A94" s="501">
        <f ca="1">IFERROR(__xludf.DUMMYFUNCTION("""COMPUTED_VALUE"""),45839)</f>
        <v>45839</v>
      </c>
      <c r="B94" s="497">
        <f ca="1">IFERROR(__xludf.DUMMYFUNCTION("""COMPUTED_VALUE"""),0.0147)</f>
        <v>1.47E-2</v>
      </c>
      <c r="C94" s="502">
        <f ca="1">IFERROR(__xludf.DUMMYFUNCTION("""COMPUTED_VALUE"""),45352)</f>
        <v>45352</v>
      </c>
      <c r="D94" s="497">
        <f ca="1">IFERROR(__xludf.DUMMYFUNCTION("""COMPUTED_VALUE"""),0.0167)</f>
        <v>1.67E-2</v>
      </c>
      <c r="E94" s="502">
        <f ca="1">IFERROR(__xludf.DUMMYFUNCTION("""COMPUTED_VALUE"""),44835)</f>
        <v>44835</v>
      </c>
      <c r="F94" s="497">
        <f ca="1">IFERROR(__xludf.DUMMYFUNCTION("""COMPUTED_VALUE"""),0.0282)</f>
        <v>2.8199999999999999E-2</v>
      </c>
      <c r="G94" s="502">
        <f ca="1">IFERROR(__xludf.DUMMYFUNCTION("""COMPUTED_VALUE"""),44348)</f>
        <v>44348</v>
      </c>
      <c r="H94" s="694">
        <f ca="1">IFERROR(__xludf.DUMMYFUNCTION("""COMPUTED_VALUE"""),0.0168)</f>
        <v>1.6799999999999999E-2</v>
      </c>
      <c r="I94" s="52"/>
      <c r="J94" s="52"/>
      <c r="K94" s="52"/>
      <c r="L94" s="52"/>
      <c r="M94" s="52"/>
      <c r="N94" s="60">
        <f t="shared" ref="N94:O94" ca="1" si="17">A94</f>
        <v>45839</v>
      </c>
      <c r="O94" s="55">
        <f t="shared" ca="1" si="17"/>
        <v>1.47E-2</v>
      </c>
      <c r="P94" s="59">
        <v>0.03</v>
      </c>
      <c r="Q94" s="59">
        <v>0.05</v>
      </c>
      <c r="R94" s="59">
        <v>7.0000000000000007E-2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3"/>
      <c r="AD94" s="52"/>
      <c r="AE94" s="52"/>
      <c r="AF94" s="52"/>
      <c r="AG94" s="52"/>
      <c r="AH94" s="52"/>
      <c r="AI94" s="52"/>
      <c r="AJ94" s="52"/>
      <c r="AK94" s="52"/>
      <c r="AL94" s="52"/>
    </row>
    <row r="95" spans="1:38" ht="12.5">
      <c r="A95" s="501">
        <f ca="1">IFERROR(__xludf.DUMMYFUNCTION("""COMPUTED_VALUE"""),45809)</f>
        <v>45809</v>
      </c>
      <c r="B95" s="497">
        <f ca="1">IFERROR(__xludf.DUMMYFUNCTION("""COMPUTED_VALUE"""),0.016)</f>
        <v>1.6E-2</v>
      </c>
      <c r="C95" s="502">
        <f ca="1">IFERROR(__xludf.DUMMYFUNCTION("""COMPUTED_VALUE"""),45323)</f>
        <v>45323</v>
      </c>
      <c r="D95" s="497">
        <f ca="1">IFERROR(__xludf.DUMMYFUNCTION("""COMPUTED_VALUE"""),0.0188)</f>
        <v>1.8800000000000001E-2</v>
      </c>
      <c r="E95" s="502">
        <f ca="1">IFERROR(__xludf.DUMMYFUNCTION("""COMPUTED_VALUE"""),44805)</f>
        <v>44805</v>
      </c>
      <c r="F95" s="497">
        <f ca="1">IFERROR(__xludf.DUMMYFUNCTION("""COMPUTED_VALUE"""),0.0261)</f>
        <v>2.6100000000000002E-2</v>
      </c>
      <c r="G95" s="502">
        <f ca="1">IFERROR(__xludf.DUMMYFUNCTION("""COMPUTED_VALUE"""),44317)</f>
        <v>44317</v>
      </c>
      <c r="H95" s="694">
        <f ca="1">IFERROR(__xludf.DUMMYFUNCTION("""COMPUTED_VALUE"""),0.0168)</f>
        <v>1.6799999999999999E-2</v>
      </c>
      <c r="I95" s="52"/>
      <c r="J95" s="52"/>
      <c r="K95" s="52"/>
      <c r="L95" s="52"/>
      <c r="M95" s="52"/>
      <c r="N95" s="60">
        <f t="shared" ref="N95:O95" ca="1" si="18">A95</f>
        <v>45809</v>
      </c>
      <c r="O95" s="55">
        <f t="shared" ca="1" si="18"/>
        <v>1.6E-2</v>
      </c>
      <c r="P95" s="59">
        <v>0.03</v>
      </c>
      <c r="Q95" s="59">
        <v>0.05</v>
      </c>
      <c r="R95" s="59">
        <v>7.0000000000000007E-2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3"/>
      <c r="AD95" s="52"/>
      <c r="AE95" s="52"/>
      <c r="AF95" s="52"/>
      <c r="AG95" s="52"/>
      <c r="AH95" s="52"/>
      <c r="AI95" s="52"/>
      <c r="AJ95" s="52"/>
      <c r="AK95" s="52"/>
      <c r="AL95" s="52"/>
    </row>
    <row r="96" spans="1:38" ht="13" thickBot="1">
      <c r="A96" s="503">
        <f ca="1">IFERROR(__xludf.DUMMYFUNCTION("""COMPUTED_VALUE"""),45778)</f>
        <v>45778</v>
      </c>
      <c r="B96" s="504">
        <f ca="1">IFERROR(__xludf.DUMMYFUNCTION("""COMPUTED_VALUE"""),0.0176)</f>
        <v>1.7600000000000001E-2</v>
      </c>
      <c r="C96" s="505">
        <f ca="1">IFERROR(__xludf.DUMMYFUNCTION("""COMPUTED_VALUE"""),45292)</f>
        <v>45292</v>
      </c>
      <c r="D96" s="504">
        <f ca="1">IFERROR(__xludf.DUMMYFUNCTION("""COMPUTED_VALUE"""),0.0175)</f>
        <v>1.7500000000000002E-2</v>
      </c>
      <c r="E96" s="505">
        <f ca="1">IFERROR(__xludf.DUMMYFUNCTION("""COMPUTED_VALUE"""),44774)</f>
        <v>44774</v>
      </c>
      <c r="F96" s="504">
        <f ca="1">IFERROR(__xludf.DUMMYFUNCTION("""COMPUTED_VALUE"""),0.0218)</f>
        <v>2.18E-2</v>
      </c>
      <c r="G96" s="505">
        <f ca="1">IFERROR(__xludf.DUMMYFUNCTION("""COMPUTED_VALUE"""),44287)</f>
        <v>44287</v>
      </c>
      <c r="H96" s="695">
        <f ca="1">IFERROR(__xludf.DUMMYFUNCTION("""COMPUTED_VALUE"""),0.0167)</f>
        <v>1.67E-2</v>
      </c>
      <c r="I96" s="52"/>
      <c r="J96" s="52"/>
      <c r="K96" s="52"/>
      <c r="L96" s="52"/>
      <c r="M96" s="52"/>
      <c r="N96" s="60">
        <f t="shared" ref="N96:O96" ca="1" si="19">C81</f>
        <v>45748</v>
      </c>
      <c r="O96" s="55">
        <f t="shared" ca="1" si="19"/>
        <v>1.8700000000000001E-2</v>
      </c>
      <c r="P96" s="59">
        <v>0.03</v>
      </c>
      <c r="Q96" s="59">
        <v>0.05</v>
      </c>
      <c r="R96" s="59">
        <v>7.0000000000000007E-2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3"/>
      <c r="AD96" s="52"/>
      <c r="AE96" s="52"/>
      <c r="AF96" s="52"/>
      <c r="AG96" s="52"/>
      <c r="AH96" s="52"/>
      <c r="AI96" s="52"/>
      <c r="AJ96" s="52"/>
      <c r="AK96" s="52"/>
      <c r="AL96" s="52"/>
    </row>
    <row r="97" spans="1:38" ht="12.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60">
        <f t="shared" ref="N97:O97" ca="1" si="20">C82</f>
        <v>45717</v>
      </c>
      <c r="O97" s="55">
        <f t="shared" ca="1" si="20"/>
        <v>1.8700000000000001E-2</v>
      </c>
      <c r="P97" s="59">
        <v>0.03</v>
      </c>
      <c r="Q97" s="59">
        <v>0.05</v>
      </c>
      <c r="R97" s="59">
        <v>7.0000000000000007E-2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3"/>
      <c r="AD97" s="52"/>
      <c r="AE97" s="52"/>
      <c r="AF97" s="52"/>
      <c r="AG97" s="52"/>
      <c r="AH97" s="52"/>
      <c r="AI97" s="52"/>
      <c r="AJ97" s="52"/>
      <c r="AK97" s="52"/>
      <c r="AL97" s="52"/>
    </row>
    <row r="98" spans="1:38" ht="12.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60">
        <f t="shared" ref="N98:O98" ca="1" si="21">C83</f>
        <v>45689</v>
      </c>
      <c r="O98" s="55">
        <f t="shared" ca="1" si="21"/>
        <v>1.6299999999999999E-2</v>
      </c>
      <c r="P98" s="59">
        <v>0.03</v>
      </c>
      <c r="Q98" s="59">
        <v>0.05</v>
      </c>
      <c r="R98" s="59">
        <v>7.0000000000000007E-2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3"/>
      <c r="AD98" s="52"/>
      <c r="AE98" s="52"/>
      <c r="AF98" s="52"/>
      <c r="AG98" s="52"/>
      <c r="AH98" s="52"/>
      <c r="AI98" s="52"/>
      <c r="AJ98" s="52"/>
      <c r="AK98" s="52"/>
      <c r="AL98" s="52"/>
    </row>
    <row r="99" spans="1:38" ht="12.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60">
        <f t="shared" ref="N99:O99" ca="1" si="22">C84</f>
        <v>45658</v>
      </c>
      <c r="O99" s="55">
        <f t="shared" ca="1" si="22"/>
        <v>1.15E-2</v>
      </c>
      <c r="P99" s="59">
        <v>0.03</v>
      </c>
      <c r="Q99" s="59">
        <v>0.05</v>
      </c>
      <c r="R99" s="59">
        <v>7.0000000000000007E-2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3"/>
      <c r="AD99" s="52"/>
      <c r="AE99" s="52"/>
      <c r="AF99" s="52"/>
      <c r="AG99" s="52"/>
      <c r="AH99" s="52"/>
      <c r="AI99" s="52"/>
      <c r="AJ99" s="52"/>
      <c r="AK99" s="52"/>
      <c r="AL99" s="52"/>
    </row>
    <row r="100" spans="1:38" ht="12.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61">
        <f t="shared" ref="N100:O100" ca="1" si="23">C85</f>
        <v>45627</v>
      </c>
      <c r="O100" s="55">
        <f t="shared" ca="1" si="23"/>
        <v>1.21E-2</v>
      </c>
      <c r="P100" s="59">
        <v>0.03</v>
      </c>
      <c r="Q100" s="59">
        <v>0.05</v>
      </c>
      <c r="R100" s="59">
        <v>7.0000000000000007E-2</v>
      </c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3"/>
      <c r="AD100" s="52"/>
      <c r="AE100" s="52"/>
      <c r="AF100" s="52"/>
      <c r="AG100" s="52"/>
      <c r="AH100" s="52"/>
      <c r="AI100" s="52"/>
      <c r="AJ100" s="52"/>
      <c r="AK100" s="52"/>
      <c r="AL100" s="52"/>
    </row>
    <row r="101" spans="1:38" ht="12.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61">
        <f t="shared" ref="N101:O101" ca="1" si="24">C86</f>
        <v>45597</v>
      </c>
      <c r="O101" s="55">
        <f t="shared" ca="1" si="24"/>
        <v>1.3100000000000001E-2</v>
      </c>
      <c r="P101" s="59">
        <v>0.03</v>
      </c>
      <c r="Q101" s="59">
        <v>0.05</v>
      </c>
      <c r="R101" s="59">
        <v>7.0000000000000007E-2</v>
      </c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3"/>
      <c r="AD101" s="52"/>
      <c r="AE101" s="52"/>
      <c r="AF101" s="52"/>
      <c r="AG101" s="52"/>
      <c r="AH101" s="52"/>
      <c r="AI101" s="52"/>
      <c r="AJ101" s="52"/>
      <c r="AK101" s="52"/>
      <c r="AL101" s="52"/>
    </row>
    <row r="102" spans="1:38" ht="12.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61">
        <f t="shared" ref="N102:O102" ca="1" si="25">C87</f>
        <v>45566</v>
      </c>
      <c r="O102" s="55">
        <f t="shared" ca="1" si="25"/>
        <v>1.26E-2</v>
      </c>
      <c r="P102" s="59">
        <v>0.03</v>
      </c>
      <c r="Q102" s="59">
        <v>0.05</v>
      </c>
      <c r="R102" s="59">
        <v>7.0000000000000007E-2</v>
      </c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3"/>
      <c r="AD102" s="52"/>
      <c r="AE102" s="52"/>
      <c r="AF102" s="52"/>
      <c r="AG102" s="52"/>
      <c r="AH102" s="52"/>
      <c r="AI102" s="52"/>
      <c r="AJ102" s="52"/>
      <c r="AK102" s="52"/>
      <c r="AL102" s="52"/>
    </row>
    <row r="103" spans="1:38" ht="12.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60">
        <f t="shared" ref="N103:O103" ca="1" si="26">C88</f>
        <v>45536</v>
      </c>
      <c r="O103" s="55">
        <f t="shared" ca="1" si="26"/>
        <v>1.3599999999999999E-2</v>
      </c>
      <c r="P103" s="59">
        <v>0.03</v>
      </c>
      <c r="Q103" s="59">
        <v>0.05</v>
      </c>
      <c r="R103" s="59">
        <v>7.0000000000000007E-2</v>
      </c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3"/>
      <c r="AD103" s="52"/>
      <c r="AE103" s="52"/>
      <c r="AF103" s="52"/>
      <c r="AG103" s="52"/>
      <c r="AH103" s="52"/>
      <c r="AI103" s="52"/>
      <c r="AJ103" s="52"/>
      <c r="AK103" s="52"/>
      <c r="AL103" s="52"/>
    </row>
    <row r="104" spans="1:38" ht="12.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60">
        <f t="shared" ref="N104:O104" ca="1" si="27">C89</f>
        <v>45505</v>
      </c>
      <c r="O104" s="55">
        <f t="shared" ca="1" si="27"/>
        <v>1.38E-2</v>
      </c>
      <c r="P104" s="59">
        <v>0.03</v>
      </c>
      <c r="Q104" s="59">
        <v>0.05</v>
      </c>
      <c r="R104" s="59">
        <v>7.0000000000000007E-2</v>
      </c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3"/>
      <c r="AD104" s="52"/>
      <c r="AE104" s="52"/>
      <c r="AF104" s="52"/>
      <c r="AG104" s="52"/>
      <c r="AH104" s="52"/>
      <c r="AI104" s="52"/>
      <c r="AJ104" s="52"/>
      <c r="AK104" s="52"/>
      <c r="AL104" s="52"/>
    </row>
    <row r="105" spans="1:38" ht="12.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60">
        <f t="shared" ref="N105:O105" ca="1" si="28">C90</f>
        <v>45474</v>
      </c>
      <c r="O105" s="55">
        <f t="shared" ca="1" si="28"/>
        <v>1.3899999999999999E-2</v>
      </c>
      <c r="P105" s="59">
        <v>0.03</v>
      </c>
      <c r="Q105" s="59">
        <v>0.05</v>
      </c>
      <c r="R105" s="59">
        <v>7.0000000000000007E-2</v>
      </c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3"/>
      <c r="AD105" s="52"/>
      <c r="AE105" s="52"/>
      <c r="AF105" s="52"/>
      <c r="AG105" s="52"/>
      <c r="AH105" s="52"/>
      <c r="AI105" s="52"/>
      <c r="AJ105" s="52"/>
      <c r="AK105" s="52"/>
      <c r="AL105" s="52"/>
    </row>
    <row r="106" spans="1:38" ht="12.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60">
        <f t="shared" ref="N106:O106" ca="1" si="29">C91</f>
        <v>45444</v>
      </c>
      <c r="O106" s="55">
        <f t="shared" ca="1" si="29"/>
        <v>1.35E-2</v>
      </c>
      <c r="P106" s="59">
        <v>0.03</v>
      </c>
      <c r="Q106" s="59">
        <v>0.05</v>
      </c>
      <c r="R106" s="59">
        <v>7.0000000000000007E-2</v>
      </c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3"/>
      <c r="AD106" s="52"/>
      <c r="AE106" s="52"/>
      <c r="AF106" s="52"/>
      <c r="AG106" s="52"/>
      <c r="AH106" s="52"/>
      <c r="AI106" s="52"/>
      <c r="AJ106" s="52"/>
      <c r="AK106" s="52"/>
      <c r="AL106" s="52"/>
    </row>
    <row r="107" spans="1:38" ht="12.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60">
        <f t="shared" ref="N107:O107" ca="1" si="30">C92</f>
        <v>45413</v>
      </c>
      <c r="O107" s="55">
        <f t="shared" ca="1" si="30"/>
        <v>1.5800000000000002E-2</v>
      </c>
      <c r="P107" s="59">
        <v>0.03</v>
      </c>
      <c r="Q107" s="59">
        <v>0.05</v>
      </c>
      <c r="R107" s="59">
        <v>7.0000000000000007E-2</v>
      </c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3"/>
      <c r="AD107" s="52"/>
      <c r="AE107" s="52"/>
      <c r="AF107" s="52"/>
      <c r="AG107" s="52"/>
      <c r="AH107" s="52"/>
      <c r="AI107" s="52"/>
      <c r="AJ107" s="52"/>
      <c r="AK107" s="52"/>
      <c r="AL107" s="52"/>
    </row>
    <row r="108" spans="1:38" ht="12.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60">
        <f t="shared" ref="N108:O108" ca="1" si="31">C93</f>
        <v>45383</v>
      </c>
      <c r="O108" s="55">
        <f t="shared" ca="1" si="31"/>
        <v>1.6500000000000001E-2</v>
      </c>
      <c r="P108" s="59">
        <v>0.03</v>
      </c>
      <c r="Q108" s="59">
        <v>0.05</v>
      </c>
      <c r="R108" s="59">
        <v>7.0000000000000007E-2</v>
      </c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3"/>
      <c r="AD108" s="52"/>
      <c r="AE108" s="52"/>
      <c r="AF108" s="52"/>
      <c r="AG108" s="52"/>
      <c r="AH108" s="52"/>
      <c r="AI108" s="52"/>
      <c r="AJ108" s="52"/>
      <c r="AK108" s="52"/>
      <c r="AL108" s="52"/>
    </row>
    <row r="109" spans="1:38" ht="12.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60">
        <f t="shared" ref="N109:O109" ca="1" si="32">C94</f>
        <v>45352</v>
      </c>
      <c r="O109" s="55">
        <f t="shared" ca="1" si="32"/>
        <v>1.67E-2</v>
      </c>
      <c r="P109" s="59">
        <v>0.03</v>
      </c>
      <c r="Q109" s="59">
        <v>0.05</v>
      </c>
      <c r="R109" s="59">
        <v>7.0000000000000007E-2</v>
      </c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3"/>
      <c r="AD109" s="52"/>
      <c r="AE109" s="52"/>
      <c r="AF109" s="52"/>
      <c r="AG109" s="52"/>
      <c r="AH109" s="52"/>
      <c r="AI109" s="52"/>
      <c r="AJ109" s="52"/>
      <c r="AK109" s="52"/>
      <c r="AL109" s="52"/>
    </row>
    <row r="110" spans="1:38" ht="12.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60">
        <f t="shared" ref="N110:O110" ca="1" si="33">C95</f>
        <v>45323</v>
      </c>
      <c r="O110" s="55">
        <f t="shared" ca="1" si="33"/>
        <v>1.8800000000000001E-2</v>
      </c>
      <c r="P110" s="59">
        <v>0.03</v>
      </c>
      <c r="Q110" s="59">
        <v>0.05</v>
      </c>
      <c r="R110" s="59">
        <v>7.0000000000000007E-2</v>
      </c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3"/>
      <c r="AD110" s="52"/>
      <c r="AE110" s="52"/>
      <c r="AF110" s="52"/>
      <c r="AG110" s="52"/>
      <c r="AH110" s="52"/>
      <c r="AI110" s="52"/>
      <c r="AJ110" s="52"/>
      <c r="AK110" s="52"/>
      <c r="AL110" s="52"/>
    </row>
    <row r="111" spans="1:38" ht="12.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61">
        <f t="shared" ref="N111:O111" ca="1" si="34">E81</f>
        <v>45261</v>
      </c>
      <c r="O111" s="55">
        <f t="shared" ca="1" si="34"/>
        <v>1.8499999999999999E-2</v>
      </c>
      <c r="P111" s="59">
        <v>0.03</v>
      </c>
      <c r="Q111" s="59">
        <v>0.05</v>
      </c>
      <c r="R111" s="59">
        <v>7.0000000000000007E-2</v>
      </c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3"/>
      <c r="AD111" s="52"/>
      <c r="AE111" s="52"/>
      <c r="AF111" s="52"/>
      <c r="AG111" s="52"/>
      <c r="AH111" s="52"/>
      <c r="AI111" s="52"/>
      <c r="AJ111" s="52"/>
      <c r="AK111" s="52"/>
      <c r="AL111" s="52"/>
    </row>
    <row r="112" spans="1:38" ht="12.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61">
        <f t="shared" ref="N112:O112" ca="1" si="35">E82</f>
        <v>45231</v>
      </c>
      <c r="O112" s="55">
        <f t="shared" ca="1" si="35"/>
        <v>1.9199999999999998E-2</v>
      </c>
      <c r="P112" s="59">
        <v>0.03</v>
      </c>
      <c r="Q112" s="59">
        <v>0.05</v>
      </c>
      <c r="R112" s="59">
        <v>7.0000000000000007E-2</v>
      </c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3"/>
      <c r="AD112" s="52"/>
      <c r="AE112" s="52"/>
      <c r="AF112" s="52"/>
      <c r="AG112" s="52"/>
      <c r="AH112" s="52"/>
      <c r="AI112" s="52"/>
      <c r="AJ112" s="52"/>
      <c r="AK112" s="52"/>
      <c r="AL112" s="52"/>
    </row>
    <row r="113" spans="1:38" ht="12.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61">
        <f t="shared" ref="N113:O113" ca="1" si="36">E83</f>
        <v>45200</v>
      </c>
      <c r="O113" s="55">
        <f t="shared" ca="1" si="36"/>
        <v>2.0799999999999999E-2</v>
      </c>
      <c r="P113" s="59">
        <v>0.03</v>
      </c>
      <c r="Q113" s="59">
        <v>0.05</v>
      </c>
      <c r="R113" s="59">
        <v>7.0000000000000007E-2</v>
      </c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3"/>
      <c r="AD113" s="52"/>
      <c r="AE113" s="52"/>
      <c r="AF113" s="52"/>
      <c r="AG113" s="52"/>
      <c r="AH113" s="52"/>
      <c r="AI113" s="52"/>
      <c r="AJ113" s="52"/>
      <c r="AK113" s="52"/>
      <c r="AL113" s="52"/>
    </row>
    <row r="114" spans="1:38" ht="12.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60">
        <f t="shared" ref="N114:O114" ca="1" si="37">E84</f>
        <v>45170</v>
      </c>
      <c r="O114" s="55">
        <f t="shared" ca="1" si="37"/>
        <v>1.9900000000000001E-2</v>
      </c>
      <c r="P114" s="59">
        <v>0.03</v>
      </c>
      <c r="Q114" s="59">
        <v>0.05</v>
      </c>
      <c r="R114" s="59">
        <v>7.0000000000000007E-2</v>
      </c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3"/>
      <c r="AD114" s="52"/>
      <c r="AE114" s="52"/>
      <c r="AF114" s="52"/>
      <c r="AG114" s="52"/>
      <c r="AH114" s="52"/>
      <c r="AI114" s="52"/>
      <c r="AJ114" s="52"/>
      <c r="AK114" s="52"/>
      <c r="AL114" s="52"/>
    </row>
    <row r="115" spans="1:38" ht="12.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60">
        <f t="shared" ref="N115:O115" ca="1" si="38">E85</f>
        <v>45108</v>
      </c>
      <c r="O115" s="55">
        <f t="shared" ca="1" si="38"/>
        <v>1.89E-2</v>
      </c>
      <c r="P115" s="59">
        <v>0.03</v>
      </c>
      <c r="Q115" s="59">
        <v>0.05</v>
      </c>
      <c r="R115" s="59">
        <v>7.0000000000000007E-2</v>
      </c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3"/>
      <c r="AD115" s="52"/>
      <c r="AE115" s="52"/>
      <c r="AF115" s="52"/>
      <c r="AG115" s="52"/>
      <c r="AH115" s="52"/>
      <c r="AI115" s="52"/>
      <c r="AJ115" s="52"/>
      <c r="AK115" s="52"/>
      <c r="AL115" s="52"/>
    </row>
    <row r="116" spans="1:38" ht="12.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60">
        <f t="shared" ref="N116:O116" ca="1" si="39">E86</f>
        <v>45078</v>
      </c>
      <c r="O116" s="55">
        <f t="shared" ca="1" si="39"/>
        <v>1.9099999999999999E-2</v>
      </c>
      <c r="P116" s="59">
        <v>0.03</v>
      </c>
      <c r="Q116" s="59">
        <v>0.05</v>
      </c>
      <c r="R116" s="59">
        <v>7.0000000000000007E-2</v>
      </c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3"/>
      <c r="AD116" s="52"/>
      <c r="AE116" s="52"/>
      <c r="AF116" s="52"/>
      <c r="AG116" s="52"/>
      <c r="AH116" s="52"/>
      <c r="AI116" s="52"/>
      <c r="AJ116" s="52"/>
      <c r="AK116" s="52"/>
      <c r="AL116" s="52"/>
    </row>
    <row r="117" spans="1:38" ht="12.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60">
        <f t="shared" ref="N117:O117" ca="1" si="40">E87</f>
        <v>45047</v>
      </c>
      <c r="O117" s="55">
        <f t="shared" ca="1" si="40"/>
        <v>1.9699999999999999E-2</v>
      </c>
      <c r="P117" s="59">
        <v>0.03</v>
      </c>
      <c r="Q117" s="59">
        <v>0.05</v>
      </c>
      <c r="R117" s="59">
        <v>7.0000000000000007E-2</v>
      </c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3"/>
      <c r="AD117" s="52"/>
      <c r="AE117" s="52"/>
      <c r="AF117" s="52"/>
      <c r="AG117" s="52"/>
      <c r="AH117" s="52"/>
      <c r="AI117" s="52"/>
      <c r="AJ117" s="52"/>
      <c r="AK117" s="52"/>
      <c r="AL117" s="52"/>
    </row>
    <row r="118" spans="1:38" ht="12.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60">
        <f t="shared" ref="N118:O118" ca="1" si="41">E88</f>
        <v>45017</v>
      </c>
      <c r="O118" s="55">
        <f t="shared" ca="1" si="41"/>
        <v>2.1899999999999999E-2</v>
      </c>
      <c r="P118" s="59">
        <v>0.03</v>
      </c>
      <c r="Q118" s="59">
        <v>0.05</v>
      </c>
      <c r="R118" s="59">
        <v>7.0000000000000007E-2</v>
      </c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3"/>
      <c r="AD118" s="52"/>
      <c r="AE118" s="52"/>
      <c r="AF118" s="52"/>
      <c r="AG118" s="52"/>
      <c r="AH118" s="52"/>
      <c r="AI118" s="52"/>
      <c r="AJ118" s="52"/>
      <c r="AK118" s="52"/>
      <c r="AL118" s="52"/>
    </row>
    <row r="119" spans="1:38" ht="12.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60">
        <f t="shared" ref="N119:O119" ca="1" si="42">E89</f>
        <v>44986</v>
      </c>
      <c r="O119" s="55">
        <f t="shared" ca="1" si="42"/>
        <v>2.06E-2</v>
      </c>
      <c r="P119" s="59">
        <v>0.03</v>
      </c>
      <c r="Q119" s="59">
        <v>0.05</v>
      </c>
      <c r="R119" s="59">
        <v>7.0000000000000007E-2</v>
      </c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3"/>
      <c r="AD119" s="52"/>
      <c r="AE119" s="52"/>
      <c r="AF119" s="52"/>
      <c r="AG119" s="52"/>
      <c r="AH119" s="52"/>
      <c r="AI119" s="52"/>
      <c r="AJ119" s="52"/>
      <c r="AK119" s="52"/>
      <c r="AL119" s="52"/>
    </row>
    <row r="120" spans="1:38" ht="12.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60">
        <f t="shared" ref="N120:O120" ca="1" si="43">E90</f>
        <v>44958</v>
      </c>
      <c r="O120" s="55">
        <f t="shared" ca="1" si="43"/>
        <v>2.1499999999999998E-2</v>
      </c>
      <c r="P120" s="59">
        <v>0.03</v>
      </c>
      <c r="Q120" s="59">
        <v>0.05</v>
      </c>
      <c r="R120" s="59">
        <v>7.0000000000000007E-2</v>
      </c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3"/>
      <c r="AD120" s="52"/>
      <c r="AE120" s="52"/>
      <c r="AF120" s="52"/>
      <c r="AG120" s="52"/>
      <c r="AH120" s="52"/>
      <c r="AI120" s="52"/>
      <c r="AJ120" s="52"/>
      <c r="AK120" s="52"/>
      <c r="AL120" s="52"/>
    </row>
    <row r="121" spans="1:38" ht="12.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60">
        <f t="shared" ref="N121:O121" ca="1" si="44">E91</f>
        <v>44927</v>
      </c>
      <c r="O121" s="55">
        <f t="shared" ca="1" si="44"/>
        <v>2.1100000000000001E-2</v>
      </c>
      <c r="P121" s="59">
        <v>0.03</v>
      </c>
      <c r="Q121" s="59">
        <v>0.05</v>
      </c>
      <c r="R121" s="59">
        <v>7.0000000000000007E-2</v>
      </c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3"/>
      <c r="AD121" s="52"/>
      <c r="AE121" s="52"/>
      <c r="AF121" s="52"/>
      <c r="AG121" s="52"/>
      <c r="AH121" s="52"/>
      <c r="AI121" s="52"/>
      <c r="AJ121" s="52"/>
      <c r="AK121" s="52"/>
      <c r="AL121" s="52"/>
    </row>
    <row r="122" spans="1:38" ht="12.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61">
        <f t="shared" ref="N122:O122" ca="1" si="45">E92</f>
        <v>44896</v>
      </c>
      <c r="O122" s="55">
        <f t="shared" ca="1" si="45"/>
        <v>2.4500000000000001E-2</v>
      </c>
      <c r="P122" s="59">
        <v>0.03</v>
      </c>
      <c r="Q122" s="59">
        <v>0.05</v>
      </c>
      <c r="R122" s="59">
        <v>7.0000000000000007E-2</v>
      </c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3"/>
      <c r="AD122" s="52"/>
      <c r="AE122" s="52"/>
      <c r="AF122" s="52"/>
      <c r="AG122" s="52"/>
      <c r="AH122" s="52"/>
      <c r="AI122" s="52"/>
      <c r="AJ122" s="52"/>
      <c r="AK122" s="52"/>
      <c r="AL122" s="52"/>
    </row>
    <row r="123" spans="1:38" ht="12.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61">
        <f t="shared" ref="N123:O123" ca="1" si="46">E93</f>
        <v>44866</v>
      </c>
      <c r="O123" s="55">
        <f t="shared" ca="1" si="46"/>
        <v>2.24E-2</v>
      </c>
      <c r="P123" s="59">
        <v>0.03</v>
      </c>
      <c r="Q123" s="59">
        <v>0.05</v>
      </c>
      <c r="R123" s="59">
        <v>7.0000000000000007E-2</v>
      </c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3"/>
      <c r="AD123" s="52"/>
      <c r="AE123" s="52"/>
      <c r="AF123" s="52"/>
      <c r="AG123" s="52"/>
      <c r="AH123" s="52"/>
      <c r="AI123" s="52"/>
      <c r="AJ123" s="52"/>
      <c r="AK123" s="52"/>
      <c r="AL123" s="52"/>
    </row>
    <row r="124" spans="1:38" ht="12.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61">
        <f t="shared" ref="N124:O124" ca="1" si="47">E94</f>
        <v>44835</v>
      </c>
      <c r="O124" s="55">
        <f t="shared" ca="1" si="47"/>
        <v>2.8199999999999999E-2</v>
      </c>
      <c r="P124" s="59">
        <v>0.03</v>
      </c>
      <c r="Q124" s="59">
        <v>0.05</v>
      </c>
      <c r="R124" s="59">
        <v>7.0000000000000007E-2</v>
      </c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3"/>
      <c r="AD124" s="52"/>
      <c r="AE124" s="52"/>
      <c r="AF124" s="52"/>
      <c r="AG124" s="52"/>
      <c r="AH124" s="52"/>
      <c r="AI124" s="52"/>
      <c r="AJ124" s="52"/>
      <c r="AK124" s="52"/>
      <c r="AL124" s="52"/>
    </row>
    <row r="125" spans="1:38" ht="12.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60">
        <f t="shared" ref="N125:O125" ca="1" si="48">E95</f>
        <v>44805</v>
      </c>
      <c r="O125" s="55">
        <f t="shared" ca="1" si="48"/>
        <v>2.6100000000000002E-2</v>
      </c>
      <c r="P125" s="59">
        <v>0.03</v>
      </c>
      <c r="Q125" s="59">
        <v>0.05</v>
      </c>
      <c r="R125" s="59">
        <v>7.0000000000000007E-2</v>
      </c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3"/>
      <c r="AD125" s="52"/>
      <c r="AE125" s="52"/>
      <c r="AF125" s="52"/>
      <c r="AG125" s="52"/>
      <c r="AH125" s="52"/>
      <c r="AI125" s="52"/>
      <c r="AJ125" s="52"/>
      <c r="AK125" s="52"/>
      <c r="AL125" s="52"/>
    </row>
    <row r="126" spans="1:38" ht="12.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60">
        <f t="shared" ref="N126:O126" ca="1" si="49">G81</f>
        <v>44743</v>
      </c>
      <c r="O126" s="55">
        <f t="shared" ca="1" si="49"/>
        <v>2.1600000000000001E-2</v>
      </c>
      <c r="P126" s="59">
        <v>0.03</v>
      </c>
      <c r="Q126" s="59">
        <v>0.05</v>
      </c>
      <c r="R126" s="59">
        <v>7.0000000000000007E-2</v>
      </c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3"/>
      <c r="AD126" s="52"/>
      <c r="AE126" s="52"/>
      <c r="AF126" s="52"/>
      <c r="AG126" s="52"/>
      <c r="AH126" s="52"/>
      <c r="AI126" s="52"/>
      <c r="AJ126" s="52"/>
      <c r="AK126" s="52"/>
      <c r="AL126" s="52"/>
    </row>
    <row r="127" spans="1:38" ht="12.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60">
        <f t="shared" ref="N127:O127" ca="1" si="50">G82</f>
        <v>44713</v>
      </c>
      <c r="O127" s="55">
        <f t="shared" ca="1" si="50"/>
        <v>2.3099999999999999E-2</v>
      </c>
      <c r="P127" s="59">
        <v>0.03</v>
      </c>
      <c r="Q127" s="59">
        <v>0.05</v>
      </c>
      <c r="R127" s="59">
        <v>7.0000000000000007E-2</v>
      </c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3"/>
      <c r="AD127" s="52"/>
      <c r="AE127" s="52"/>
      <c r="AF127" s="52"/>
      <c r="AG127" s="52"/>
      <c r="AH127" s="52"/>
      <c r="AI127" s="52"/>
      <c r="AJ127" s="52"/>
      <c r="AK127" s="52"/>
      <c r="AL127" s="52"/>
    </row>
    <row r="128" spans="1:38" ht="12.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60">
        <f t="shared" ref="N128:O128" ca="1" si="51">G83</f>
        <v>44682</v>
      </c>
      <c r="O128" s="55">
        <f t="shared" ca="1" si="51"/>
        <v>1.9599999999999999E-2</v>
      </c>
      <c r="P128" s="59">
        <v>0.03</v>
      </c>
      <c r="Q128" s="59">
        <v>0.05</v>
      </c>
      <c r="R128" s="59">
        <v>7.0000000000000007E-2</v>
      </c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3"/>
      <c r="AD128" s="52"/>
      <c r="AE128" s="52"/>
      <c r="AF128" s="52"/>
      <c r="AG128" s="52"/>
      <c r="AH128" s="52"/>
      <c r="AI128" s="52"/>
      <c r="AJ128" s="52"/>
      <c r="AK128" s="52"/>
      <c r="AL128" s="52"/>
    </row>
    <row r="129" spans="1:38" ht="12.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60">
        <f t="shared" ref="N129:O129" ca="1" si="52">G84</f>
        <v>44652</v>
      </c>
      <c r="O129" s="55">
        <f t="shared" ca="1" si="52"/>
        <v>2.0400000000000001E-2</v>
      </c>
      <c r="P129" s="59">
        <v>0.03</v>
      </c>
      <c r="Q129" s="59">
        <v>0.05</v>
      </c>
      <c r="R129" s="59">
        <v>7.0000000000000007E-2</v>
      </c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3"/>
      <c r="AD129" s="52"/>
      <c r="AE129" s="52"/>
      <c r="AF129" s="52"/>
      <c r="AG129" s="52"/>
      <c r="AH129" s="52"/>
      <c r="AI129" s="52"/>
      <c r="AJ129" s="52"/>
      <c r="AK129" s="52"/>
      <c r="AL129" s="52"/>
    </row>
    <row r="130" spans="1:38" ht="12.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60">
        <f t="shared" ref="N130:O130" ca="1" si="53">G85</f>
        <v>44621</v>
      </c>
      <c r="O130" s="55">
        <f t="shared" ca="1" si="53"/>
        <v>1.84E-2</v>
      </c>
      <c r="P130" s="59">
        <v>0.03</v>
      </c>
      <c r="Q130" s="59">
        <v>0.05</v>
      </c>
      <c r="R130" s="59">
        <v>7.0000000000000007E-2</v>
      </c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3"/>
      <c r="AD130" s="52"/>
      <c r="AE130" s="52"/>
      <c r="AF130" s="52"/>
      <c r="AG130" s="52"/>
      <c r="AH130" s="52"/>
      <c r="AI130" s="52"/>
      <c r="AJ130" s="52"/>
      <c r="AK130" s="52"/>
      <c r="AL130" s="52"/>
    </row>
    <row r="131" spans="1:38" ht="12.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60">
        <f t="shared" ref="N131:O131" ca="1" si="54">G86</f>
        <v>44593</v>
      </c>
      <c r="O131" s="55">
        <f t="shared" ca="1" si="54"/>
        <v>1.66E-2</v>
      </c>
      <c r="P131" s="59">
        <v>0.03</v>
      </c>
      <c r="Q131" s="59">
        <v>0.05</v>
      </c>
      <c r="R131" s="59">
        <v>7.0000000000000007E-2</v>
      </c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3"/>
      <c r="AD131" s="52"/>
      <c r="AE131" s="52"/>
      <c r="AF131" s="52"/>
      <c r="AG131" s="52"/>
      <c r="AH131" s="52"/>
      <c r="AI131" s="52"/>
      <c r="AJ131" s="52"/>
      <c r="AK131" s="52"/>
      <c r="AL131" s="52"/>
    </row>
    <row r="132" spans="1:38" ht="12.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60">
        <f t="shared" ref="N132:O132" ca="1" si="55">G87</f>
        <v>44562</v>
      </c>
      <c r="O132" s="55">
        <f t="shared" ca="1" si="55"/>
        <v>1.5699999999999999E-2</v>
      </c>
      <c r="P132" s="59">
        <v>0.03</v>
      </c>
      <c r="Q132" s="59">
        <v>0.05</v>
      </c>
      <c r="R132" s="59">
        <v>7.0000000000000007E-2</v>
      </c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3"/>
      <c r="AD132" s="52"/>
      <c r="AE132" s="52"/>
      <c r="AF132" s="52"/>
      <c r="AG132" s="52"/>
      <c r="AH132" s="52"/>
      <c r="AI132" s="52"/>
      <c r="AJ132" s="52"/>
      <c r="AK132" s="52"/>
      <c r="AL132" s="52"/>
    </row>
    <row r="133" spans="1:38" ht="12.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61">
        <f t="shared" ref="N133:O133" ca="1" si="56">G88</f>
        <v>44531</v>
      </c>
      <c r="O133" s="55">
        <f t="shared" ca="1" si="56"/>
        <v>1.6299999999999999E-2</v>
      </c>
      <c r="P133" s="59">
        <v>0.03</v>
      </c>
      <c r="Q133" s="59">
        <v>0.05</v>
      </c>
      <c r="R133" s="59">
        <v>7.0000000000000007E-2</v>
      </c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3"/>
      <c r="AD133" s="52"/>
      <c r="AE133" s="52"/>
      <c r="AF133" s="52"/>
      <c r="AG133" s="52"/>
      <c r="AH133" s="52"/>
      <c r="AI133" s="52"/>
      <c r="AJ133" s="52"/>
      <c r="AK133" s="52"/>
      <c r="AL133" s="52"/>
    </row>
    <row r="134" spans="1:38" ht="12.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61">
        <f t="shared" ref="N134:O134" ca="1" si="57">G89</f>
        <v>44501</v>
      </c>
      <c r="O134" s="55">
        <f t="shared" ca="1" si="57"/>
        <v>1.6799999999999999E-2</v>
      </c>
      <c r="P134" s="59">
        <v>0.03</v>
      </c>
      <c r="Q134" s="59">
        <v>0.05</v>
      </c>
      <c r="R134" s="59">
        <v>7.0000000000000007E-2</v>
      </c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3"/>
      <c r="AD134" s="52"/>
      <c r="AE134" s="52"/>
      <c r="AF134" s="52"/>
      <c r="AG134" s="52"/>
      <c r="AH134" s="52"/>
      <c r="AI134" s="52"/>
      <c r="AJ134" s="52"/>
      <c r="AK134" s="52"/>
      <c r="AL134" s="52"/>
    </row>
    <row r="135" spans="1:38" ht="12.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61">
        <f t="shared" ref="N135:O135" ca="1" si="58">G90</f>
        <v>44470</v>
      </c>
      <c r="O135" s="55">
        <f t="shared" ca="1" si="58"/>
        <v>1.6899999999999998E-2</v>
      </c>
      <c r="P135" s="59">
        <v>0.03</v>
      </c>
      <c r="Q135" s="59">
        <v>0.05</v>
      </c>
      <c r="R135" s="59">
        <v>7.0000000000000007E-2</v>
      </c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3"/>
      <c r="AD135" s="52"/>
      <c r="AE135" s="52"/>
      <c r="AF135" s="52"/>
      <c r="AG135" s="52"/>
      <c r="AH135" s="52"/>
      <c r="AI135" s="52"/>
      <c r="AJ135" s="52"/>
      <c r="AK135" s="52"/>
      <c r="AL135" s="52"/>
    </row>
    <row r="136" spans="1:38" ht="12.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60">
        <f t="shared" ref="N136:O136" ca="1" si="59">G91</f>
        <v>44440</v>
      </c>
      <c r="O136" s="55">
        <f t="shared" ca="1" si="59"/>
        <v>1.72E-2</v>
      </c>
      <c r="P136" s="59">
        <v>0.03</v>
      </c>
      <c r="Q136" s="59">
        <v>0.05</v>
      </c>
      <c r="R136" s="59">
        <v>7.0000000000000007E-2</v>
      </c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3"/>
      <c r="AD136" s="52"/>
      <c r="AE136" s="52"/>
      <c r="AF136" s="52"/>
      <c r="AG136" s="52"/>
      <c r="AH136" s="52"/>
      <c r="AI136" s="52"/>
      <c r="AJ136" s="52"/>
      <c r="AK136" s="52"/>
      <c r="AL136" s="52"/>
    </row>
    <row r="137" spans="1:38" ht="12.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60">
        <f t="shared" ref="N137:O137" ca="1" si="60">G92</f>
        <v>44409</v>
      </c>
      <c r="O137" s="55">
        <f t="shared" ca="1" si="60"/>
        <v>1.6299999999999999E-2</v>
      </c>
      <c r="P137" s="59">
        <v>0.03</v>
      </c>
      <c r="Q137" s="59">
        <v>0.05</v>
      </c>
      <c r="R137" s="59">
        <v>7.0000000000000007E-2</v>
      </c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3"/>
      <c r="AD137" s="52"/>
      <c r="AE137" s="52"/>
      <c r="AF137" s="52"/>
      <c r="AG137" s="52"/>
      <c r="AH137" s="52"/>
      <c r="AI137" s="52"/>
      <c r="AJ137" s="52"/>
      <c r="AK137" s="52"/>
      <c r="AL137" s="52"/>
    </row>
    <row r="138" spans="1:38" ht="12.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60">
        <f t="shared" ref="N138:O138" ca="1" si="61">G93</f>
        <v>44378</v>
      </c>
      <c r="O138" s="55">
        <f t="shared" ca="1" si="61"/>
        <v>1.72E-2</v>
      </c>
      <c r="P138" s="59">
        <v>0.03</v>
      </c>
      <c r="Q138" s="59">
        <v>0.05</v>
      </c>
      <c r="R138" s="59">
        <v>7.0000000000000007E-2</v>
      </c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3"/>
      <c r="AD138" s="52"/>
      <c r="AE138" s="52"/>
      <c r="AF138" s="52"/>
      <c r="AG138" s="52"/>
      <c r="AH138" s="52"/>
      <c r="AI138" s="52"/>
      <c r="AJ138" s="52"/>
      <c r="AK138" s="52"/>
      <c r="AL138" s="52"/>
    </row>
    <row r="139" spans="1:38" ht="12.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60">
        <f t="shared" ref="N139:O139" ca="1" si="62">G94</f>
        <v>44348</v>
      </c>
      <c r="O139" s="55">
        <f t="shared" ca="1" si="62"/>
        <v>1.6799999999999999E-2</v>
      </c>
      <c r="P139" s="59">
        <v>0.03</v>
      </c>
      <c r="Q139" s="59">
        <v>0.05</v>
      </c>
      <c r="R139" s="59">
        <v>7.0000000000000007E-2</v>
      </c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3"/>
      <c r="AD139" s="52"/>
      <c r="AE139" s="52"/>
      <c r="AF139" s="52"/>
      <c r="AG139" s="52"/>
      <c r="AH139" s="52"/>
      <c r="AI139" s="52"/>
      <c r="AJ139" s="52"/>
      <c r="AK139" s="52"/>
      <c r="AL139" s="52"/>
    </row>
    <row r="140" spans="1:38" ht="12.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60">
        <f t="shared" ref="N140:O140" ca="1" si="63">G95</f>
        <v>44317</v>
      </c>
      <c r="O140" s="55">
        <f t="shared" ca="1" si="63"/>
        <v>1.6799999999999999E-2</v>
      </c>
      <c r="P140" s="59">
        <v>0.03</v>
      </c>
      <c r="Q140" s="59">
        <v>0.05</v>
      </c>
      <c r="R140" s="59">
        <v>7.0000000000000007E-2</v>
      </c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3"/>
      <c r="AD140" s="52"/>
      <c r="AE140" s="52"/>
      <c r="AF140" s="52"/>
      <c r="AG140" s="52"/>
      <c r="AH140" s="52"/>
      <c r="AI140" s="52"/>
      <c r="AJ140" s="52"/>
      <c r="AK140" s="52"/>
      <c r="AL140" s="52"/>
    </row>
    <row r="141" spans="1:38" ht="12.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3"/>
      <c r="AD141" s="52"/>
      <c r="AE141" s="52"/>
      <c r="AF141" s="52"/>
      <c r="AG141" s="52"/>
      <c r="AH141" s="52"/>
      <c r="AI141" s="52"/>
      <c r="AJ141" s="52"/>
      <c r="AK141" s="52"/>
      <c r="AL141" s="52"/>
    </row>
    <row r="142" spans="1:38" ht="12.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3"/>
      <c r="AD142" s="52"/>
      <c r="AE142" s="52"/>
      <c r="AF142" s="52"/>
      <c r="AG142" s="52"/>
      <c r="AH142" s="52"/>
      <c r="AI142" s="52"/>
      <c r="AJ142" s="52"/>
      <c r="AK142" s="52"/>
      <c r="AL142" s="52"/>
    </row>
    <row r="143" spans="1:38" ht="12.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3"/>
      <c r="AD143" s="52"/>
      <c r="AE143" s="52"/>
      <c r="AF143" s="52"/>
      <c r="AG143" s="52"/>
      <c r="AH143" s="52"/>
      <c r="AI143" s="52"/>
      <c r="AJ143" s="52"/>
      <c r="AK143" s="52"/>
      <c r="AL143" s="52"/>
    </row>
    <row r="144" spans="1:38" ht="12.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3"/>
      <c r="AD144" s="52"/>
      <c r="AE144" s="52"/>
      <c r="AF144" s="52"/>
      <c r="AG144" s="52"/>
      <c r="AH144" s="52"/>
      <c r="AI144" s="52"/>
      <c r="AJ144" s="52"/>
      <c r="AK144" s="52"/>
      <c r="AL144" s="52"/>
    </row>
    <row r="145" spans="1:38" ht="12.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3"/>
      <c r="AD145" s="52"/>
      <c r="AE145" s="52"/>
      <c r="AF145" s="52"/>
      <c r="AG145" s="52"/>
      <c r="AH145" s="52"/>
      <c r="AI145" s="52"/>
      <c r="AJ145" s="52"/>
      <c r="AK145" s="52"/>
      <c r="AL145" s="52"/>
    </row>
    <row r="146" spans="1:38" ht="12.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3"/>
      <c r="AD146" s="52"/>
      <c r="AE146" s="52"/>
      <c r="AF146" s="52"/>
      <c r="AG146" s="52"/>
      <c r="AH146" s="52"/>
      <c r="AI146" s="52"/>
      <c r="AJ146" s="52"/>
      <c r="AK146" s="52"/>
      <c r="AL146" s="52"/>
    </row>
    <row r="147" spans="1:38" ht="12.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3"/>
      <c r="AD147" s="52"/>
      <c r="AE147" s="52"/>
      <c r="AF147" s="52"/>
      <c r="AG147" s="52"/>
      <c r="AH147" s="52"/>
      <c r="AI147" s="52"/>
      <c r="AJ147" s="52"/>
      <c r="AK147" s="52"/>
      <c r="AL147" s="52"/>
    </row>
    <row r="148" spans="1:38" ht="12.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3"/>
      <c r="AD148" s="52"/>
      <c r="AE148" s="52"/>
      <c r="AF148" s="52"/>
      <c r="AG148" s="52"/>
      <c r="AH148" s="52"/>
      <c r="AI148" s="52"/>
      <c r="AJ148" s="52"/>
      <c r="AK148" s="52"/>
      <c r="AL148" s="52"/>
    </row>
    <row r="149" spans="1:38" ht="12.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3"/>
      <c r="AD149" s="52"/>
      <c r="AE149" s="52"/>
      <c r="AF149" s="52"/>
      <c r="AG149" s="52"/>
      <c r="AH149" s="52"/>
      <c r="AI149" s="52"/>
      <c r="AJ149" s="52"/>
      <c r="AK149" s="52"/>
      <c r="AL149" s="52"/>
    </row>
    <row r="150" spans="1:38" ht="12.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3"/>
      <c r="AD150" s="52"/>
      <c r="AE150" s="52"/>
      <c r="AF150" s="52"/>
      <c r="AG150" s="52"/>
      <c r="AH150" s="52"/>
      <c r="AI150" s="52"/>
      <c r="AJ150" s="52"/>
      <c r="AK150" s="52"/>
      <c r="AL150" s="52"/>
    </row>
    <row r="151" spans="1:38" ht="12.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3"/>
      <c r="AD151" s="52"/>
      <c r="AE151" s="52"/>
      <c r="AF151" s="52"/>
      <c r="AG151" s="52"/>
      <c r="AH151" s="52"/>
      <c r="AI151" s="52"/>
      <c r="AJ151" s="52"/>
      <c r="AK151" s="52"/>
      <c r="AL151" s="52"/>
    </row>
    <row r="152" spans="1:38" ht="12.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3"/>
      <c r="AD152" s="52"/>
      <c r="AE152" s="52"/>
      <c r="AF152" s="52"/>
      <c r="AG152" s="52"/>
      <c r="AH152" s="52"/>
      <c r="AI152" s="52"/>
      <c r="AJ152" s="52"/>
      <c r="AK152" s="52"/>
      <c r="AL152" s="52"/>
    </row>
    <row r="153" spans="1:38" ht="12.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3"/>
      <c r="AD153" s="52"/>
      <c r="AE153" s="52"/>
      <c r="AF153" s="52"/>
      <c r="AG153" s="52"/>
      <c r="AH153" s="52"/>
      <c r="AI153" s="52"/>
      <c r="AJ153" s="52"/>
      <c r="AK153" s="52"/>
      <c r="AL153" s="52"/>
    </row>
    <row r="154" spans="1:38" ht="12.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3"/>
      <c r="AD154" s="52"/>
      <c r="AE154" s="52"/>
      <c r="AF154" s="52"/>
      <c r="AG154" s="52"/>
      <c r="AH154" s="52"/>
      <c r="AI154" s="52"/>
      <c r="AJ154" s="52"/>
      <c r="AK154" s="52"/>
      <c r="AL154" s="52"/>
    </row>
    <row r="155" spans="1:38" ht="12.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3"/>
      <c r="AD155" s="52"/>
      <c r="AE155" s="52"/>
      <c r="AF155" s="52"/>
      <c r="AG155" s="52"/>
      <c r="AH155" s="52"/>
      <c r="AI155" s="52"/>
      <c r="AJ155" s="52"/>
      <c r="AK155" s="52"/>
      <c r="AL155" s="52"/>
    </row>
    <row r="156" spans="1:38" ht="12.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3"/>
      <c r="AD156" s="52"/>
      <c r="AE156" s="52"/>
      <c r="AF156" s="52"/>
      <c r="AG156" s="52"/>
      <c r="AH156" s="52"/>
      <c r="AI156" s="52"/>
      <c r="AJ156" s="52"/>
      <c r="AK156" s="52"/>
      <c r="AL156" s="52"/>
    </row>
    <row r="157" spans="1:38" ht="12.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3"/>
      <c r="AD157" s="52"/>
      <c r="AE157" s="52"/>
      <c r="AF157" s="52"/>
      <c r="AG157" s="52"/>
      <c r="AH157" s="52"/>
      <c r="AI157" s="52"/>
      <c r="AJ157" s="52"/>
      <c r="AK157" s="52"/>
      <c r="AL157" s="52"/>
    </row>
    <row r="158" spans="1:38" ht="12.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3"/>
      <c r="AD158" s="52"/>
      <c r="AE158" s="52"/>
      <c r="AF158" s="52"/>
      <c r="AG158" s="52"/>
      <c r="AH158" s="52"/>
      <c r="AI158" s="52"/>
      <c r="AJ158" s="52"/>
      <c r="AK158" s="52"/>
      <c r="AL158" s="52"/>
    </row>
    <row r="159" spans="1:38" ht="12.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3"/>
      <c r="AD159" s="52"/>
      <c r="AE159" s="52"/>
      <c r="AF159" s="52"/>
      <c r="AG159" s="52"/>
      <c r="AH159" s="52"/>
      <c r="AI159" s="52"/>
      <c r="AJ159" s="52"/>
      <c r="AK159" s="52"/>
      <c r="AL159" s="52"/>
    </row>
    <row r="160" spans="1:38" ht="12.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3"/>
      <c r="AD160" s="52"/>
      <c r="AE160" s="52"/>
      <c r="AF160" s="52"/>
      <c r="AG160" s="52"/>
      <c r="AH160" s="52"/>
      <c r="AI160" s="52"/>
      <c r="AJ160" s="52"/>
      <c r="AK160" s="52"/>
      <c r="AL160" s="52"/>
    </row>
    <row r="161" spans="1:38" ht="12.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3"/>
      <c r="AD161" s="52"/>
      <c r="AE161" s="52"/>
      <c r="AF161" s="52"/>
      <c r="AG161" s="52"/>
      <c r="AH161" s="52"/>
      <c r="AI161" s="52"/>
      <c r="AJ161" s="52"/>
      <c r="AK161" s="52"/>
      <c r="AL161" s="52"/>
    </row>
    <row r="162" spans="1:38" ht="12.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3"/>
      <c r="AD162" s="52"/>
      <c r="AE162" s="52"/>
      <c r="AF162" s="52"/>
      <c r="AG162" s="52"/>
      <c r="AH162" s="52"/>
      <c r="AI162" s="52"/>
      <c r="AJ162" s="52"/>
      <c r="AK162" s="52"/>
      <c r="AL162" s="52"/>
    </row>
    <row r="163" spans="1:38" ht="12.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3"/>
      <c r="AD163" s="52"/>
      <c r="AE163" s="52"/>
      <c r="AF163" s="52"/>
      <c r="AG163" s="52"/>
      <c r="AH163" s="52"/>
      <c r="AI163" s="52"/>
      <c r="AJ163" s="52"/>
      <c r="AK163" s="52"/>
      <c r="AL163" s="52"/>
    </row>
    <row r="164" spans="1:38" ht="12.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3"/>
      <c r="AD164" s="52"/>
      <c r="AE164" s="52"/>
      <c r="AF164" s="52"/>
      <c r="AG164" s="52"/>
      <c r="AH164" s="52"/>
      <c r="AI164" s="52"/>
      <c r="AJ164" s="52"/>
      <c r="AK164" s="52"/>
      <c r="AL164" s="52"/>
    </row>
    <row r="165" spans="1:38" ht="12.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3"/>
      <c r="AD165" s="52"/>
      <c r="AE165" s="52"/>
      <c r="AF165" s="52"/>
      <c r="AG165" s="52"/>
      <c r="AH165" s="52"/>
      <c r="AI165" s="52"/>
      <c r="AJ165" s="52"/>
      <c r="AK165" s="52"/>
      <c r="AL165" s="52"/>
    </row>
    <row r="166" spans="1:38" ht="12.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3"/>
      <c r="AD166" s="52"/>
      <c r="AE166" s="52"/>
      <c r="AF166" s="52"/>
      <c r="AG166" s="52"/>
      <c r="AH166" s="52"/>
      <c r="AI166" s="52"/>
      <c r="AJ166" s="52"/>
      <c r="AK166" s="52"/>
      <c r="AL166" s="52"/>
    </row>
    <row r="167" spans="1:38" ht="12.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3"/>
      <c r="AD167" s="52"/>
      <c r="AE167" s="52"/>
      <c r="AF167" s="52"/>
      <c r="AG167" s="52"/>
      <c r="AH167" s="52"/>
      <c r="AI167" s="52"/>
      <c r="AJ167" s="52"/>
      <c r="AK167" s="52"/>
      <c r="AL167" s="52"/>
    </row>
    <row r="168" spans="1:38" ht="12.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3"/>
      <c r="AD168" s="52"/>
      <c r="AE168" s="52"/>
      <c r="AF168" s="52"/>
      <c r="AG168" s="52"/>
      <c r="AH168" s="52"/>
      <c r="AI168" s="52"/>
      <c r="AJ168" s="52"/>
      <c r="AK168" s="52"/>
      <c r="AL168" s="52"/>
    </row>
    <row r="169" spans="1:38" ht="12.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3"/>
      <c r="AD169" s="52"/>
      <c r="AE169" s="52"/>
      <c r="AF169" s="52"/>
      <c r="AG169" s="52"/>
      <c r="AH169" s="52"/>
      <c r="AI169" s="52"/>
      <c r="AJ169" s="52"/>
      <c r="AK169" s="52"/>
      <c r="AL169" s="52"/>
    </row>
    <row r="170" spans="1:38" ht="12.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3"/>
      <c r="AD170" s="52"/>
      <c r="AE170" s="52"/>
      <c r="AF170" s="52"/>
      <c r="AG170" s="52"/>
      <c r="AH170" s="52"/>
      <c r="AI170" s="52"/>
      <c r="AJ170" s="52"/>
      <c r="AK170" s="52"/>
      <c r="AL170" s="52"/>
    </row>
    <row r="171" spans="1:38" ht="12.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3"/>
      <c r="AD171" s="52"/>
      <c r="AE171" s="52"/>
      <c r="AF171" s="52"/>
      <c r="AG171" s="52"/>
      <c r="AH171" s="52"/>
      <c r="AI171" s="52"/>
      <c r="AJ171" s="52"/>
      <c r="AK171" s="52"/>
      <c r="AL171" s="52"/>
    </row>
    <row r="172" spans="1:38" ht="12.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3"/>
      <c r="AD172" s="52"/>
      <c r="AE172" s="52"/>
      <c r="AF172" s="52"/>
      <c r="AG172" s="52"/>
      <c r="AH172" s="52"/>
      <c r="AI172" s="52"/>
      <c r="AJ172" s="52"/>
      <c r="AK172" s="52"/>
      <c r="AL172" s="52"/>
    </row>
    <row r="173" spans="1:38" ht="12.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3"/>
      <c r="AD173" s="52"/>
      <c r="AE173" s="52"/>
      <c r="AF173" s="52"/>
      <c r="AG173" s="52"/>
      <c r="AH173" s="52"/>
      <c r="AI173" s="52"/>
      <c r="AJ173" s="52"/>
      <c r="AK173" s="52"/>
      <c r="AL173" s="52"/>
    </row>
    <row r="174" spans="1:38" ht="12.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3"/>
      <c r="AD174" s="52"/>
      <c r="AE174" s="52"/>
      <c r="AF174" s="52"/>
      <c r="AG174" s="52"/>
      <c r="AH174" s="52"/>
      <c r="AI174" s="52"/>
      <c r="AJ174" s="52"/>
      <c r="AK174" s="52"/>
      <c r="AL174" s="52"/>
    </row>
    <row r="175" spans="1:38" ht="12.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3"/>
      <c r="AD175" s="52"/>
      <c r="AE175" s="52"/>
      <c r="AF175" s="52"/>
      <c r="AG175" s="52"/>
      <c r="AH175" s="52"/>
      <c r="AI175" s="52"/>
      <c r="AJ175" s="52"/>
      <c r="AK175" s="52"/>
      <c r="AL175" s="52"/>
    </row>
    <row r="176" spans="1:38" ht="12.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3"/>
      <c r="AD176" s="52"/>
      <c r="AE176" s="52"/>
      <c r="AF176" s="52"/>
      <c r="AG176" s="52"/>
      <c r="AH176" s="52"/>
      <c r="AI176" s="52"/>
      <c r="AJ176" s="52"/>
      <c r="AK176" s="52"/>
      <c r="AL176" s="52"/>
    </row>
    <row r="177" spans="1:38" ht="12.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3"/>
      <c r="AD177" s="52"/>
      <c r="AE177" s="52"/>
      <c r="AF177" s="52"/>
      <c r="AG177" s="52"/>
      <c r="AH177" s="52"/>
      <c r="AI177" s="52"/>
      <c r="AJ177" s="52"/>
      <c r="AK177" s="52"/>
      <c r="AL177" s="52"/>
    </row>
    <row r="178" spans="1:38" ht="12.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3"/>
      <c r="AD178" s="52"/>
      <c r="AE178" s="52"/>
      <c r="AF178" s="52"/>
      <c r="AG178" s="52"/>
      <c r="AH178" s="52"/>
      <c r="AI178" s="52"/>
      <c r="AJ178" s="52"/>
      <c r="AK178" s="52"/>
      <c r="AL178" s="52"/>
    </row>
    <row r="179" spans="1:38" ht="12.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3"/>
      <c r="AD179" s="52"/>
      <c r="AE179" s="52"/>
      <c r="AF179" s="52"/>
      <c r="AG179" s="52"/>
      <c r="AH179" s="52"/>
      <c r="AI179" s="52"/>
      <c r="AJ179" s="52"/>
      <c r="AK179" s="52"/>
      <c r="AL179" s="52"/>
    </row>
    <row r="180" spans="1:38" ht="12.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3"/>
      <c r="AD180" s="52"/>
      <c r="AE180" s="52"/>
      <c r="AF180" s="52"/>
      <c r="AG180" s="52"/>
      <c r="AH180" s="52"/>
      <c r="AI180" s="52"/>
      <c r="AJ180" s="52"/>
      <c r="AK180" s="52"/>
      <c r="AL180" s="52"/>
    </row>
    <row r="181" spans="1:38" ht="12.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3"/>
      <c r="AD181" s="52"/>
      <c r="AE181" s="52"/>
      <c r="AF181" s="52"/>
      <c r="AG181" s="52"/>
      <c r="AH181" s="52"/>
      <c r="AI181" s="52"/>
      <c r="AJ181" s="52"/>
      <c r="AK181" s="52"/>
      <c r="AL181" s="52"/>
    </row>
    <row r="182" spans="1:38" ht="12.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3"/>
      <c r="AD182" s="52"/>
      <c r="AE182" s="52"/>
      <c r="AF182" s="52"/>
      <c r="AG182" s="52"/>
      <c r="AH182" s="52"/>
      <c r="AI182" s="52"/>
      <c r="AJ182" s="52"/>
      <c r="AK182" s="52"/>
      <c r="AL182" s="52"/>
    </row>
    <row r="183" spans="1:38" ht="12.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3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spans="1:38" ht="12.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3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spans="1:38" ht="12.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3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spans="1:38" ht="12.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3"/>
      <c r="AD186" s="52"/>
      <c r="AE186" s="52"/>
      <c r="AF186" s="52"/>
      <c r="AG186" s="52"/>
      <c r="AH186" s="52"/>
      <c r="AI186" s="52"/>
      <c r="AJ186" s="52"/>
      <c r="AK186" s="52"/>
      <c r="AL186" s="52"/>
    </row>
    <row r="187" spans="1:38" ht="12.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3"/>
      <c r="AD187" s="52"/>
      <c r="AE187" s="52"/>
      <c r="AF187" s="52"/>
      <c r="AG187" s="52"/>
      <c r="AH187" s="52"/>
      <c r="AI187" s="52"/>
      <c r="AJ187" s="52"/>
      <c r="AK187" s="52"/>
      <c r="AL187" s="52"/>
    </row>
    <row r="188" spans="1:38" ht="12.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3"/>
      <c r="AD188" s="52"/>
      <c r="AE188" s="52"/>
      <c r="AF188" s="52"/>
      <c r="AG188" s="52"/>
      <c r="AH188" s="52"/>
      <c r="AI188" s="52"/>
      <c r="AJ188" s="52"/>
      <c r="AK188" s="52"/>
      <c r="AL188" s="52"/>
    </row>
    <row r="189" spans="1:38" ht="12.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3"/>
      <c r="AD189" s="52"/>
      <c r="AE189" s="52"/>
      <c r="AF189" s="52"/>
      <c r="AG189" s="52"/>
      <c r="AH189" s="52"/>
      <c r="AI189" s="52"/>
      <c r="AJ189" s="52"/>
      <c r="AK189" s="52"/>
      <c r="AL189" s="52"/>
    </row>
    <row r="190" spans="1:38" ht="12.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3"/>
      <c r="AD190" s="52"/>
      <c r="AE190" s="52"/>
      <c r="AF190" s="52"/>
      <c r="AG190" s="52"/>
      <c r="AH190" s="52"/>
      <c r="AI190" s="52"/>
      <c r="AJ190" s="52"/>
      <c r="AK190" s="52"/>
      <c r="AL190" s="52"/>
    </row>
    <row r="191" spans="1:38" ht="12.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3"/>
      <c r="AD191" s="52"/>
      <c r="AE191" s="52"/>
      <c r="AF191" s="52"/>
      <c r="AG191" s="52"/>
      <c r="AH191" s="52"/>
      <c r="AI191" s="52"/>
      <c r="AJ191" s="52"/>
      <c r="AK191" s="52"/>
      <c r="AL191" s="52"/>
    </row>
    <row r="192" spans="1:38" ht="12.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3"/>
      <c r="AD192" s="52"/>
      <c r="AE192" s="52"/>
      <c r="AF192" s="52"/>
      <c r="AG192" s="52"/>
      <c r="AH192" s="52"/>
      <c r="AI192" s="52"/>
      <c r="AJ192" s="52"/>
      <c r="AK192" s="52"/>
      <c r="AL192" s="52"/>
    </row>
    <row r="193" spans="1:38" ht="12.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3"/>
      <c r="AD193" s="52"/>
      <c r="AE193" s="52"/>
      <c r="AF193" s="52"/>
      <c r="AG193" s="52"/>
      <c r="AH193" s="52"/>
      <c r="AI193" s="52"/>
      <c r="AJ193" s="52"/>
      <c r="AK193" s="52"/>
      <c r="AL193" s="52"/>
    </row>
    <row r="194" spans="1:38" ht="12.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3"/>
      <c r="AD194" s="52"/>
      <c r="AE194" s="52"/>
      <c r="AF194" s="52"/>
      <c r="AG194" s="52"/>
      <c r="AH194" s="52"/>
      <c r="AI194" s="52"/>
      <c r="AJ194" s="52"/>
      <c r="AK194" s="52"/>
      <c r="AL194" s="52"/>
    </row>
    <row r="195" spans="1:38" ht="12.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3"/>
      <c r="AD195" s="52"/>
      <c r="AE195" s="52"/>
      <c r="AF195" s="52"/>
      <c r="AG195" s="52"/>
      <c r="AH195" s="52"/>
      <c r="AI195" s="52"/>
      <c r="AJ195" s="52"/>
      <c r="AK195" s="52"/>
      <c r="AL195" s="52"/>
    </row>
    <row r="196" spans="1:38" ht="12.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3"/>
      <c r="AD196" s="52"/>
      <c r="AE196" s="52"/>
      <c r="AF196" s="52"/>
      <c r="AG196" s="52"/>
      <c r="AH196" s="52"/>
      <c r="AI196" s="52"/>
      <c r="AJ196" s="52"/>
      <c r="AK196" s="52"/>
      <c r="AL196" s="52"/>
    </row>
    <row r="197" spans="1:38" ht="12.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3"/>
      <c r="AD197" s="52"/>
      <c r="AE197" s="52"/>
      <c r="AF197" s="52"/>
      <c r="AG197" s="52"/>
      <c r="AH197" s="52"/>
      <c r="AI197" s="52"/>
      <c r="AJ197" s="52"/>
      <c r="AK197" s="52"/>
      <c r="AL197" s="52"/>
    </row>
    <row r="198" spans="1:38" ht="12.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3"/>
      <c r="AD198" s="52"/>
      <c r="AE198" s="52"/>
      <c r="AF198" s="52"/>
      <c r="AG198" s="52"/>
      <c r="AH198" s="52"/>
      <c r="AI198" s="52"/>
      <c r="AJ198" s="52"/>
      <c r="AK198" s="52"/>
      <c r="AL198" s="52"/>
    </row>
    <row r="199" spans="1:38" ht="12.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3"/>
      <c r="AD199" s="52"/>
      <c r="AE199" s="52"/>
      <c r="AF199" s="52"/>
      <c r="AG199" s="52"/>
      <c r="AH199" s="52"/>
      <c r="AI199" s="52"/>
      <c r="AJ199" s="52"/>
      <c r="AK199" s="52"/>
      <c r="AL199" s="52"/>
    </row>
    <row r="200" spans="1:38" ht="12.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3"/>
      <c r="AD200" s="52"/>
      <c r="AE200" s="52"/>
      <c r="AF200" s="52"/>
      <c r="AG200" s="52"/>
      <c r="AH200" s="52"/>
      <c r="AI200" s="52"/>
      <c r="AJ200" s="52"/>
      <c r="AK200" s="52"/>
      <c r="AL200" s="52"/>
    </row>
    <row r="201" spans="1:38" ht="12.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3"/>
      <c r="AD201" s="52"/>
      <c r="AE201" s="52"/>
      <c r="AF201" s="52"/>
      <c r="AG201" s="52"/>
      <c r="AH201" s="52"/>
      <c r="AI201" s="52"/>
      <c r="AJ201" s="52"/>
      <c r="AK201" s="52"/>
      <c r="AL201" s="52"/>
    </row>
    <row r="202" spans="1:38" ht="12.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3"/>
      <c r="AD202" s="52"/>
      <c r="AE202" s="52"/>
      <c r="AF202" s="52"/>
      <c r="AG202" s="52"/>
      <c r="AH202" s="52"/>
      <c r="AI202" s="52"/>
      <c r="AJ202" s="52"/>
      <c r="AK202" s="52"/>
      <c r="AL202" s="52"/>
    </row>
    <row r="203" spans="1:38" ht="12.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3"/>
      <c r="AD203" s="52"/>
      <c r="AE203" s="52"/>
      <c r="AF203" s="52"/>
      <c r="AG203" s="52"/>
      <c r="AH203" s="52"/>
      <c r="AI203" s="52"/>
      <c r="AJ203" s="52"/>
      <c r="AK203" s="52"/>
      <c r="AL203" s="52"/>
    </row>
    <row r="204" spans="1:38" ht="12.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3"/>
      <c r="AD204" s="52"/>
      <c r="AE204" s="52"/>
      <c r="AF204" s="52"/>
      <c r="AG204" s="52"/>
      <c r="AH204" s="52"/>
      <c r="AI204" s="52"/>
      <c r="AJ204" s="52"/>
      <c r="AK204" s="52"/>
      <c r="AL204" s="52"/>
    </row>
    <row r="205" spans="1:38" ht="12.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3"/>
      <c r="AD205" s="52"/>
      <c r="AE205" s="52"/>
      <c r="AF205" s="52"/>
      <c r="AG205" s="52"/>
      <c r="AH205" s="52"/>
      <c r="AI205" s="52"/>
      <c r="AJ205" s="52"/>
      <c r="AK205" s="52"/>
      <c r="AL205" s="52"/>
    </row>
    <row r="206" spans="1:38" ht="12.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3"/>
      <c r="AD206" s="52"/>
      <c r="AE206" s="52"/>
      <c r="AF206" s="52"/>
      <c r="AG206" s="52"/>
      <c r="AH206" s="52"/>
      <c r="AI206" s="52"/>
      <c r="AJ206" s="52"/>
      <c r="AK206" s="52"/>
      <c r="AL206" s="52"/>
    </row>
    <row r="207" spans="1:38" ht="12.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3"/>
      <c r="AD207" s="52"/>
      <c r="AE207" s="52"/>
      <c r="AF207" s="52"/>
      <c r="AG207" s="52"/>
      <c r="AH207" s="52"/>
      <c r="AI207" s="52"/>
      <c r="AJ207" s="52"/>
      <c r="AK207" s="52"/>
      <c r="AL207" s="52"/>
    </row>
    <row r="208" spans="1:38" ht="12.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3"/>
      <c r="AD208" s="52"/>
      <c r="AE208" s="52"/>
      <c r="AF208" s="52"/>
      <c r="AG208" s="52"/>
      <c r="AH208" s="52"/>
      <c r="AI208" s="52"/>
      <c r="AJ208" s="52"/>
      <c r="AK208" s="52"/>
      <c r="AL208" s="52"/>
    </row>
    <row r="209" spans="1:38" ht="12.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3"/>
      <c r="AD209" s="52"/>
      <c r="AE209" s="52"/>
      <c r="AF209" s="52"/>
      <c r="AG209" s="52"/>
      <c r="AH209" s="52"/>
      <c r="AI209" s="52"/>
      <c r="AJ209" s="52"/>
      <c r="AK209" s="52"/>
      <c r="AL209" s="52"/>
    </row>
    <row r="210" spans="1:38" ht="12.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3"/>
      <c r="AD210" s="52"/>
      <c r="AE210" s="52"/>
      <c r="AF210" s="52"/>
      <c r="AG210" s="52"/>
      <c r="AH210" s="52"/>
      <c r="AI210" s="52"/>
      <c r="AJ210" s="52"/>
      <c r="AK210" s="52"/>
      <c r="AL210" s="52"/>
    </row>
    <row r="211" spans="1:38" ht="12.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3"/>
      <c r="AD211" s="52"/>
      <c r="AE211" s="52"/>
      <c r="AF211" s="52"/>
      <c r="AG211" s="52"/>
      <c r="AH211" s="52"/>
      <c r="AI211" s="52"/>
      <c r="AJ211" s="52"/>
      <c r="AK211" s="52"/>
      <c r="AL211" s="52"/>
    </row>
    <row r="212" spans="1:38" ht="12.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3"/>
      <c r="AD212" s="52"/>
      <c r="AE212" s="52"/>
      <c r="AF212" s="52"/>
      <c r="AG212" s="52"/>
      <c r="AH212" s="52"/>
      <c r="AI212" s="52"/>
      <c r="AJ212" s="52"/>
      <c r="AK212" s="52"/>
      <c r="AL212" s="52"/>
    </row>
    <row r="213" spans="1:38" ht="12.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3"/>
      <c r="AD213" s="52"/>
      <c r="AE213" s="52"/>
      <c r="AF213" s="52"/>
      <c r="AG213" s="52"/>
      <c r="AH213" s="52"/>
      <c r="AI213" s="52"/>
      <c r="AJ213" s="52"/>
      <c r="AK213" s="52"/>
      <c r="AL213" s="52"/>
    </row>
    <row r="214" spans="1:38" ht="12.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3"/>
      <c r="AD214" s="52"/>
      <c r="AE214" s="52"/>
      <c r="AF214" s="52"/>
      <c r="AG214" s="52"/>
      <c r="AH214" s="52"/>
      <c r="AI214" s="52"/>
      <c r="AJ214" s="52"/>
      <c r="AK214" s="52"/>
      <c r="AL214" s="52"/>
    </row>
    <row r="215" spans="1:38" ht="12.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3"/>
      <c r="AD215" s="52"/>
      <c r="AE215" s="52"/>
      <c r="AF215" s="52"/>
      <c r="AG215" s="52"/>
      <c r="AH215" s="52"/>
      <c r="AI215" s="52"/>
      <c r="AJ215" s="52"/>
      <c r="AK215" s="52"/>
      <c r="AL215" s="52"/>
    </row>
    <row r="216" spans="1:38" ht="12.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3"/>
      <c r="AD216" s="52"/>
      <c r="AE216" s="52"/>
      <c r="AF216" s="52"/>
      <c r="AG216" s="52"/>
      <c r="AH216" s="52"/>
      <c r="AI216" s="52"/>
      <c r="AJ216" s="52"/>
      <c r="AK216" s="52"/>
      <c r="AL216" s="52"/>
    </row>
    <row r="217" spans="1:38" ht="12.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3"/>
      <c r="AD217" s="52"/>
      <c r="AE217" s="52"/>
      <c r="AF217" s="52"/>
      <c r="AG217" s="52"/>
      <c r="AH217" s="52"/>
      <c r="AI217" s="52"/>
      <c r="AJ217" s="52"/>
      <c r="AK217" s="52"/>
      <c r="AL217" s="52"/>
    </row>
    <row r="218" spans="1:38" ht="12.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3"/>
      <c r="AD218" s="52"/>
      <c r="AE218" s="52"/>
      <c r="AF218" s="52"/>
      <c r="AG218" s="52"/>
      <c r="AH218" s="52"/>
      <c r="AI218" s="52"/>
      <c r="AJ218" s="52"/>
      <c r="AK218" s="52"/>
      <c r="AL218" s="52"/>
    </row>
    <row r="219" spans="1:38" ht="12.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3"/>
      <c r="AD219" s="52"/>
      <c r="AE219" s="52"/>
      <c r="AF219" s="52"/>
      <c r="AG219" s="52"/>
      <c r="AH219" s="52"/>
      <c r="AI219" s="52"/>
      <c r="AJ219" s="52"/>
      <c r="AK219" s="52"/>
      <c r="AL219" s="52"/>
    </row>
    <row r="220" spans="1:38" ht="12.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3"/>
      <c r="AD220" s="52"/>
      <c r="AE220" s="52"/>
      <c r="AF220" s="52"/>
      <c r="AG220" s="52"/>
      <c r="AH220" s="52"/>
      <c r="AI220" s="52"/>
      <c r="AJ220" s="52"/>
      <c r="AK220" s="52"/>
      <c r="AL220" s="52"/>
    </row>
    <row r="221" spans="1:38" ht="12.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3"/>
      <c r="AD221" s="52"/>
      <c r="AE221" s="52"/>
      <c r="AF221" s="52"/>
      <c r="AG221" s="52"/>
      <c r="AH221" s="52"/>
      <c r="AI221" s="52"/>
      <c r="AJ221" s="52"/>
      <c r="AK221" s="52"/>
      <c r="AL221" s="52"/>
    </row>
    <row r="222" spans="1:38" ht="12.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3"/>
      <c r="AD222" s="52"/>
      <c r="AE222" s="52"/>
      <c r="AF222" s="52"/>
      <c r="AG222" s="52"/>
      <c r="AH222" s="52"/>
      <c r="AI222" s="52"/>
      <c r="AJ222" s="52"/>
      <c r="AK222" s="52"/>
      <c r="AL222" s="52"/>
    </row>
    <row r="223" spans="1:38" ht="12.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3"/>
      <c r="AD223" s="52"/>
      <c r="AE223" s="52"/>
      <c r="AF223" s="52"/>
      <c r="AG223" s="52"/>
      <c r="AH223" s="52"/>
      <c r="AI223" s="52"/>
      <c r="AJ223" s="52"/>
      <c r="AK223" s="52"/>
      <c r="AL223" s="52"/>
    </row>
    <row r="224" spans="1:38" ht="12.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3"/>
      <c r="AD224" s="52"/>
      <c r="AE224" s="52"/>
      <c r="AF224" s="52"/>
      <c r="AG224" s="52"/>
      <c r="AH224" s="52"/>
      <c r="AI224" s="52"/>
      <c r="AJ224" s="52"/>
      <c r="AK224" s="52"/>
      <c r="AL224" s="52"/>
    </row>
    <row r="225" spans="1:38" ht="12.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3"/>
      <c r="AD225" s="52"/>
      <c r="AE225" s="52"/>
      <c r="AF225" s="52"/>
      <c r="AG225" s="52"/>
      <c r="AH225" s="52"/>
      <c r="AI225" s="52"/>
      <c r="AJ225" s="52"/>
      <c r="AK225" s="52"/>
      <c r="AL225" s="52"/>
    </row>
    <row r="226" spans="1:38" ht="12.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3"/>
      <c r="AD226" s="52"/>
      <c r="AE226" s="52"/>
      <c r="AF226" s="52"/>
      <c r="AG226" s="52"/>
      <c r="AH226" s="52"/>
      <c r="AI226" s="52"/>
      <c r="AJ226" s="52"/>
      <c r="AK226" s="52"/>
      <c r="AL226" s="52"/>
    </row>
    <row r="227" spans="1:38" ht="12.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3"/>
      <c r="AD227" s="52"/>
      <c r="AE227" s="52"/>
      <c r="AF227" s="52"/>
      <c r="AG227" s="52"/>
      <c r="AH227" s="52"/>
      <c r="AI227" s="52"/>
      <c r="AJ227" s="52"/>
      <c r="AK227" s="52"/>
      <c r="AL227" s="52"/>
    </row>
    <row r="228" spans="1:38" ht="12.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3"/>
      <c r="AD228" s="52"/>
      <c r="AE228" s="52"/>
      <c r="AF228" s="52"/>
      <c r="AG228" s="52"/>
      <c r="AH228" s="52"/>
      <c r="AI228" s="52"/>
      <c r="AJ228" s="52"/>
      <c r="AK228" s="52"/>
      <c r="AL228" s="52"/>
    </row>
    <row r="229" spans="1:38" ht="12.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3"/>
      <c r="AD229" s="52"/>
      <c r="AE229" s="52"/>
      <c r="AF229" s="52"/>
      <c r="AG229" s="52"/>
      <c r="AH229" s="52"/>
      <c r="AI229" s="52"/>
      <c r="AJ229" s="52"/>
      <c r="AK229" s="52"/>
      <c r="AL229" s="52"/>
    </row>
    <row r="230" spans="1:38" ht="12.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3"/>
      <c r="AD230" s="52"/>
      <c r="AE230" s="52"/>
      <c r="AF230" s="52"/>
      <c r="AG230" s="52"/>
      <c r="AH230" s="52"/>
      <c r="AI230" s="52"/>
      <c r="AJ230" s="52"/>
      <c r="AK230" s="52"/>
      <c r="AL230" s="52"/>
    </row>
    <row r="231" spans="1:38" ht="12.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3"/>
      <c r="AD231" s="52"/>
      <c r="AE231" s="52"/>
      <c r="AF231" s="52"/>
      <c r="AG231" s="52"/>
      <c r="AH231" s="52"/>
      <c r="AI231" s="52"/>
      <c r="AJ231" s="52"/>
      <c r="AK231" s="52"/>
      <c r="AL231" s="52"/>
    </row>
    <row r="232" spans="1:38" ht="12.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3"/>
      <c r="AD232" s="52"/>
      <c r="AE232" s="52"/>
      <c r="AF232" s="52"/>
      <c r="AG232" s="52"/>
      <c r="AH232" s="52"/>
      <c r="AI232" s="52"/>
      <c r="AJ232" s="52"/>
      <c r="AK232" s="52"/>
      <c r="AL232" s="52"/>
    </row>
    <row r="233" spans="1:38" ht="12.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3"/>
      <c r="AD233" s="52"/>
      <c r="AE233" s="52"/>
      <c r="AF233" s="52"/>
      <c r="AG233" s="52"/>
      <c r="AH233" s="52"/>
      <c r="AI233" s="52"/>
      <c r="AJ233" s="52"/>
      <c r="AK233" s="52"/>
      <c r="AL233" s="52"/>
    </row>
    <row r="234" spans="1:38" ht="12.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3"/>
      <c r="AD234" s="52"/>
      <c r="AE234" s="52"/>
      <c r="AF234" s="52"/>
      <c r="AG234" s="52"/>
      <c r="AH234" s="52"/>
      <c r="AI234" s="52"/>
      <c r="AJ234" s="52"/>
      <c r="AK234" s="52"/>
      <c r="AL234" s="52"/>
    </row>
    <row r="235" spans="1:38" ht="12.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3"/>
      <c r="AD235" s="52"/>
      <c r="AE235" s="52"/>
      <c r="AF235" s="52"/>
      <c r="AG235" s="52"/>
      <c r="AH235" s="52"/>
      <c r="AI235" s="52"/>
      <c r="AJ235" s="52"/>
      <c r="AK235" s="52"/>
      <c r="AL235" s="52"/>
    </row>
    <row r="236" spans="1:38" ht="12.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3"/>
      <c r="AD236" s="52"/>
      <c r="AE236" s="52"/>
      <c r="AF236" s="52"/>
      <c r="AG236" s="52"/>
      <c r="AH236" s="52"/>
      <c r="AI236" s="52"/>
      <c r="AJ236" s="52"/>
      <c r="AK236" s="52"/>
      <c r="AL236" s="52"/>
    </row>
    <row r="237" spans="1:38" ht="12.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3"/>
      <c r="AD237" s="52"/>
      <c r="AE237" s="52"/>
      <c r="AF237" s="52"/>
      <c r="AG237" s="52"/>
      <c r="AH237" s="52"/>
      <c r="AI237" s="52"/>
      <c r="AJ237" s="52"/>
      <c r="AK237" s="52"/>
      <c r="AL237" s="52"/>
    </row>
    <row r="238" spans="1:38" ht="12.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3"/>
      <c r="AD238" s="52"/>
      <c r="AE238" s="52"/>
      <c r="AF238" s="52"/>
      <c r="AG238" s="52"/>
      <c r="AH238" s="52"/>
      <c r="AI238" s="52"/>
      <c r="AJ238" s="52"/>
      <c r="AK238" s="52"/>
      <c r="AL238" s="52"/>
    </row>
    <row r="239" spans="1:38" ht="12.5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3"/>
      <c r="AD239" s="52"/>
      <c r="AE239" s="52"/>
      <c r="AF239" s="52"/>
      <c r="AG239" s="52"/>
      <c r="AH239" s="52"/>
      <c r="AI239" s="52"/>
      <c r="AJ239" s="52"/>
      <c r="AK239" s="52"/>
      <c r="AL239" s="52"/>
    </row>
    <row r="240" spans="1:38" ht="12.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3"/>
      <c r="AD240" s="52"/>
      <c r="AE240" s="52"/>
      <c r="AF240" s="52"/>
      <c r="AG240" s="52"/>
      <c r="AH240" s="52"/>
      <c r="AI240" s="52"/>
      <c r="AJ240" s="52"/>
      <c r="AK240" s="52"/>
      <c r="AL240" s="52"/>
    </row>
    <row r="241" spans="1:38" ht="12.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3"/>
      <c r="AD241" s="52"/>
      <c r="AE241" s="52"/>
      <c r="AF241" s="52"/>
      <c r="AG241" s="52"/>
      <c r="AH241" s="52"/>
      <c r="AI241" s="52"/>
      <c r="AJ241" s="52"/>
      <c r="AK241" s="52"/>
      <c r="AL241" s="52"/>
    </row>
    <row r="242" spans="1:38" ht="12.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3"/>
      <c r="AD242" s="52"/>
      <c r="AE242" s="52"/>
      <c r="AF242" s="52"/>
      <c r="AG242" s="52"/>
      <c r="AH242" s="52"/>
      <c r="AI242" s="52"/>
      <c r="AJ242" s="52"/>
      <c r="AK242" s="52"/>
      <c r="AL242" s="52"/>
    </row>
    <row r="243" spans="1:38" ht="12.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3"/>
      <c r="AD243" s="52"/>
      <c r="AE243" s="52"/>
      <c r="AF243" s="52"/>
      <c r="AG243" s="52"/>
      <c r="AH243" s="52"/>
      <c r="AI243" s="52"/>
      <c r="AJ243" s="52"/>
      <c r="AK243" s="52"/>
      <c r="AL243" s="52"/>
    </row>
    <row r="244" spans="1:38" ht="12.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3"/>
      <c r="AD244" s="52"/>
      <c r="AE244" s="52"/>
      <c r="AF244" s="52"/>
      <c r="AG244" s="52"/>
      <c r="AH244" s="52"/>
      <c r="AI244" s="52"/>
      <c r="AJ244" s="52"/>
      <c r="AK244" s="52"/>
      <c r="AL244" s="52"/>
    </row>
    <row r="245" spans="1:38" ht="12.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3"/>
      <c r="AD245" s="52"/>
      <c r="AE245" s="52"/>
      <c r="AF245" s="52"/>
      <c r="AG245" s="52"/>
      <c r="AH245" s="52"/>
      <c r="AI245" s="52"/>
      <c r="AJ245" s="52"/>
      <c r="AK245" s="52"/>
      <c r="AL245" s="52"/>
    </row>
    <row r="246" spans="1:38" ht="12.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3"/>
      <c r="AD246" s="52"/>
      <c r="AE246" s="52"/>
      <c r="AF246" s="52"/>
      <c r="AG246" s="52"/>
      <c r="AH246" s="52"/>
      <c r="AI246" s="52"/>
      <c r="AJ246" s="52"/>
      <c r="AK246" s="52"/>
      <c r="AL246" s="52"/>
    </row>
    <row r="247" spans="1:38" ht="12.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3"/>
      <c r="AD247" s="52"/>
      <c r="AE247" s="52"/>
      <c r="AF247" s="52"/>
      <c r="AG247" s="52"/>
      <c r="AH247" s="52"/>
      <c r="AI247" s="52"/>
      <c r="AJ247" s="52"/>
      <c r="AK247" s="52"/>
      <c r="AL247" s="52"/>
    </row>
    <row r="248" spans="1:38" ht="12.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3"/>
      <c r="AD248" s="52"/>
      <c r="AE248" s="52"/>
      <c r="AF248" s="52"/>
      <c r="AG248" s="52"/>
      <c r="AH248" s="52"/>
      <c r="AI248" s="52"/>
      <c r="AJ248" s="52"/>
      <c r="AK248" s="52"/>
      <c r="AL248" s="52"/>
    </row>
    <row r="249" spans="1:38" ht="12.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3"/>
      <c r="AD249" s="52"/>
      <c r="AE249" s="52"/>
      <c r="AF249" s="52"/>
      <c r="AG249" s="52"/>
      <c r="AH249" s="52"/>
      <c r="AI249" s="52"/>
      <c r="AJ249" s="52"/>
      <c r="AK249" s="52"/>
      <c r="AL249" s="52"/>
    </row>
    <row r="250" spans="1:38" ht="12.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3"/>
      <c r="AD250" s="52"/>
      <c r="AE250" s="52"/>
      <c r="AF250" s="52"/>
      <c r="AG250" s="52"/>
      <c r="AH250" s="52"/>
      <c r="AI250" s="52"/>
      <c r="AJ250" s="52"/>
      <c r="AK250" s="52"/>
      <c r="AL250" s="52"/>
    </row>
    <row r="251" spans="1:38" ht="12.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3"/>
      <c r="AD251" s="52"/>
      <c r="AE251" s="52"/>
      <c r="AF251" s="52"/>
      <c r="AG251" s="52"/>
      <c r="AH251" s="52"/>
      <c r="AI251" s="52"/>
      <c r="AJ251" s="52"/>
      <c r="AK251" s="52"/>
      <c r="AL251" s="52"/>
    </row>
    <row r="252" spans="1:38" ht="12.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3"/>
      <c r="AD252" s="52"/>
      <c r="AE252" s="52"/>
      <c r="AF252" s="52"/>
      <c r="AG252" s="52"/>
      <c r="AH252" s="52"/>
      <c r="AI252" s="52"/>
      <c r="AJ252" s="52"/>
      <c r="AK252" s="52"/>
      <c r="AL252" s="52"/>
    </row>
    <row r="253" spans="1:38" ht="12.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3"/>
      <c r="AD253" s="52"/>
      <c r="AE253" s="52"/>
      <c r="AF253" s="52"/>
      <c r="AG253" s="52"/>
      <c r="AH253" s="52"/>
      <c r="AI253" s="52"/>
      <c r="AJ253" s="52"/>
      <c r="AK253" s="52"/>
      <c r="AL253" s="52"/>
    </row>
    <row r="254" spans="1:38" ht="12.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3"/>
      <c r="AD254" s="52"/>
      <c r="AE254" s="52"/>
      <c r="AF254" s="52"/>
      <c r="AG254" s="52"/>
      <c r="AH254" s="52"/>
      <c r="AI254" s="52"/>
      <c r="AJ254" s="52"/>
      <c r="AK254" s="52"/>
      <c r="AL254" s="52"/>
    </row>
    <row r="255" spans="1:38" ht="12.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3"/>
      <c r="AD255" s="52"/>
      <c r="AE255" s="52"/>
      <c r="AF255" s="52"/>
      <c r="AG255" s="52"/>
      <c r="AH255" s="52"/>
      <c r="AI255" s="52"/>
      <c r="AJ255" s="52"/>
      <c r="AK255" s="52"/>
      <c r="AL255" s="52"/>
    </row>
    <row r="256" spans="1:38" ht="12.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3"/>
      <c r="AD256" s="52"/>
      <c r="AE256" s="52"/>
      <c r="AF256" s="52"/>
      <c r="AG256" s="52"/>
      <c r="AH256" s="52"/>
      <c r="AI256" s="52"/>
      <c r="AJ256" s="52"/>
      <c r="AK256" s="52"/>
      <c r="AL256" s="52"/>
    </row>
    <row r="257" spans="1:38" ht="12.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3"/>
      <c r="AD257" s="52"/>
      <c r="AE257" s="52"/>
      <c r="AF257" s="52"/>
      <c r="AG257" s="52"/>
      <c r="AH257" s="52"/>
      <c r="AI257" s="52"/>
      <c r="AJ257" s="52"/>
      <c r="AK257" s="52"/>
      <c r="AL257" s="52"/>
    </row>
    <row r="258" spans="1:38" ht="12.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3"/>
      <c r="AD258" s="52"/>
      <c r="AE258" s="52"/>
      <c r="AF258" s="52"/>
      <c r="AG258" s="52"/>
      <c r="AH258" s="52"/>
      <c r="AI258" s="52"/>
      <c r="AJ258" s="52"/>
      <c r="AK258" s="52"/>
      <c r="AL258" s="52"/>
    </row>
    <row r="259" spans="1:38" ht="12.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3"/>
      <c r="AD259" s="52"/>
      <c r="AE259" s="52"/>
      <c r="AF259" s="52"/>
      <c r="AG259" s="52"/>
      <c r="AH259" s="52"/>
      <c r="AI259" s="52"/>
      <c r="AJ259" s="52"/>
      <c r="AK259" s="52"/>
      <c r="AL259" s="52"/>
    </row>
    <row r="260" spans="1:38" ht="12.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3"/>
      <c r="AD260" s="52"/>
      <c r="AE260" s="52"/>
      <c r="AF260" s="52"/>
      <c r="AG260" s="52"/>
      <c r="AH260" s="52"/>
      <c r="AI260" s="52"/>
      <c r="AJ260" s="52"/>
      <c r="AK260" s="52"/>
      <c r="AL260" s="52"/>
    </row>
    <row r="261" spans="1:38" ht="12.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3"/>
      <c r="AD261" s="52"/>
      <c r="AE261" s="52"/>
      <c r="AF261" s="52"/>
      <c r="AG261" s="52"/>
      <c r="AH261" s="52"/>
      <c r="AI261" s="52"/>
      <c r="AJ261" s="52"/>
      <c r="AK261" s="52"/>
      <c r="AL261" s="52"/>
    </row>
    <row r="262" spans="1:38" ht="12.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3"/>
      <c r="AD262" s="52"/>
      <c r="AE262" s="52"/>
      <c r="AF262" s="52"/>
      <c r="AG262" s="52"/>
      <c r="AH262" s="52"/>
      <c r="AI262" s="52"/>
      <c r="AJ262" s="52"/>
      <c r="AK262" s="52"/>
      <c r="AL262" s="52"/>
    </row>
    <row r="263" spans="1:38" ht="12.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3"/>
      <c r="AD263" s="52"/>
      <c r="AE263" s="52"/>
      <c r="AF263" s="52"/>
      <c r="AG263" s="52"/>
      <c r="AH263" s="52"/>
      <c r="AI263" s="52"/>
      <c r="AJ263" s="52"/>
      <c r="AK263" s="52"/>
      <c r="AL263" s="52"/>
    </row>
    <row r="264" spans="1:38" ht="12.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3"/>
      <c r="AD264" s="52"/>
      <c r="AE264" s="52"/>
      <c r="AF264" s="52"/>
      <c r="AG264" s="52"/>
      <c r="AH264" s="52"/>
      <c r="AI264" s="52"/>
      <c r="AJ264" s="52"/>
      <c r="AK264" s="52"/>
      <c r="AL264" s="52"/>
    </row>
    <row r="265" spans="1:38" ht="12.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3"/>
      <c r="AD265" s="52"/>
      <c r="AE265" s="52"/>
      <c r="AF265" s="52"/>
      <c r="AG265" s="52"/>
      <c r="AH265" s="52"/>
      <c r="AI265" s="52"/>
      <c r="AJ265" s="52"/>
      <c r="AK265" s="52"/>
      <c r="AL265" s="52"/>
    </row>
    <row r="266" spans="1:38" ht="12.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3"/>
      <c r="AD266" s="52"/>
      <c r="AE266" s="52"/>
      <c r="AF266" s="52"/>
      <c r="AG266" s="52"/>
      <c r="AH266" s="52"/>
      <c r="AI266" s="52"/>
      <c r="AJ266" s="52"/>
      <c r="AK266" s="52"/>
      <c r="AL266" s="52"/>
    </row>
    <row r="267" spans="1:38" ht="12.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3"/>
      <c r="AD267" s="52"/>
      <c r="AE267" s="52"/>
      <c r="AF267" s="52"/>
      <c r="AG267" s="52"/>
      <c r="AH267" s="52"/>
      <c r="AI267" s="52"/>
      <c r="AJ267" s="52"/>
      <c r="AK267" s="52"/>
      <c r="AL267" s="52"/>
    </row>
    <row r="268" spans="1:38" ht="12.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3"/>
      <c r="AD268" s="52"/>
      <c r="AE268" s="52"/>
      <c r="AF268" s="52"/>
      <c r="AG268" s="52"/>
      <c r="AH268" s="52"/>
      <c r="AI268" s="52"/>
      <c r="AJ268" s="52"/>
      <c r="AK268" s="52"/>
      <c r="AL268" s="52"/>
    </row>
    <row r="269" spans="1:38" ht="12.5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3"/>
      <c r="AD269" s="52"/>
      <c r="AE269" s="52"/>
      <c r="AF269" s="52"/>
      <c r="AG269" s="52"/>
      <c r="AH269" s="52"/>
      <c r="AI269" s="52"/>
      <c r="AJ269" s="52"/>
      <c r="AK269" s="52"/>
      <c r="AL269" s="52"/>
    </row>
    <row r="270" spans="1:38" ht="12.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3"/>
      <c r="AD270" s="52"/>
      <c r="AE270" s="52"/>
      <c r="AF270" s="52"/>
      <c r="AG270" s="52"/>
      <c r="AH270" s="52"/>
      <c r="AI270" s="52"/>
      <c r="AJ270" s="52"/>
      <c r="AK270" s="52"/>
      <c r="AL270" s="52"/>
    </row>
    <row r="271" spans="1:38" ht="12.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3"/>
      <c r="AD271" s="52"/>
      <c r="AE271" s="52"/>
      <c r="AF271" s="52"/>
      <c r="AG271" s="52"/>
      <c r="AH271" s="52"/>
      <c r="AI271" s="52"/>
      <c r="AJ271" s="52"/>
      <c r="AK271" s="52"/>
      <c r="AL271" s="52"/>
    </row>
    <row r="272" spans="1:38" ht="12.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3"/>
      <c r="AD272" s="52"/>
      <c r="AE272" s="52"/>
      <c r="AF272" s="52"/>
      <c r="AG272" s="52"/>
      <c r="AH272" s="52"/>
      <c r="AI272" s="52"/>
      <c r="AJ272" s="52"/>
      <c r="AK272" s="52"/>
      <c r="AL272" s="52"/>
    </row>
    <row r="273" spans="1:38" ht="12.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3"/>
      <c r="AD273" s="52"/>
      <c r="AE273" s="52"/>
      <c r="AF273" s="52"/>
      <c r="AG273" s="52"/>
      <c r="AH273" s="52"/>
      <c r="AI273" s="52"/>
      <c r="AJ273" s="52"/>
      <c r="AK273" s="52"/>
      <c r="AL273" s="52"/>
    </row>
    <row r="274" spans="1:38" ht="12.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3"/>
      <c r="AD274" s="52"/>
      <c r="AE274" s="52"/>
      <c r="AF274" s="52"/>
      <c r="AG274" s="52"/>
      <c r="AH274" s="52"/>
      <c r="AI274" s="52"/>
      <c r="AJ274" s="52"/>
      <c r="AK274" s="52"/>
      <c r="AL274" s="52"/>
    </row>
    <row r="275" spans="1:38" ht="12.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3"/>
      <c r="AD275" s="52"/>
      <c r="AE275" s="52"/>
      <c r="AF275" s="52"/>
      <c r="AG275" s="52"/>
      <c r="AH275" s="52"/>
      <c r="AI275" s="52"/>
      <c r="AJ275" s="52"/>
      <c r="AK275" s="52"/>
      <c r="AL275" s="52"/>
    </row>
    <row r="276" spans="1:38" ht="12.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3"/>
      <c r="AD276" s="52"/>
      <c r="AE276" s="52"/>
      <c r="AF276" s="52"/>
      <c r="AG276" s="52"/>
      <c r="AH276" s="52"/>
      <c r="AI276" s="52"/>
      <c r="AJ276" s="52"/>
      <c r="AK276" s="52"/>
      <c r="AL276" s="52"/>
    </row>
    <row r="277" spans="1:38" ht="12.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3"/>
      <c r="AD277" s="52"/>
      <c r="AE277" s="52"/>
      <c r="AF277" s="52"/>
      <c r="AG277" s="52"/>
      <c r="AH277" s="52"/>
      <c r="AI277" s="52"/>
      <c r="AJ277" s="52"/>
      <c r="AK277" s="52"/>
      <c r="AL277" s="52"/>
    </row>
    <row r="278" spans="1:38" ht="12.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3"/>
      <c r="AD278" s="52"/>
      <c r="AE278" s="52"/>
      <c r="AF278" s="52"/>
      <c r="AG278" s="52"/>
      <c r="AH278" s="52"/>
      <c r="AI278" s="52"/>
      <c r="AJ278" s="52"/>
      <c r="AK278" s="52"/>
      <c r="AL278" s="52"/>
    </row>
    <row r="279" spans="1:38" ht="12.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3"/>
      <c r="AD279" s="52"/>
      <c r="AE279" s="52"/>
      <c r="AF279" s="52"/>
      <c r="AG279" s="52"/>
      <c r="AH279" s="52"/>
      <c r="AI279" s="52"/>
      <c r="AJ279" s="52"/>
      <c r="AK279" s="52"/>
      <c r="AL279" s="52"/>
    </row>
    <row r="280" spans="1:38" ht="12.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3"/>
      <c r="AD280" s="52"/>
      <c r="AE280" s="52"/>
      <c r="AF280" s="52"/>
      <c r="AG280" s="52"/>
      <c r="AH280" s="52"/>
      <c r="AI280" s="52"/>
      <c r="AJ280" s="52"/>
      <c r="AK280" s="52"/>
      <c r="AL280" s="52"/>
    </row>
    <row r="281" spans="1:38" ht="12.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3"/>
      <c r="AD281" s="52"/>
      <c r="AE281" s="52"/>
      <c r="AF281" s="52"/>
      <c r="AG281" s="52"/>
      <c r="AH281" s="52"/>
      <c r="AI281" s="52"/>
      <c r="AJ281" s="52"/>
      <c r="AK281" s="52"/>
      <c r="AL281" s="52"/>
    </row>
    <row r="282" spans="1:38" ht="12.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3"/>
      <c r="AD282" s="52"/>
      <c r="AE282" s="52"/>
      <c r="AF282" s="52"/>
      <c r="AG282" s="52"/>
      <c r="AH282" s="52"/>
      <c r="AI282" s="52"/>
      <c r="AJ282" s="52"/>
      <c r="AK282" s="52"/>
      <c r="AL282" s="52"/>
    </row>
    <row r="283" spans="1:38" ht="12.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3"/>
      <c r="AD283" s="52"/>
      <c r="AE283" s="52"/>
      <c r="AF283" s="52"/>
      <c r="AG283" s="52"/>
      <c r="AH283" s="52"/>
      <c r="AI283" s="52"/>
      <c r="AJ283" s="52"/>
      <c r="AK283" s="52"/>
      <c r="AL283" s="52"/>
    </row>
    <row r="284" spans="1:38" ht="12.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3"/>
      <c r="AD284" s="52"/>
      <c r="AE284" s="52"/>
      <c r="AF284" s="52"/>
      <c r="AG284" s="52"/>
      <c r="AH284" s="52"/>
      <c r="AI284" s="52"/>
      <c r="AJ284" s="52"/>
      <c r="AK284" s="52"/>
      <c r="AL284" s="52"/>
    </row>
    <row r="285" spans="1:38" ht="12.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3"/>
      <c r="AD285" s="52"/>
      <c r="AE285" s="52"/>
      <c r="AF285" s="52"/>
      <c r="AG285" s="52"/>
      <c r="AH285" s="52"/>
      <c r="AI285" s="52"/>
      <c r="AJ285" s="52"/>
      <c r="AK285" s="52"/>
      <c r="AL285" s="52"/>
    </row>
    <row r="286" spans="1:38" ht="12.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3"/>
      <c r="AD286" s="52"/>
      <c r="AE286" s="52"/>
      <c r="AF286" s="52"/>
      <c r="AG286" s="52"/>
      <c r="AH286" s="52"/>
      <c r="AI286" s="52"/>
      <c r="AJ286" s="52"/>
      <c r="AK286" s="52"/>
      <c r="AL286" s="52"/>
    </row>
    <row r="287" spans="1:38" ht="12.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3"/>
      <c r="AD287" s="52"/>
      <c r="AE287" s="52"/>
      <c r="AF287" s="52"/>
      <c r="AG287" s="52"/>
      <c r="AH287" s="52"/>
      <c r="AI287" s="52"/>
      <c r="AJ287" s="52"/>
      <c r="AK287" s="52"/>
      <c r="AL287" s="52"/>
    </row>
    <row r="288" spans="1:38" ht="12.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3"/>
      <c r="AD288" s="52"/>
      <c r="AE288" s="52"/>
      <c r="AF288" s="52"/>
      <c r="AG288" s="52"/>
      <c r="AH288" s="52"/>
      <c r="AI288" s="52"/>
      <c r="AJ288" s="52"/>
      <c r="AK288" s="52"/>
      <c r="AL288" s="52"/>
    </row>
    <row r="289" spans="1:38" ht="12.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3"/>
      <c r="AD289" s="52"/>
      <c r="AE289" s="52"/>
      <c r="AF289" s="52"/>
      <c r="AG289" s="52"/>
      <c r="AH289" s="52"/>
      <c r="AI289" s="52"/>
      <c r="AJ289" s="52"/>
      <c r="AK289" s="52"/>
      <c r="AL289" s="52"/>
    </row>
    <row r="290" spans="1:38" ht="12.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3"/>
      <c r="AD290" s="52"/>
      <c r="AE290" s="52"/>
      <c r="AF290" s="52"/>
      <c r="AG290" s="52"/>
      <c r="AH290" s="52"/>
      <c r="AI290" s="52"/>
      <c r="AJ290" s="52"/>
      <c r="AK290" s="52"/>
      <c r="AL290" s="52"/>
    </row>
    <row r="291" spans="1:38" ht="12.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3"/>
      <c r="AD291" s="52"/>
      <c r="AE291" s="52"/>
      <c r="AF291" s="52"/>
      <c r="AG291" s="52"/>
      <c r="AH291" s="52"/>
      <c r="AI291" s="52"/>
      <c r="AJ291" s="52"/>
      <c r="AK291" s="52"/>
      <c r="AL291" s="52"/>
    </row>
    <row r="292" spans="1:38" ht="12.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3"/>
      <c r="AD292" s="52"/>
      <c r="AE292" s="52"/>
      <c r="AF292" s="52"/>
      <c r="AG292" s="52"/>
      <c r="AH292" s="52"/>
      <c r="AI292" s="52"/>
      <c r="AJ292" s="52"/>
      <c r="AK292" s="52"/>
      <c r="AL292" s="52"/>
    </row>
    <row r="293" spans="1:38" ht="12.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3"/>
      <c r="AD293" s="52"/>
      <c r="AE293" s="52"/>
      <c r="AF293" s="52"/>
      <c r="AG293" s="52"/>
      <c r="AH293" s="52"/>
      <c r="AI293" s="52"/>
      <c r="AJ293" s="52"/>
      <c r="AK293" s="52"/>
      <c r="AL293" s="52"/>
    </row>
    <row r="294" spans="1:38" ht="12.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3"/>
      <c r="AD294" s="52"/>
      <c r="AE294" s="52"/>
      <c r="AF294" s="52"/>
      <c r="AG294" s="52"/>
      <c r="AH294" s="52"/>
      <c r="AI294" s="52"/>
      <c r="AJ294" s="52"/>
      <c r="AK294" s="52"/>
      <c r="AL294" s="52"/>
    </row>
    <row r="295" spans="1:38" ht="12.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3"/>
      <c r="AD295" s="52"/>
      <c r="AE295" s="52"/>
      <c r="AF295" s="52"/>
      <c r="AG295" s="52"/>
      <c r="AH295" s="52"/>
      <c r="AI295" s="52"/>
      <c r="AJ295" s="52"/>
      <c r="AK295" s="52"/>
      <c r="AL295" s="52"/>
    </row>
    <row r="296" spans="1:38" ht="12.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3"/>
      <c r="AD296" s="52"/>
      <c r="AE296" s="52"/>
      <c r="AF296" s="52"/>
      <c r="AG296" s="52"/>
      <c r="AH296" s="52"/>
      <c r="AI296" s="52"/>
      <c r="AJ296" s="52"/>
      <c r="AK296" s="52"/>
      <c r="AL296" s="52"/>
    </row>
    <row r="297" spans="1:38" ht="12.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3"/>
      <c r="AD297" s="52"/>
      <c r="AE297" s="52"/>
      <c r="AF297" s="52"/>
      <c r="AG297" s="52"/>
      <c r="AH297" s="52"/>
      <c r="AI297" s="52"/>
      <c r="AJ297" s="52"/>
      <c r="AK297" s="52"/>
      <c r="AL297" s="52"/>
    </row>
    <row r="298" spans="1:38" ht="12.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3"/>
      <c r="AD298" s="52"/>
      <c r="AE298" s="52"/>
      <c r="AF298" s="52"/>
      <c r="AG298" s="52"/>
      <c r="AH298" s="52"/>
      <c r="AI298" s="52"/>
      <c r="AJ298" s="52"/>
      <c r="AK298" s="52"/>
      <c r="AL298" s="52"/>
    </row>
    <row r="299" spans="1:38" ht="12.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3"/>
      <c r="AD299" s="52"/>
      <c r="AE299" s="52"/>
      <c r="AF299" s="52"/>
      <c r="AG299" s="52"/>
      <c r="AH299" s="52"/>
      <c r="AI299" s="52"/>
      <c r="AJ299" s="52"/>
      <c r="AK299" s="52"/>
      <c r="AL299" s="52"/>
    </row>
    <row r="300" spans="1:38" ht="12.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3"/>
      <c r="AD300" s="52"/>
      <c r="AE300" s="52"/>
      <c r="AF300" s="52"/>
      <c r="AG300" s="52"/>
      <c r="AH300" s="52"/>
      <c r="AI300" s="52"/>
      <c r="AJ300" s="52"/>
      <c r="AK300" s="52"/>
      <c r="AL300" s="52"/>
    </row>
    <row r="301" spans="1:38" ht="12.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3"/>
      <c r="AD301" s="52"/>
      <c r="AE301" s="52"/>
      <c r="AF301" s="52"/>
      <c r="AG301" s="52"/>
      <c r="AH301" s="52"/>
      <c r="AI301" s="52"/>
      <c r="AJ301" s="52"/>
      <c r="AK301" s="52"/>
      <c r="AL301" s="52"/>
    </row>
    <row r="302" spans="1:38" ht="12.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3"/>
      <c r="AD302" s="52"/>
      <c r="AE302" s="52"/>
      <c r="AF302" s="52"/>
      <c r="AG302" s="52"/>
      <c r="AH302" s="52"/>
      <c r="AI302" s="52"/>
      <c r="AJ302" s="52"/>
      <c r="AK302" s="52"/>
      <c r="AL302" s="52"/>
    </row>
    <row r="303" spans="1:38" ht="12.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3"/>
      <c r="AD303" s="52"/>
      <c r="AE303" s="52"/>
      <c r="AF303" s="52"/>
      <c r="AG303" s="52"/>
      <c r="AH303" s="52"/>
      <c r="AI303" s="52"/>
      <c r="AJ303" s="52"/>
      <c r="AK303" s="52"/>
      <c r="AL303" s="52"/>
    </row>
    <row r="304" spans="1:38" ht="12.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3"/>
      <c r="AD304" s="52"/>
      <c r="AE304" s="52"/>
      <c r="AF304" s="52"/>
      <c r="AG304" s="52"/>
      <c r="AH304" s="52"/>
      <c r="AI304" s="52"/>
      <c r="AJ304" s="52"/>
      <c r="AK304" s="52"/>
      <c r="AL304" s="52"/>
    </row>
    <row r="305" spans="1:38" ht="12.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3"/>
      <c r="AD305" s="52"/>
      <c r="AE305" s="52"/>
      <c r="AF305" s="52"/>
      <c r="AG305" s="52"/>
      <c r="AH305" s="52"/>
      <c r="AI305" s="52"/>
      <c r="AJ305" s="52"/>
      <c r="AK305" s="52"/>
      <c r="AL305" s="52"/>
    </row>
    <row r="306" spans="1:38" ht="12.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3"/>
      <c r="AD306" s="52"/>
      <c r="AE306" s="52"/>
      <c r="AF306" s="52"/>
      <c r="AG306" s="52"/>
      <c r="AH306" s="52"/>
      <c r="AI306" s="52"/>
      <c r="AJ306" s="52"/>
      <c r="AK306" s="52"/>
      <c r="AL306" s="52"/>
    </row>
    <row r="307" spans="1:38" ht="12.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3"/>
      <c r="AD307" s="52"/>
      <c r="AE307" s="52"/>
      <c r="AF307" s="52"/>
      <c r="AG307" s="52"/>
      <c r="AH307" s="52"/>
      <c r="AI307" s="52"/>
      <c r="AJ307" s="52"/>
      <c r="AK307" s="52"/>
      <c r="AL307" s="52"/>
    </row>
    <row r="308" spans="1:38" ht="12.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3"/>
      <c r="AD308" s="52"/>
      <c r="AE308" s="52"/>
      <c r="AF308" s="52"/>
      <c r="AG308" s="52"/>
      <c r="AH308" s="52"/>
      <c r="AI308" s="52"/>
      <c r="AJ308" s="52"/>
      <c r="AK308" s="52"/>
      <c r="AL308" s="52"/>
    </row>
    <row r="309" spans="1:38" ht="12.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3"/>
      <c r="AD309" s="52"/>
      <c r="AE309" s="52"/>
      <c r="AF309" s="52"/>
      <c r="AG309" s="52"/>
      <c r="AH309" s="52"/>
      <c r="AI309" s="52"/>
      <c r="AJ309" s="52"/>
      <c r="AK309" s="52"/>
      <c r="AL309" s="52"/>
    </row>
    <row r="310" spans="1:38" ht="12.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3"/>
      <c r="AD310" s="52"/>
      <c r="AE310" s="52"/>
      <c r="AF310" s="52"/>
      <c r="AG310" s="52"/>
      <c r="AH310" s="52"/>
      <c r="AI310" s="52"/>
      <c r="AJ310" s="52"/>
      <c r="AK310" s="52"/>
      <c r="AL310" s="52"/>
    </row>
    <row r="311" spans="1:38" ht="12.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3"/>
      <c r="AD311" s="52"/>
      <c r="AE311" s="52"/>
      <c r="AF311" s="52"/>
      <c r="AG311" s="52"/>
      <c r="AH311" s="52"/>
      <c r="AI311" s="52"/>
      <c r="AJ311" s="52"/>
      <c r="AK311" s="52"/>
      <c r="AL311" s="52"/>
    </row>
    <row r="312" spans="1:38" ht="12.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3"/>
      <c r="AD312" s="52"/>
      <c r="AE312" s="52"/>
      <c r="AF312" s="52"/>
      <c r="AG312" s="52"/>
      <c r="AH312" s="52"/>
      <c r="AI312" s="52"/>
      <c r="AJ312" s="52"/>
      <c r="AK312" s="52"/>
      <c r="AL312" s="52"/>
    </row>
    <row r="313" spans="1:38" ht="12.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3"/>
      <c r="AD313" s="52"/>
      <c r="AE313" s="52"/>
      <c r="AF313" s="52"/>
      <c r="AG313" s="52"/>
      <c r="AH313" s="52"/>
      <c r="AI313" s="52"/>
      <c r="AJ313" s="52"/>
      <c r="AK313" s="52"/>
      <c r="AL313" s="52"/>
    </row>
    <row r="314" spans="1:38" ht="12.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3"/>
      <c r="AD314" s="52"/>
      <c r="AE314" s="52"/>
      <c r="AF314" s="52"/>
      <c r="AG314" s="52"/>
      <c r="AH314" s="52"/>
      <c r="AI314" s="52"/>
      <c r="AJ314" s="52"/>
      <c r="AK314" s="52"/>
      <c r="AL314" s="52"/>
    </row>
    <row r="315" spans="1:38" ht="12.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3"/>
      <c r="AD315" s="52"/>
      <c r="AE315" s="52"/>
      <c r="AF315" s="52"/>
      <c r="AG315" s="52"/>
      <c r="AH315" s="52"/>
      <c r="AI315" s="52"/>
      <c r="AJ315" s="52"/>
      <c r="AK315" s="52"/>
      <c r="AL315" s="52"/>
    </row>
    <row r="316" spans="1:38" ht="12.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3"/>
      <c r="AD316" s="52"/>
      <c r="AE316" s="52"/>
      <c r="AF316" s="52"/>
      <c r="AG316" s="52"/>
      <c r="AH316" s="52"/>
      <c r="AI316" s="52"/>
      <c r="AJ316" s="52"/>
      <c r="AK316" s="52"/>
      <c r="AL316" s="52"/>
    </row>
    <row r="317" spans="1:38" ht="12.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3"/>
      <c r="AD317" s="52"/>
      <c r="AE317" s="52"/>
      <c r="AF317" s="52"/>
      <c r="AG317" s="52"/>
      <c r="AH317" s="52"/>
      <c r="AI317" s="52"/>
      <c r="AJ317" s="52"/>
      <c r="AK317" s="52"/>
      <c r="AL317" s="52"/>
    </row>
    <row r="318" spans="1:38" ht="12.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3"/>
      <c r="AD318" s="52"/>
      <c r="AE318" s="52"/>
      <c r="AF318" s="52"/>
      <c r="AG318" s="52"/>
      <c r="AH318" s="52"/>
      <c r="AI318" s="52"/>
      <c r="AJ318" s="52"/>
      <c r="AK318" s="52"/>
      <c r="AL318" s="52"/>
    </row>
    <row r="319" spans="1:38" ht="12.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3"/>
      <c r="AD319" s="52"/>
      <c r="AE319" s="52"/>
      <c r="AF319" s="52"/>
      <c r="AG319" s="52"/>
      <c r="AH319" s="52"/>
      <c r="AI319" s="52"/>
      <c r="AJ319" s="52"/>
      <c r="AK319" s="52"/>
      <c r="AL319" s="52"/>
    </row>
    <row r="320" spans="1:38" ht="12.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3"/>
      <c r="AD320" s="52"/>
      <c r="AE320" s="52"/>
      <c r="AF320" s="52"/>
      <c r="AG320" s="52"/>
      <c r="AH320" s="52"/>
      <c r="AI320" s="52"/>
      <c r="AJ320" s="52"/>
      <c r="AK320" s="52"/>
      <c r="AL320" s="52"/>
    </row>
    <row r="321" spans="1:38" ht="12.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3"/>
      <c r="AD321" s="52"/>
      <c r="AE321" s="52"/>
      <c r="AF321" s="52"/>
      <c r="AG321" s="52"/>
      <c r="AH321" s="52"/>
      <c r="AI321" s="52"/>
      <c r="AJ321" s="52"/>
      <c r="AK321" s="52"/>
      <c r="AL321" s="52"/>
    </row>
    <row r="322" spans="1:38" ht="12.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3"/>
      <c r="AD322" s="52"/>
      <c r="AE322" s="52"/>
      <c r="AF322" s="52"/>
      <c r="AG322" s="52"/>
      <c r="AH322" s="52"/>
      <c r="AI322" s="52"/>
      <c r="AJ322" s="52"/>
      <c r="AK322" s="52"/>
      <c r="AL322" s="52"/>
    </row>
    <row r="323" spans="1:38" ht="12.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3"/>
      <c r="AD323" s="52"/>
      <c r="AE323" s="52"/>
      <c r="AF323" s="52"/>
      <c r="AG323" s="52"/>
      <c r="AH323" s="52"/>
      <c r="AI323" s="52"/>
      <c r="AJ323" s="52"/>
      <c r="AK323" s="52"/>
      <c r="AL323" s="52"/>
    </row>
    <row r="324" spans="1:38" ht="12.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3"/>
      <c r="AD324" s="52"/>
      <c r="AE324" s="52"/>
      <c r="AF324" s="52"/>
      <c r="AG324" s="52"/>
      <c r="AH324" s="52"/>
      <c r="AI324" s="52"/>
      <c r="AJ324" s="52"/>
      <c r="AK324" s="52"/>
      <c r="AL324" s="52"/>
    </row>
    <row r="325" spans="1:38" ht="12.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3"/>
      <c r="AD325" s="52"/>
      <c r="AE325" s="52"/>
      <c r="AF325" s="52"/>
      <c r="AG325" s="52"/>
      <c r="AH325" s="52"/>
      <c r="AI325" s="52"/>
      <c r="AJ325" s="52"/>
      <c r="AK325" s="52"/>
      <c r="AL325" s="52"/>
    </row>
    <row r="326" spans="1:38" ht="12.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3"/>
      <c r="AD326" s="52"/>
      <c r="AE326" s="52"/>
      <c r="AF326" s="52"/>
      <c r="AG326" s="52"/>
      <c r="AH326" s="52"/>
      <c r="AI326" s="52"/>
      <c r="AJ326" s="52"/>
      <c r="AK326" s="52"/>
      <c r="AL326" s="52"/>
    </row>
    <row r="327" spans="1:38" ht="12.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3"/>
      <c r="AD327" s="52"/>
      <c r="AE327" s="52"/>
      <c r="AF327" s="52"/>
      <c r="AG327" s="52"/>
      <c r="AH327" s="52"/>
      <c r="AI327" s="52"/>
      <c r="AJ327" s="52"/>
      <c r="AK327" s="52"/>
      <c r="AL327" s="52"/>
    </row>
    <row r="328" spans="1:38" ht="12.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3"/>
      <c r="AD328" s="52"/>
      <c r="AE328" s="52"/>
      <c r="AF328" s="52"/>
      <c r="AG328" s="52"/>
      <c r="AH328" s="52"/>
      <c r="AI328" s="52"/>
      <c r="AJ328" s="52"/>
      <c r="AK328" s="52"/>
      <c r="AL328" s="52"/>
    </row>
    <row r="329" spans="1:38" ht="12.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3"/>
      <c r="AD329" s="52"/>
      <c r="AE329" s="52"/>
      <c r="AF329" s="52"/>
      <c r="AG329" s="52"/>
      <c r="AH329" s="52"/>
      <c r="AI329" s="52"/>
      <c r="AJ329" s="52"/>
      <c r="AK329" s="52"/>
      <c r="AL329" s="52"/>
    </row>
    <row r="330" spans="1:38" ht="12.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3"/>
      <c r="AD330" s="52"/>
      <c r="AE330" s="52"/>
      <c r="AF330" s="52"/>
      <c r="AG330" s="52"/>
      <c r="AH330" s="52"/>
      <c r="AI330" s="52"/>
      <c r="AJ330" s="52"/>
      <c r="AK330" s="52"/>
      <c r="AL330" s="52"/>
    </row>
    <row r="331" spans="1:38" ht="12.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3"/>
      <c r="AD331" s="52"/>
      <c r="AE331" s="52"/>
      <c r="AF331" s="52"/>
      <c r="AG331" s="52"/>
      <c r="AH331" s="52"/>
      <c r="AI331" s="52"/>
      <c r="AJ331" s="52"/>
      <c r="AK331" s="52"/>
      <c r="AL331" s="52"/>
    </row>
    <row r="332" spans="1:38" ht="12.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3"/>
      <c r="AD332" s="52"/>
      <c r="AE332" s="52"/>
      <c r="AF332" s="52"/>
      <c r="AG332" s="52"/>
      <c r="AH332" s="52"/>
      <c r="AI332" s="52"/>
      <c r="AJ332" s="52"/>
      <c r="AK332" s="52"/>
      <c r="AL332" s="52"/>
    </row>
    <row r="333" spans="1:38" ht="12.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3"/>
      <c r="AD333" s="52"/>
      <c r="AE333" s="52"/>
      <c r="AF333" s="52"/>
      <c r="AG333" s="52"/>
      <c r="AH333" s="52"/>
      <c r="AI333" s="52"/>
      <c r="AJ333" s="52"/>
      <c r="AK333" s="52"/>
      <c r="AL333" s="52"/>
    </row>
    <row r="334" spans="1:38" ht="12.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3"/>
      <c r="AD334" s="52"/>
      <c r="AE334" s="52"/>
      <c r="AF334" s="52"/>
      <c r="AG334" s="52"/>
      <c r="AH334" s="52"/>
      <c r="AI334" s="52"/>
      <c r="AJ334" s="52"/>
      <c r="AK334" s="52"/>
      <c r="AL334" s="52"/>
    </row>
    <row r="335" spans="1:38" ht="12.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3"/>
      <c r="AD335" s="52"/>
      <c r="AE335" s="52"/>
      <c r="AF335" s="52"/>
      <c r="AG335" s="52"/>
      <c r="AH335" s="52"/>
      <c r="AI335" s="52"/>
      <c r="AJ335" s="52"/>
      <c r="AK335" s="52"/>
      <c r="AL335" s="52"/>
    </row>
    <row r="336" spans="1:38" ht="12.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3"/>
      <c r="AD336" s="52"/>
      <c r="AE336" s="52"/>
      <c r="AF336" s="52"/>
      <c r="AG336" s="52"/>
      <c r="AH336" s="52"/>
      <c r="AI336" s="52"/>
      <c r="AJ336" s="52"/>
      <c r="AK336" s="52"/>
      <c r="AL336" s="52"/>
    </row>
    <row r="337" spans="1:38" ht="12.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3"/>
      <c r="AD337" s="52"/>
      <c r="AE337" s="52"/>
      <c r="AF337" s="52"/>
      <c r="AG337" s="52"/>
      <c r="AH337" s="52"/>
      <c r="AI337" s="52"/>
      <c r="AJ337" s="52"/>
      <c r="AK337" s="52"/>
      <c r="AL337" s="52"/>
    </row>
    <row r="338" spans="1:38" ht="12.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3"/>
      <c r="AD338" s="52"/>
      <c r="AE338" s="52"/>
      <c r="AF338" s="52"/>
      <c r="AG338" s="52"/>
      <c r="AH338" s="52"/>
      <c r="AI338" s="52"/>
      <c r="AJ338" s="52"/>
      <c r="AK338" s="52"/>
      <c r="AL338" s="52"/>
    </row>
    <row r="339" spans="1:38" ht="12.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3"/>
      <c r="AD339" s="52"/>
      <c r="AE339" s="52"/>
      <c r="AF339" s="52"/>
      <c r="AG339" s="52"/>
      <c r="AH339" s="52"/>
      <c r="AI339" s="52"/>
      <c r="AJ339" s="52"/>
      <c r="AK339" s="52"/>
      <c r="AL339" s="52"/>
    </row>
    <row r="340" spans="1:38" ht="12.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3"/>
      <c r="AD340" s="52"/>
      <c r="AE340" s="52"/>
      <c r="AF340" s="52"/>
      <c r="AG340" s="52"/>
      <c r="AH340" s="52"/>
      <c r="AI340" s="52"/>
      <c r="AJ340" s="52"/>
      <c r="AK340" s="52"/>
      <c r="AL340" s="52"/>
    </row>
    <row r="341" spans="1:38" ht="12.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3"/>
      <c r="AD341" s="52"/>
      <c r="AE341" s="52"/>
      <c r="AF341" s="52"/>
      <c r="AG341" s="52"/>
      <c r="AH341" s="52"/>
      <c r="AI341" s="52"/>
      <c r="AJ341" s="52"/>
      <c r="AK341" s="52"/>
      <c r="AL341" s="52"/>
    </row>
    <row r="342" spans="1:38" ht="12.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3"/>
      <c r="AD342" s="52"/>
      <c r="AE342" s="52"/>
      <c r="AF342" s="52"/>
      <c r="AG342" s="52"/>
      <c r="AH342" s="52"/>
      <c r="AI342" s="52"/>
      <c r="AJ342" s="52"/>
      <c r="AK342" s="52"/>
      <c r="AL342" s="52"/>
    </row>
    <row r="343" spans="1:38" ht="12.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3"/>
      <c r="AD343" s="52"/>
      <c r="AE343" s="52"/>
      <c r="AF343" s="52"/>
      <c r="AG343" s="52"/>
      <c r="AH343" s="52"/>
      <c r="AI343" s="52"/>
      <c r="AJ343" s="52"/>
      <c r="AK343" s="52"/>
      <c r="AL343" s="52"/>
    </row>
    <row r="344" spans="1:38" ht="12.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3"/>
      <c r="AD344" s="52"/>
      <c r="AE344" s="52"/>
      <c r="AF344" s="52"/>
      <c r="AG344" s="52"/>
      <c r="AH344" s="52"/>
      <c r="AI344" s="52"/>
      <c r="AJ344" s="52"/>
      <c r="AK344" s="52"/>
      <c r="AL344" s="52"/>
    </row>
    <row r="345" spans="1:38" ht="12.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3"/>
      <c r="AD345" s="52"/>
      <c r="AE345" s="52"/>
      <c r="AF345" s="52"/>
      <c r="AG345" s="52"/>
      <c r="AH345" s="52"/>
      <c r="AI345" s="52"/>
      <c r="AJ345" s="52"/>
      <c r="AK345" s="52"/>
      <c r="AL345" s="52"/>
    </row>
    <row r="346" spans="1:38" ht="12.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3"/>
      <c r="AD346" s="52"/>
      <c r="AE346" s="52"/>
      <c r="AF346" s="52"/>
      <c r="AG346" s="52"/>
      <c r="AH346" s="52"/>
      <c r="AI346" s="52"/>
      <c r="AJ346" s="52"/>
      <c r="AK346" s="52"/>
      <c r="AL346" s="52"/>
    </row>
    <row r="347" spans="1:38" ht="12.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3"/>
      <c r="AD347" s="52"/>
      <c r="AE347" s="52"/>
      <c r="AF347" s="52"/>
      <c r="AG347" s="52"/>
      <c r="AH347" s="52"/>
      <c r="AI347" s="52"/>
      <c r="AJ347" s="52"/>
      <c r="AK347" s="52"/>
      <c r="AL347" s="52"/>
    </row>
    <row r="348" spans="1:38" ht="12.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3"/>
      <c r="AD348" s="52"/>
      <c r="AE348" s="52"/>
      <c r="AF348" s="52"/>
      <c r="AG348" s="52"/>
      <c r="AH348" s="52"/>
      <c r="AI348" s="52"/>
      <c r="AJ348" s="52"/>
      <c r="AK348" s="52"/>
      <c r="AL348" s="52"/>
    </row>
    <row r="349" spans="1:38" ht="12.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3"/>
      <c r="AD349" s="52"/>
      <c r="AE349" s="52"/>
      <c r="AF349" s="52"/>
      <c r="AG349" s="52"/>
      <c r="AH349" s="52"/>
      <c r="AI349" s="52"/>
      <c r="AJ349" s="52"/>
      <c r="AK349" s="52"/>
      <c r="AL349" s="52"/>
    </row>
    <row r="350" spans="1:38" ht="12.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3"/>
      <c r="AD350" s="52"/>
      <c r="AE350" s="52"/>
      <c r="AF350" s="52"/>
      <c r="AG350" s="52"/>
      <c r="AH350" s="52"/>
      <c r="AI350" s="52"/>
      <c r="AJ350" s="52"/>
      <c r="AK350" s="52"/>
      <c r="AL350" s="52"/>
    </row>
    <row r="351" spans="1:38" ht="12.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3"/>
      <c r="AD351" s="52"/>
      <c r="AE351" s="52"/>
      <c r="AF351" s="52"/>
      <c r="AG351" s="52"/>
      <c r="AH351" s="52"/>
      <c r="AI351" s="52"/>
      <c r="AJ351" s="52"/>
      <c r="AK351" s="52"/>
      <c r="AL351" s="52"/>
    </row>
    <row r="352" spans="1:38" ht="12.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3"/>
      <c r="AD352" s="52"/>
      <c r="AE352" s="52"/>
      <c r="AF352" s="52"/>
      <c r="AG352" s="52"/>
      <c r="AH352" s="52"/>
      <c r="AI352" s="52"/>
      <c r="AJ352" s="52"/>
      <c r="AK352" s="52"/>
      <c r="AL352" s="52"/>
    </row>
    <row r="353" spans="1:38" ht="12.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3"/>
      <c r="AD353" s="52"/>
      <c r="AE353" s="52"/>
      <c r="AF353" s="52"/>
      <c r="AG353" s="52"/>
      <c r="AH353" s="52"/>
      <c r="AI353" s="52"/>
      <c r="AJ353" s="52"/>
      <c r="AK353" s="52"/>
      <c r="AL353" s="52"/>
    </row>
    <row r="354" spans="1:38" ht="12.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3"/>
      <c r="AD354" s="52"/>
      <c r="AE354" s="52"/>
      <c r="AF354" s="52"/>
      <c r="AG354" s="52"/>
      <c r="AH354" s="52"/>
      <c r="AI354" s="52"/>
      <c r="AJ354" s="52"/>
      <c r="AK354" s="52"/>
      <c r="AL354" s="52"/>
    </row>
    <row r="355" spans="1:38" ht="12.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3"/>
      <c r="AD355" s="52"/>
      <c r="AE355" s="52"/>
      <c r="AF355" s="52"/>
      <c r="AG355" s="52"/>
      <c r="AH355" s="52"/>
      <c r="AI355" s="52"/>
      <c r="AJ355" s="52"/>
      <c r="AK355" s="52"/>
      <c r="AL355" s="52"/>
    </row>
    <row r="356" spans="1:38" ht="12.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3"/>
      <c r="AD356" s="52"/>
      <c r="AE356" s="52"/>
      <c r="AF356" s="52"/>
      <c r="AG356" s="52"/>
      <c r="AH356" s="52"/>
      <c r="AI356" s="52"/>
      <c r="AJ356" s="52"/>
      <c r="AK356" s="52"/>
      <c r="AL356" s="52"/>
    </row>
    <row r="357" spans="1:38" ht="12.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3"/>
      <c r="AD357" s="52"/>
      <c r="AE357" s="52"/>
      <c r="AF357" s="52"/>
      <c r="AG357" s="52"/>
      <c r="AH357" s="52"/>
      <c r="AI357" s="52"/>
      <c r="AJ357" s="52"/>
      <c r="AK357" s="52"/>
      <c r="AL357" s="52"/>
    </row>
    <row r="358" spans="1:38" ht="12.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3"/>
      <c r="AD358" s="52"/>
      <c r="AE358" s="52"/>
      <c r="AF358" s="52"/>
      <c r="AG358" s="52"/>
      <c r="AH358" s="52"/>
      <c r="AI358" s="52"/>
      <c r="AJ358" s="52"/>
      <c r="AK358" s="52"/>
      <c r="AL358" s="52"/>
    </row>
    <row r="359" spans="1:38" ht="12.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3"/>
      <c r="AD359" s="52"/>
      <c r="AE359" s="52"/>
      <c r="AF359" s="52"/>
      <c r="AG359" s="52"/>
      <c r="AH359" s="52"/>
      <c r="AI359" s="52"/>
      <c r="AJ359" s="52"/>
      <c r="AK359" s="52"/>
      <c r="AL359" s="52"/>
    </row>
    <row r="360" spans="1:38" ht="12.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3"/>
      <c r="AD360" s="52"/>
      <c r="AE360" s="52"/>
      <c r="AF360" s="52"/>
      <c r="AG360" s="52"/>
      <c r="AH360" s="52"/>
      <c r="AI360" s="52"/>
      <c r="AJ360" s="52"/>
      <c r="AK360" s="52"/>
      <c r="AL360" s="52"/>
    </row>
    <row r="361" spans="1:38" ht="12.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3"/>
      <c r="AD361" s="52"/>
      <c r="AE361" s="52"/>
      <c r="AF361" s="52"/>
      <c r="AG361" s="52"/>
      <c r="AH361" s="52"/>
      <c r="AI361" s="52"/>
      <c r="AJ361" s="52"/>
      <c r="AK361" s="52"/>
      <c r="AL361" s="52"/>
    </row>
    <row r="362" spans="1:38" ht="12.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3"/>
      <c r="AD362" s="52"/>
      <c r="AE362" s="52"/>
      <c r="AF362" s="52"/>
      <c r="AG362" s="52"/>
      <c r="AH362" s="52"/>
      <c r="AI362" s="52"/>
      <c r="AJ362" s="52"/>
      <c r="AK362" s="52"/>
      <c r="AL362" s="52"/>
    </row>
    <row r="363" spans="1:38" ht="12.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3"/>
      <c r="AD363" s="52"/>
      <c r="AE363" s="52"/>
      <c r="AF363" s="52"/>
      <c r="AG363" s="52"/>
      <c r="AH363" s="52"/>
      <c r="AI363" s="52"/>
      <c r="AJ363" s="52"/>
      <c r="AK363" s="52"/>
      <c r="AL363" s="52"/>
    </row>
    <row r="364" spans="1:38" ht="12.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3"/>
      <c r="AD364" s="52"/>
      <c r="AE364" s="52"/>
      <c r="AF364" s="52"/>
      <c r="AG364" s="52"/>
      <c r="AH364" s="52"/>
      <c r="AI364" s="52"/>
      <c r="AJ364" s="52"/>
      <c r="AK364" s="52"/>
      <c r="AL364" s="52"/>
    </row>
    <row r="365" spans="1:38" ht="12.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3"/>
      <c r="AD365" s="52"/>
      <c r="AE365" s="52"/>
      <c r="AF365" s="52"/>
      <c r="AG365" s="52"/>
      <c r="AH365" s="52"/>
      <c r="AI365" s="52"/>
      <c r="AJ365" s="52"/>
      <c r="AK365" s="52"/>
      <c r="AL365" s="52"/>
    </row>
    <row r="366" spans="1:38" ht="12.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3"/>
      <c r="AD366" s="52"/>
      <c r="AE366" s="52"/>
      <c r="AF366" s="52"/>
      <c r="AG366" s="52"/>
      <c r="AH366" s="52"/>
      <c r="AI366" s="52"/>
      <c r="AJ366" s="52"/>
      <c r="AK366" s="52"/>
      <c r="AL366" s="52"/>
    </row>
    <row r="367" spans="1:38" ht="12.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3"/>
      <c r="AD367" s="52"/>
      <c r="AE367" s="52"/>
      <c r="AF367" s="52"/>
      <c r="AG367" s="52"/>
      <c r="AH367" s="52"/>
      <c r="AI367" s="52"/>
      <c r="AJ367" s="52"/>
      <c r="AK367" s="52"/>
      <c r="AL367" s="52"/>
    </row>
    <row r="368" spans="1:38" ht="12.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3"/>
      <c r="AD368" s="52"/>
      <c r="AE368" s="52"/>
      <c r="AF368" s="52"/>
      <c r="AG368" s="52"/>
      <c r="AH368" s="52"/>
      <c r="AI368" s="52"/>
      <c r="AJ368" s="52"/>
      <c r="AK368" s="52"/>
      <c r="AL368" s="52"/>
    </row>
    <row r="369" spans="1:38" ht="12.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3"/>
      <c r="AD369" s="52"/>
      <c r="AE369" s="52"/>
      <c r="AF369" s="52"/>
      <c r="AG369" s="52"/>
      <c r="AH369" s="52"/>
      <c r="AI369" s="52"/>
      <c r="AJ369" s="52"/>
      <c r="AK369" s="52"/>
      <c r="AL369" s="52"/>
    </row>
    <row r="370" spans="1:38" ht="12.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3"/>
      <c r="AD370" s="52"/>
      <c r="AE370" s="52"/>
      <c r="AF370" s="52"/>
      <c r="AG370" s="52"/>
      <c r="AH370" s="52"/>
      <c r="AI370" s="52"/>
      <c r="AJ370" s="52"/>
      <c r="AK370" s="52"/>
      <c r="AL370" s="52"/>
    </row>
    <row r="371" spans="1:38" ht="12.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3"/>
      <c r="AD371" s="52"/>
      <c r="AE371" s="52"/>
      <c r="AF371" s="52"/>
      <c r="AG371" s="52"/>
      <c r="AH371" s="52"/>
      <c r="AI371" s="52"/>
      <c r="AJ371" s="52"/>
      <c r="AK371" s="52"/>
      <c r="AL371" s="52"/>
    </row>
    <row r="372" spans="1:38" ht="12.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3"/>
      <c r="AD372" s="52"/>
      <c r="AE372" s="52"/>
      <c r="AF372" s="52"/>
      <c r="AG372" s="52"/>
      <c r="AH372" s="52"/>
      <c r="AI372" s="52"/>
      <c r="AJ372" s="52"/>
      <c r="AK372" s="52"/>
      <c r="AL372" s="52"/>
    </row>
    <row r="373" spans="1:38" ht="12.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3"/>
      <c r="AD373" s="52"/>
      <c r="AE373" s="52"/>
      <c r="AF373" s="52"/>
      <c r="AG373" s="52"/>
      <c r="AH373" s="52"/>
      <c r="AI373" s="52"/>
      <c r="AJ373" s="52"/>
      <c r="AK373" s="52"/>
      <c r="AL373" s="52"/>
    </row>
    <row r="374" spans="1:38" ht="12.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3"/>
      <c r="AD374" s="52"/>
      <c r="AE374" s="52"/>
      <c r="AF374" s="52"/>
      <c r="AG374" s="52"/>
      <c r="AH374" s="52"/>
      <c r="AI374" s="52"/>
      <c r="AJ374" s="52"/>
      <c r="AK374" s="52"/>
      <c r="AL374" s="52"/>
    </row>
    <row r="375" spans="1:38" ht="12.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3"/>
      <c r="AD375" s="52"/>
      <c r="AE375" s="52"/>
      <c r="AF375" s="52"/>
      <c r="AG375" s="52"/>
      <c r="AH375" s="52"/>
      <c r="AI375" s="52"/>
      <c r="AJ375" s="52"/>
      <c r="AK375" s="52"/>
      <c r="AL375" s="52"/>
    </row>
    <row r="376" spans="1:38" ht="12.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3"/>
      <c r="AD376" s="52"/>
      <c r="AE376" s="52"/>
      <c r="AF376" s="52"/>
      <c r="AG376" s="52"/>
      <c r="AH376" s="52"/>
      <c r="AI376" s="52"/>
      <c r="AJ376" s="52"/>
      <c r="AK376" s="52"/>
      <c r="AL376" s="52"/>
    </row>
    <row r="377" spans="1:38" ht="12.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3"/>
      <c r="AD377" s="52"/>
      <c r="AE377" s="52"/>
      <c r="AF377" s="52"/>
      <c r="AG377" s="52"/>
      <c r="AH377" s="52"/>
      <c r="AI377" s="52"/>
      <c r="AJ377" s="52"/>
      <c r="AK377" s="52"/>
      <c r="AL377" s="52"/>
    </row>
    <row r="378" spans="1:38" ht="12.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3"/>
      <c r="AD378" s="52"/>
      <c r="AE378" s="52"/>
      <c r="AF378" s="52"/>
      <c r="AG378" s="52"/>
      <c r="AH378" s="52"/>
      <c r="AI378" s="52"/>
      <c r="AJ378" s="52"/>
      <c r="AK378" s="52"/>
      <c r="AL378" s="52"/>
    </row>
    <row r="379" spans="1:38" ht="12.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3"/>
      <c r="AD379" s="52"/>
      <c r="AE379" s="52"/>
      <c r="AF379" s="52"/>
      <c r="AG379" s="52"/>
      <c r="AH379" s="52"/>
      <c r="AI379" s="52"/>
      <c r="AJ379" s="52"/>
      <c r="AK379" s="52"/>
      <c r="AL379" s="52"/>
    </row>
    <row r="380" spans="1:38" ht="12.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3"/>
      <c r="AD380" s="52"/>
      <c r="AE380" s="52"/>
      <c r="AF380" s="52"/>
      <c r="AG380" s="52"/>
      <c r="AH380" s="52"/>
      <c r="AI380" s="52"/>
      <c r="AJ380" s="52"/>
      <c r="AK380" s="52"/>
      <c r="AL380" s="52"/>
    </row>
    <row r="381" spans="1:38" ht="12.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3"/>
      <c r="AD381" s="52"/>
      <c r="AE381" s="52"/>
      <c r="AF381" s="52"/>
      <c r="AG381" s="52"/>
      <c r="AH381" s="52"/>
      <c r="AI381" s="52"/>
      <c r="AJ381" s="52"/>
      <c r="AK381" s="52"/>
      <c r="AL381" s="52"/>
    </row>
    <row r="382" spans="1:38" ht="12.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3"/>
      <c r="AD382" s="52"/>
      <c r="AE382" s="52"/>
      <c r="AF382" s="52"/>
      <c r="AG382" s="52"/>
      <c r="AH382" s="52"/>
      <c r="AI382" s="52"/>
      <c r="AJ382" s="52"/>
      <c r="AK382" s="52"/>
      <c r="AL382" s="52"/>
    </row>
    <row r="383" spans="1:38" ht="12.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3"/>
      <c r="AD383" s="52"/>
      <c r="AE383" s="52"/>
      <c r="AF383" s="52"/>
      <c r="AG383" s="52"/>
      <c r="AH383" s="52"/>
      <c r="AI383" s="52"/>
      <c r="AJ383" s="52"/>
      <c r="AK383" s="52"/>
      <c r="AL383" s="52"/>
    </row>
    <row r="384" spans="1:38" ht="12.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3"/>
      <c r="AD384" s="52"/>
      <c r="AE384" s="52"/>
      <c r="AF384" s="52"/>
      <c r="AG384" s="52"/>
      <c r="AH384" s="52"/>
      <c r="AI384" s="52"/>
      <c r="AJ384" s="52"/>
      <c r="AK384" s="52"/>
      <c r="AL384" s="52"/>
    </row>
    <row r="385" spans="1:38" ht="12.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3"/>
      <c r="AD385" s="52"/>
      <c r="AE385" s="52"/>
      <c r="AF385" s="52"/>
      <c r="AG385" s="52"/>
      <c r="AH385" s="52"/>
      <c r="AI385" s="52"/>
      <c r="AJ385" s="52"/>
      <c r="AK385" s="52"/>
      <c r="AL385" s="52"/>
    </row>
    <row r="386" spans="1:38" ht="12.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3"/>
      <c r="AD386" s="52"/>
      <c r="AE386" s="52"/>
      <c r="AF386" s="52"/>
      <c r="AG386" s="52"/>
      <c r="AH386" s="52"/>
      <c r="AI386" s="52"/>
      <c r="AJ386" s="52"/>
      <c r="AK386" s="52"/>
      <c r="AL386" s="52"/>
    </row>
    <row r="387" spans="1:38" ht="12.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3"/>
      <c r="AD387" s="52"/>
      <c r="AE387" s="52"/>
      <c r="AF387" s="52"/>
      <c r="AG387" s="52"/>
      <c r="AH387" s="52"/>
      <c r="AI387" s="52"/>
      <c r="AJ387" s="52"/>
      <c r="AK387" s="52"/>
      <c r="AL387" s="52"/>
    </row>
    <row r="388" spans="1:38" ht="12.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3"/>
      <c r="AD388" s="52"/>
      <c r="AE388" s="52"/>
      <c r="AF388" s="52"/>
      <c r="AG388" s="52"/>
      <c r="AH388" s="52"/>
      <c r="AI388" s="52"/>
      <c r="AJ388" s="52"/>
      <c r="AK388" s="52"/>
      <c r="AL388" s="52"/>
    </row>
    <row r="389" spans="1:38" ht="12.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3"/>
      <c r="AD389" s="52"/>
      <c r="AE389" s="52"/>
      <c r="AF389" s="52"/>
      <c r="AG389" s="52"/>
      <c r="AH389" s="52"/>
      <c r="AI389" s="52"/>
      <c r="AJ389" s="52"/>
      <c r="AK389" s="52"/>
      <c r="AL389" s="52"/>
    </row>
    <row r="390" spans="1:38" ht="12.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3"/>
      <c r="AD390" s="52"/>
      <c r="AE390" s="52"/>
      <c r="AF390" s="52"/>
      <c r="AG390" s="52"/>
      <c r="AH390" s="52"/>
      <c r="AI390" s="52"/>
      <c r="AJ390" s="52"/>
      <c r="AK390" s="52"/>
      <c r="AL390" s="52"/>
    </row>
    <row r="391" spans="1:38" ht="12.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3"/>
      <c r="AD391" s="52"/>
      <c r="AE391" s="52"/>
      <c r="AF391" s="52"/>
      <c r="AG391" s="52"/>
      <c r="AH391" s="52"/>
      <c r="AI391" s="52"/>
      <c r="AJ391" s="52"/>
      <c r="AK391" s="52"/>
      <c r="AL391" s="52"/>
    </row>
    <row r="392" spans="1:38" ht="12.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3"/>
      <c r="AD392" s="52"/>
      <c r="AE392" s="52"/>
      <c r="AF392" s="52"/>
      <c r="AG392" s="52"/>
      <c r="AH392" s="52"/>
      <c r="AI392" s="52"/>
      <c r="AJ392" s="52"/>
      <c r="AK392" s="52"/>
      <c r="AL392" s="52"/>
    </row>
    <row r="393" spans="1:38" ht="12.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3"/>
      <c r="AD393" s="52"/>
      <c r="AE393" s="52"/>
      <c r="AF393" s="52"/>
      <c r="AG393" s="52"/>
      <c r="AH393" s="52"/>
      <c r="AI393" s="52"/>
      <c r="AJ393" s="52"/>
      <c r="AK393" s="52"/>
      <c r="AL393" s="52"/>
    </row>
    <row r="394" spans="1:38" ht="12.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3"/>
      <c r="AD394" s="52"/>
      <c r="AE394" s="52"/>
      <c r="AF394" s="52"/>
      <c r="AG394" s="52"/>
      <c r="AH394" s="52"/>
      <c r="AI394" s="52"/>
      <c r="AJ394" s="52"/>
      <c r="AK394" s="52"/>
      <c r="AL394" s="52"/>
    </row>
    <row r="395" spans="1:38" ht="12.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3"/>
      <c r="AD395" s="52"/>
      <c r="AE395" s="52"/>
      <c r="AF395" s="52"/>
      <c r="AG395" s="52"/>
      <c r="AH395" s="52"/>
      <c r="AI395" s="52"/>
      <c r="AJ395" s="52"/>
      <c r="AK395" s="52"/>
      <c r="AL395" s="52"/>
    </row>
    <row r="396" spans="1:38" ht="12.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3"/>
      <c r="AD396" s="52"/>
      <c r="AE396" s="52"/>
      <c r="AF396" s="52"/>
      <c r="AG396" s="52"/>
      <c r="AH396" s="52"/>
      <c r="AI396" s="52"/>
      <c r="AJ396" s="52"/>
      <c r="AK396" s="52"/>
      <c r="AL396" s="52"/>
    </row>
    <row r="397" spans="1:38" ht="12.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3"/>
      <c r="AD397" s="52"/>
      <c r="AE397" s="52"/>
      <c r="AF397" s="52"/>
      <c r="AG397" s="52"/>
      <c r="AH397" s="52"/>
      <c r="AI397" s="52"/>
      <c r="AJ397" s="52"/>
      <c r="AK397" s="52"/>
      <c r="AL397" s="52"/>
    </row>
    <row r="398" spans="1:38" ht="12.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3"/>
      <c r="AD398" s="52"/>
      <c r="AE398" s="52"/>
      <c r="AF398" s="52"/>
      <c r="AG398" s="52"/>
      <c r="AH398" s="52"/>
      <c r="AI398" s="52"/>
      <c r="AJ398" s="52"/>
      <c r="AK398" s="52"/>
      <c r="AL398" s="52"/>
    </row>
    <row r="399" spans="1:38" ht="12.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3"/>
      <c r="AD399" s="52"/>
      <c r="AE399" s="52"/>
      <c r="AF399" s="52"/>
      <c r="AG399" s="52"/>
      <c r="AH399" s="52"/>
      <c r="AI399" s="52"/>
      <c r="AJ399" s="52"/>
      <c r="AK399" s="52"/>
      <c r="AL399" s="52"/>
    </row>
    <row r="400" spans="1:38" ht="12.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3"/>
      <c r="AD400" s="52"/>
      <c r="AE400" s="52"/>
      <c r="AF400" s="52"/>
      <c r="AG400" s="52"/>
      <c r="AH400" s="52"/>
      <c r="AI400" s="52"/>
      <c r="AJ400" s="52"/>
      <c r="AK400" s="52"/>
      <c r="AL400" s="52"/>
    </row>
    <row r="401" spans="1:38" ht="12.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3"/>
      <c r="AD401" s="52"/>
      <c r="AE401" s="52"/>
      <c r="AF401" s="52"/>
      <c r="AG401" s="52"/>
      <c r="AH401" s="52"/>
      <c r="AI401" s="52"/>
      <c r="AJ401" s="52"/>
      <c r="AK401" s="52"/>
      <c r="AL401" s="52"/>
    </row>
    <row r="402" spans="1:38" ht="12.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3"/>
      <c r="AD402" s="52"/>
      <c r="AE402" s="52"/>
      <c r="AF402" s="52"/>
      <c r="AG402" s="52"/>
      <c r="AH402" s="52"/>
      <c r="AI402" s="52"/>
      <c r="AJ402" s="52"/>
      <c r="AK402" s="52"/>
      <c r="AL402" s="52"/>
    </row>
    <row r="403" spans="1:38" ht="12.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3"/>
      <c r="AD403" s="52"/>
      <c r="AE403" s="52"/>
      <c r="AF403" s="52"/>
      <c r="AG403" s="52"/>
      <c r="AH403" s="52"/>
      <c r="AI403" s="52"/>
      <c r="AJ403" s="52"/>
      <c r="AK403" s="52"/>
      <c r="AL403" s="52"/>
    </row>
    <row r="404" spans="1:38" ht="12.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3"/>
      <c r="AD404" s="52"/>
      <c r="AE404" s="52"/>
      <c r="AF404" s="52"/>
      <c r="AG404" s="52"/>
      <c r="AH404" s="52"/>
      <c r="AI404" s="52"/>
      <c r="AJ404" s="52"/>
      <c r="AK404" s="52"/>
      <c r="AL404" s="52"/>
    </row>
    <row r="405" spans="1:38" ht="12.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3"/>
      <c r="AD405" s="52"/>
      <c r="AE405" s="52"/>
      <c r="AF405" s="52"/>
      <c r="AG405" s="52"/>
      <c r="AH405" s="52"/>
      <c r="AI405" s="52"/>
      <c r="AJ405" s="52"/>
      <c r="AK405" s="52"/>
      <c r="AL405" s="52"/>
    </row>
    <row r="406" spans="1:38" ht="12.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3"/>
      <c r="AD406" s="52"/>
      <c r="AE406" s="52"/>
      <c r="AF406" s="52"/>
      <c r="AG406" s="52"/>
      <c r="AH406" s="52"/>
      <c r="AI406" s="52"/>
      <c r="AJ406" s="52"/>
      <c r="AK406" s="52"/>
      <c r="AL406" s="52"/>
    </row>
    <row r="407" spans="1:38" ht="12.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3"/>
      <c r="AD407" s="52"/>
      <c r="AE407" s="52"/>
      <c r="AF407" s="52"/>
      <c r="AG407" s="52"/>
      <c r="AH407" s="52"/>
      <c r="AI407" s="52"/>
      <c r="AJ407" s="52"/>
      <c r="AK407" s="52"/>
      <c r="AL407" s="52"/>
    </row>
    <row r="408" spans="1:38" ht="12.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3"/>
      <c r="AD408" s="52"/>
      <c r="AE408" s="52"/>
      <c r="AF408" s="52"/>
      <c r="AG408" s="52"/>
      <c r="AH408" s="52"/>
      <c r="AI408" s="52"/>
      <c r="AJ408" s="52"/>
      <c r="AK408" s="52"/>
      <c r="AL408" s="52"/>
    </row>
    <row r="409" spans="1:38" ht="12.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3"/>
      <c r="AD409" s="52"/>
      <c r="AE409" s="52"/>
      <c r="AF409" s="52"/>
      <c r="AG409" s="52"/>
      <c r="AH409" s="52"/>
      <c r="AI409" s="52"/>
      <c r="AJ409" s="52"/>
      <c r="AK409" s="52"/>
      <c r="AL409" s="52"/>
    </row>
    <row r="410" spans="1:38" ht="12.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3"/>
      <c r="AD410" s="52"/>
      <c r="AE410" s="52"/>
      <c r="AF410" s="52"/>
      <c r="AG410" s="52"/>
      <c r="AH410" s="52"/>
      <c r="AI410" s="52"/>
      <c r="AJ410" s="52"/>
      <c r="AK410" s="52"/>
      <c r="AL410" s="52"/>
    </row>
    <row r="411" spans="1:38" ht="12.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3"/>
      <c r="AD411" s="52"/>
      <c r="AE411" s="52"/>
      <c r="AF411" s="52"/>
      <c r="AG411" s="52"/>
      <c r="AH411" s="52"/>
      <c r="AI411" s="52"/>
      <c r="AJ411" s="52"/>
      <c r="AK411" s="52"/>
      <c r="AL411" s="52"/>
    </row>
    <row r="412" spans="1:38" ht="12.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3"/>
      <c r="AD412" s="52"/>
      <c r="AE412" s="52"/>
      <c r="AF412" s="52"/>
      <c r="AG412" s="52"/>
      <c r="AH412" s="52"/>
      <c r="AI412" s="52"/>
      <c r="AJ412" s="52"/>
      <c r="AK412" s="52"/>
      <c r="AL412" s="52"/>
    </row>
    <row r="413" spans="1:38" ht="12.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3"/>
      <c r="AD413" s="52"/>
      <c r="AE413" s="52"/>
      <c r="AF413" s="52"/>
      <c r="AG413" s="52"/>
      <c r="AH413" s="52"/>
      <c r="AI413" s="52"/>
      <c r="AJ413" s="52"/>
      <c r="AK413" s="52"/>
      <c r="AL413" s="52"/>
    </row>
    <row r="414" spans="1:38" ht="12.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3"/>
      <c r="AD414" s="52"/>
      <c r="AE414" s="52"/>
      <c r="AF414" s="52"/>
      <c r="AG414" s="52"/>
      <c r="AH414" s="52"/>
      <c r="AI414" s="52"/>
      <c r="AJ414" s="52"/>
      <c r="AK414" s="52"/>
      <c r="AL414" s="52"/>
    </row>
    <row r="415" spans="1:38" ht="12.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3"/>
      <c r="AD415" s="52"/>
      <c r="AE415" s="52"/>
      <c r="AF415" s="52"/>
      <c r="AG415" s="52"/>
      <c r="AH415" s="52"/>
      <c r="AI415" s="52"/>
      <c r="AJ415" s="52"/>
      <c r="AK415" s="52"/>
      <c r="AL415" s="52"/>
    </row>
    <row r="416" spans="1:38" ht="12.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3"/>
      <c r="AD416" s="52"/>
      <c r="AE416" s="52"/>
      <c r="AF416" s="52"/>
      <c r="AG416" s="52"/>
      <c r="AH416" s="52"/>
      <c r="AI416" s="52"/>
      <c r="AJ416" s="52"/>
      <c r="AK416" s="52"/>
      <c r="AL416" s="52"/>
    </row>
    <row r="417" spans="1:38" ht="12.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3"/>
      <c r="AD417" s="52"/>
      <c r="AE417" s="52"/>
      <c r="AF417" s="52"/>
      <c r="AG417" s="52"/>
      <c r="AH417" s="52"/>
      <c r="AI417" s="52"/>
      <c r="AJ417" s="52"/>
      <c r="AK417" s="52"/>
      <c r="AL417" s="52"/>
    </row>
    <row r="418" spans="1:38" ht="12.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3"/>
      <c r="AD418" s="52"/>
      <c r="AE418" s="52"/>
      <c r="AF418" s="52"/>
      <c r="AG418" s="52"/>
      <c r="AH418" s="52"/>
      <c r="AI418" s="52"/>
      <c r="AJ418" s="52"/>
      <c r="AK418" s="52"/>
      <c r="AL418" s="52"/>
    </row>
    <row r="419" spans="1:38" ht="12.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3"/>
      <c r="AD419" s="52"/>
      <c r="AE419" s="52"/>
      <c r="AF419" s="52"/>
      <c r="AG419" s="52"/>
      <c r="AH419" s="52"/>
      <c r="AI419" s="52"/>
      <c r="AJ419" s="52"/>
      <c r="AK419" s="52"/>
      <c r="AL419" s="52"/>
    </row>
    <row r="420" spans="1:38" ht="12.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3"/>
      <c r="AD420" s="52"/>
      <c r="AE420" s="52"/>
      <c r="AF420" s="52"/>
      <c r="AG420" s="52"/>
      <c r="AH420" s="52"/>
      <c r="AI420" s="52"/>
      <c r="AJ420" s="52"/>
      <c r="AK420" s="52"/>
      <c r="AL420" s="52"/>
    </row>
    <row r="421" spans="1:38" ht="12.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3"/>
      <c r="AD421" s="52"/>
      <c r="AE421" s="52"/>
      <c r="AF421" s="52"/>
      <c r="AG421" s="52"/>
      <c r="AH421" s="52"/>
      <c r="AI421" s="52"/>
      <c r="AJ421" s="52"/>
      <c r="AK421" s="52"/>
      <c r="AL421" s="52"/>
    </row>
    <row r="422" spans="1:38" ht="12.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3"/>
      <c r="AD422" s="52"/>
      <c r="AE422" s="52"/>
      <c r="AF422" s="52"/>
      <c r="AG422" s="52"/>
      <c r="AH422" s="52"/>
      <c r="AI422" s="52"/>
      <c r="AJ422" s="52"/>
      <c r="AK422" s="52"/>
      <c r="AL422" s="52"/>
    </row>
    <row r="423" spans="1:38" ht="12.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3"/>
      <c r="AD423" s="52"/>
      <c r="AE423" s="52"/>
      <c r="AF423" s="52"/>
      <c r="AG423" s="52"/>
      <c r="AH423" s="52"/>
      <c r="AI423" s="52"/>
      <c r="AJ423" s="52"/>
      <c r="AK423" s="52"/>
      <c r="AL423" s="52"/>
    </row>
    <row r="424" spans="1:38" ht="12.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3"/>
      <c r="AD424" s="52"/>
      <c r="AE424" s="52"/>
      <c r="AF424" s="52"/>
      <c r="AG424" s="52"/>
      <c r="AH424" s="52"/>
      <c r="AI424" s="52"/>
      <c r="AJ424" s="52"/>
      <c r="AK424" s="52"/>
      <c r="AL424" s="52"/>
    </row>
    <row r="425" spans="1:38" ht="12.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3"/>
      <c r="AD425" s="52"/>
      <c r="AE425" s="52"/>
      <c r="AF425" s="52"/>
      <c r="AG425" s="52"/>
      <c r="AH425" s="52"/>
      <c r="AI425" s="52"/>
      <c r="AJ425" s="52"/>
      <c r="AK425" s="52"/>
      <c r="AL425" s="52"/>
    </row>
    <row r="426" spans="1:38" ht="12.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3"/>
      <c r="AD426" s="52"/>
      <c r="AE426" s="52"/>
      <c r="AF426" s="52"/>
      <c r="AG426" s="52"/>
      <c r="AH426" s="52"/>
      <c r="AI426" s="52"/>
      <c r="AJ426" s="52"/>
      <c r="AK426" s="52"/>
      <c r="AL426" s="52"/>
    </row>
    <row r="427" spans="1:38" ht="12.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3"/>
      <c r="AD427" s="52"/>
      <c r="AE427" s="52"/>
      <c r="AF427" s="52"/>
      <c r="AG427" s="52"/>
      <c r="AH427" s="52"/>
      <c r="AI427" s="52"/>
      <c r="AJ427" s="52"/>
      <c r="AK427" s="52"/>
      <c r="AL427" s="52"/>
    </row>
    <row r="428" spans="1:38" ht="12.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3"/>
      <c r="AD428" s="52"/>
      <c r="AE428" s="52"/>
      <c r="AF428" s="52"/>
      <c r="AG428" s="52"/>
      <c r="AH428" s="52"/>
      <c r="AI428" s="52"/>
      <c r="AJ428" s="52"/>
      <c r="AK428" s="52"/>
      <c r="AL428" s="52"/>
    </row>
    <row r="429" spans="1:38" ht="12.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3"/>
      <c r="AD429" s="52"/>
      <c r="AE429" s="52"/>
      <c r="AF429" s="52"/>
      <c r="AG429" s="52"/>
      <c r="AH429" s="52"/>
      <c r="AI429" s="52"/>
      <c r="AJ429" s="52"/>
      <c r="AK429" s="52"/>
      <c r="AL429" s="52"/>
    </row>
    <row r="430" spans="1:38" ht="12.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3"/>
      <c r="AD430" s="52"/>
      <c r="AE430" s="52"/>
      <c r="AF430" s="52"/>
      <c r="AG430" s="52"/>
      <c r="AH430" s="52"/>
      <c r="AI430" s="52"/>
      <c r="AJ430" s="52"/>
      <c r="AK430" s="52"/>
      <c r="AL430" s="52"/>
    </row>
    <row r="431" spans="1:38" ht="12.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3"/>
      <c r="AD431" s="52"/>
      <c r="AE431" s="52"/>
      <c r="AF431" s="52"/>
      <c r="AG431" s="52"/>
      <c r="AH431" s="52"/>
      <c r="AI431" s="52"/>
      <c r="AJ431" s="52"/>
      <c r="AK431" s="52"/>
      <c r="AL431" s="52"/>
    </row>
    <row r="432" spans="1:38" ht="12.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3"/>
      <c r="AD432" s="52"/>
      <c r="AE432" s="52"/>
      <c r="AF432" s="52"/>
      <c r="AG432" s="52"/>
      <c r="AH432" s="52"/>
      <c r="AI432" s="52"/>
      <c r="AJ432" s="52"/>
      <c r="AK432" s="52"/>
      <c r="AL432" s="52"/>
    </row>
    <row r="433" spans="1:38" ht="12.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3"/>
      <c r="AD433" s="52"/>
      <c r="AE433" s="52"/>
      <c r="AF433" s="52"/>
      <c r="AG433" s="52"/>
      <c r="AH433" s="52"/>
      <c r="AI433" s="52"/>
      <c r="AJ433" s="52"/>
      <c r="AK433" s="52"/>
      <c r="AL433" s="52"/>
    </row>
    <row r="434" spans="1:38" ht="12.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3"/>
      <c r="AD434" s="52"/>
      <c r="AE434" s="52"/>
      <c r="AF434" s="52"/>
      <c r="AG434" s="52"/>
      <c r="AH434" s="52"/>
      <c r="AI434" s="52"/>
      <c r="AJ434" s="52"/>
      <c r="AK434" s="52"/>
      <c r="AL434" s="52"/>
    </row>
    <row r="435" spans="1:38" ht="12.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3"/>
      <c r="AD435" s="52"/>
      <c r="AE435" s="52"/>
      <c r="AF435" s="52"/>
      <c r="AG435" s="52"/>
      <c r="AH435" s="52"/>
      <c r="AI435" s="52"/>
      <c r="AJ435" s="52"/>
      <c r="AK435" s="52"/>
      <c r="AL435" s="52"/>
    </row>
    <row r="436" spans="1:38" ht="12.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3"/>
      <c r="AD436" s="52"/>
      <c r="AE436" s="52"/>
      <c r="AF436" s="52"/>
      <c r="AG436" s="52"/>
      <c r="AH436" s="52"/>
      <c r="AI436" s="52"/>
      <c r="AJ436" s="52"/>
      <c r="AK436" s="52"/>
      <c r="AL436" s="52"/>
    </row>
    <row r="437" spans="1:38" ht="12.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3"/>
      <c r="AD437" s="52"/>
      <c r="AE437" s="52"/>
      <c r="AF437" s="52"/>
      <c r="AG437" s="52"/>
      <c r="AH437" s="52"/>
      <c r="AI437" s="52"/>
      <c r="AJ437" s="52"/>
      <c r="AK437" s="52"/>
      <c r="AL437" s="52"/>
    </row>
    <row r="438" spans="1:38" ht="12.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3"/>
      <c r="AD438" s="52"/>
      <c r="AE438" s="52"/>
      <c r="AF438" s="52"/>
      <c r="AG438" s="52"/>
      <c r="AH438" s="52"/>
      <c r="AI438" s="52"/>
      <c r="AJ438" s="52"/>
      <c r="AK438" s="52"/>
      <c r="AL438" s="52"/>
    </row>
    <row r="439" spans="1:38" ht="12.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3"/>
      <c r="AD439" s="52"/>
      <c r="AE439" s="52"/>
      <c r="AF439" s="52"/>
      <c r="AG439" s="52"/>
      <c r="AH439" s="52"/>
      <c r="AI439" s="52"/>
      <c r="AJ439" s="52"/>
      <c r="AK439" s="52"/>
      <c r="AL439" s="52"/>
    </row>
    <row r="440" spans="1:38" ht="12.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3"/>
      <c r="AD440" s="52"/>
      <c r="AE440" s="52"/>
      <c r="AF440" s="52"/>
      <c r="AG440" s="52"/>
      <c r="AH440" s="52"/>
      <c r="AI440" s="52"/>
      <c r="AJ440" s="52"/>
      <c r="AK440" s="52"/>
      <c r="AL440" s="52"/>
    </row>
    <row r="441" spans="1:38" ht="12.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3"/>
      <c r="AD441" s="52"/>
      <c r="AE441" s="52"/>
      <c r="AF441" s="52"/>
      <c r="AG441" s="52"/>
      <c r="AH441" s="52"/>
      <c r="AI441" s="52"/>
      <c r="AJ441" s="52"/>
      <c r="AK441" s="52"/>
      <c r="AL441" s="52"/>
    </row>
    <row r="442" spans="1:38" ht="12.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3"/>
      <c r="AD442" s="52"/>
      <c r="AE442" s="52"/>
      <c r="AF442" s="52"/>
      <c r="AG442" s="52"/>
      <c r="AH442" s="52"/>
      <c r="AI442" s="52"/>
      <c r="AJ442" s="52"/>
      <c r="AK442" s="52"/>
      <c r="AL442" s="52"/>
    </row>
    <row r="443" spans="1:38" ht="12.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3"/>
      <c r="AD443" s="52"/>
      <c r="AE443" s="52"/>
      <c r="AF443" s="52"/>
      <c r="AG443" s="52"/>
      <c r="AH443" s="52"/>
      <c r="AI443" s="52"/>
      <c r="AJ443" s="52"/>
      <c r="AK443" s="52"/>
      <c r="AL443" s="52"/>
    </row>
    <row r="444" spans="1:38" ht="12.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3"/>
      <c r="AD444" s="52"/>
      <c r="AE444" s="52"/>
      <c r="AF444" s="52"/>
      <c r="AG444" s="52"/>
      <c r="AH444" s="52"/>
      <c r="AI444" s="52"/>
      <c r="AJ444" s="52"/>
      <c r="AK444" s="52"/>
      <c r="AL444" s="52"/>
    </row>
    <row r="445" spans="1:38" ht="12.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3"/>
      <c r="AD445" s="52"/>
      <c r="AE445" s="52"/>
      <c r="AF445" s="52"/>
      <c r="AG445" s="52"/>
      <c r="AH445" s="52"/>
      <c r="AI445" s="52"/>
      <c r="AJ445" s="52"/>
      <c r="AK445" s="52"/>
      <c r="AL445" s="52"/>
    </row>
    <row r="446" spans="1:38" ht="12.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3"/>
      <c r="AD446" s="52"/>
      <c r="AE446" s="52"/>
      <c r="AF446" s="52"/>
      <c r="AG446" s="52"/>
      <c r="AH446" s="52"/>
      <c r="AI446" s="52"/>
      <c r="AJ446" s="52"/>
      <c r="AK446" s="52"/>
      <c r="AL446" s="52"/>
    </row>
    <row r="447" spans="1:38" ht="12.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3"/>
      <c r="AD447" s="52"/>
      <c r="AE447" s="52"/>
      <c r="AF447" s="52"/>
      <c r="AG447" s="52"/>
      <c r="AH447" s="52"/>
      <c r="AI447" s="52"/>
      <c r="AJ447" s="52"/>
      <c r="AK447" s="52"/>
      <c r="AL447" s="52"/>
    </row>
    <row r="448" spans="1:38" ht="12.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3"/>
      <c r="AD448" s="52"/>
      <c r="AE448" s="52"/>
      <c r="AF448" s="52"/>
      <c r="AG448" s="52"/>
      <c r="AH448" s="52"/>
      <c r="AI448" s="52"/>
      <c r="AJ448" s="52"/>
      <c r="AK448" s="52"/>
      <c r="AL448" s="52"/>
    </row>
    <row r="449" spans="1:38" ht="12.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3"/>
      <c r="AD449" s="52"/>
      <c r="AE449" s="52"/>
      <c r="AF449" s="52"/>
      <c r="AG449" s="52"/>
      <c r="AH449" s="52"/>
      <c r="AI449" s="52"/>
      <c r="AJ449" s="52"/>
      <c r="AK449" s="52"/>
      <c r="AL449" s="52"/>
    </row>
    <row r="450" spans="1:38" ht="12.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3"/>
      <c r="AD450" s="52"/>
      <c r="AE450" s="52"/>
      <c r="AF450" s="52"/>
      <c r="AG450" s="52"/>
      <c r="AH450" s="52"/>
      <c r="AI450" s="52"/>
      <c r="AJ450" s="52"/>
      <c r="AK450" s="52"/>
      <c r="AL450" s="52"/>
    </row>
    <row r="451" spans="1:38" ht="12.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3"/>
      <c r="AD451" s="52"/>
      <c r="AE451" s="52"/>
      <c r="AF451" s="52"/>
      <c r="AG451" s="52"/>
      <c r="AH451" s="52"/>
      <c r="AI451" s="52"/>
      <c r="AJ451" s="52"/>
      <c r="AK451" s="52"/>
      <c r="AL451" s="52"/>
    </row>
    <row r="452" spans="1:38" ht="12.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3"/>
      <c r="AD452" s="52"/>
      <c r="AE452" s="52"/>
      <c r="AF452" s="52"/>
      <c r="AG452" s="52"/>
      <c r="AH452" s="52"/>
      <c r="AI452" s="52"/>
      <c r="AJ452" s="52"/>
      <c r="AK452" s="52"/>
      <c r="AL452" s="52"/>
    </row>
    <row r="453" spans="1:38" ht="12.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3"/>
      <c r="AD453" s="52"/>
      <c r="AE453" s="52"/>
      <c r="AF453" s="52"/>
      <c r="AG453" s="52"/>
      <c r="AH453" s="52"/>
      <c r="AI453" s="52"/>
      <c r="AJ453" s="52"/>
      <c r="AK453" s="52"/>
      <c r="AL453" s="52"/>
    </row>
    <row r="454" spans="1:38" ht="12.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3"/>
      <c r="AD454" s="52"/>
      <c r="AE454" s="52"/>
      <c r="AF454" s="52"/>
      <c r="AG454" s="52"/>
      <c r="AH454" s="52"/>
      <c r="AI454" s="52"/>
      <c r="AJ454" s="52"/>
      <c r="AK454" s="52"/>
      <c r="AL454" s="52"/>
    </row>
    <row r="455" spans="1:38" ht="12.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3"/>
      <c r="AD455" s="52"/>
      <c r="AE455" s="52"/>
      <c r="AF455" s="52"/>
      <c r="AG455" s="52"/>
      <c r="AH455" s="52"/>
      <c r="AI455" s="52"/>
      <c r="AJ455" s="52"/>
      <c r="AK455" s="52"/>
      <c r="AL455" s="52"/>
    </row>
    <row r="456" spans="1:38" ht="12.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3"/>
      <c r="AD456" s="52"/>
      <c r="AE456" s="52"/>
      <c r="AF456" s="52"/>
      <c r="AG456" s="52"/>
      <c r="AH456" s="52"/>
      <c r="AI456" s="52"/>
      <c r="AJ456" s="52"/>
      <c r="AK456" s="52"/>
      <c r="AL456" s="52"/>
    </row>
    <row r="457" spans="1:38" ht="12.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3"/>
      <c r="AD457" s="52"/>
      <c r="AE457" s="52"/>
      <c r="AF457" s="52"/>
      <c r="AG457" s="52"/>
      <c r="AH457" s="52"/>
      <c r="AI457" s="52"/>
      <c r="AJ457" s="52"/>
      <c r="AK457" s="52"/>
      <c r="AL457" s="52"/>
    </row>
    <row r="458" spans="1:38" ht="12.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3"/>
      <c r="AD458" s="52"/>
      <c r="AE458" s="52"/>
      <c r="AF458" s="52"/>
      <c r="AG458" s="52"/>
      <c r="AH458" s="52"/>
      <c r="AI458" s="52"/>
      <c r="AJ458" s="52"/>
      <c r="AK458" s="52"/>
      <c r="AL458" s="52"/>
    </row>
    <row r="459" spans="1:38" ht="12.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3"/>
      <c r="AD459" s="52"/>
      <c r="AE459" s="52"/>
      <c r="AF459" s="52"/>
      <c r="AG459" s="52"/>
      <c r="AH459" s="52"/>
      <c r="AI459" s="52"/>
      <c r="AJ459" s="52"/>
      <c r="AK459" s="52"/>
      <c r="AL459" s="52"/>
    </row>
    <row r="460" spans="1:38" ht="12.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3"/>
      <c r="AD460" s="52"/>
      <c r="AE460" s="52"/>
      <c r="AF460" s="52"/>
      <c r="AG460" s="52"/>
      <c r="AH460" s="52"/>
      <c r="AI460" s="52"/>
      <c r="AJ460" s="52"/>
      <c r="AK460" s="52"/>
      <c r="AL460" s="52"/>
    </row>
    <row r="461" spans="1:38" ht="12.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3"/>
      <c r="AD461" s="52"/>
      <c r="AE461" s="52"/>
      <c r="AF461" s="52"/>
      <c r="AG461" s="52"/>
      <c r="AH461" s="52"/>
      <c r="AI461" s="52"/>
      <c r="AJ461" s="52"/>
      <c r="AK461" s="52"/>
      <c r="AL461" s="52"/>
    </row>
    <row r="462" spans="1:38" ht="12.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3"/>
      <c r="AD462" s="52"/>
      <c r="AE462" s="52"/>
      <c r="AF462" s="52"/>
      <c r="AG462" s="52"/>
      <c r="AH462" s="52"/>
      <c r="AI462" s="52"/>
      <c r="AJ462" s="52"/>
      <c r="AK462" s="52"/>
      <c r="AL462" s="52"/>
    </row>
    <row r="463" spans="1:38" ht="12.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3"/>
      <c r="AD463" s="52"/>
      <c r="AE463" s="52"/>
      <c r="AF463" s="52"/>
      <c r="AG463" s="52"/>
      <c r="AH463" s="52"/>
      <c r="AI463" s="52"/>
      <c r="AJ463" s="52"/>
      <c r="AK463" s="52"/>
      <c r="AL463" s="52"/>
    </row>
    <row r="464" spans="1:38" ht="12.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3"/>
      <c r="AD464" s="52"/>
      <c r="AE464" s="52"/>
      <c r="AF464" s="52"/>
      <c r="AG464" s="52"/>
      <c r="AH464" s="52"/>
      <c r="AI464" s="52"/>
      <c r="AJ464" s="52"/>
      <c r="AK464" s="52"/>
      <c r="AL464" s="52"/>
    </row>
    <row r="465" spans="1:38" ht="12.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3"/>
      <c r="AD465" s="52"/>
      <c r="AE465" s="52"/>
      <c r="AF465" s="52"/>
      <c r="AG465" s="52"/>
      <c r="AH465" s="52"/>
      <c r="AI465" s="52"/>
      <c r="AJ465" s="52"/>
      <c r="AK465" s="52"/>
      <c r="AL465" s="52"/>
    </row>
    <row r="466" spans="1:38" ht="12.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3"/>
      <c r="AD466" s="52"/>
      <c r="AE466" s="52"/>
      <c r="AF466" s="52"/>
      <c r="AG466" s="52"/>
      <c r="AH466" s="52"/>
      <c r="AI466" s="52"/>
      <c r="AJ466" s="52"/>
      <c r="AK466" s="52"/>
      <c r="AL466" s="52"/>
    </row>
    <row r="467" spans="1:38" ht="12.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3"/>
      <c r="AD467" s="52"/>
      <c r="AE467" s="52"/>
      <c r="AF467" s="52"/>
      <c r="AG467" s="52"/>
      <c r="AH467" s="52"/>
      <c r="AI467" s="52"/>
      <c r="AJ467" s="52"/>
      <c r="AK467" s="52"/>
      <c r="AL467" s="52"/>
    </row>
    <row r="468" spans="1:38" ht="12.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3"/>
      <c r="AD468" s="52"/>
      <c r="AE468" s="52"/>
      <c r="AF468" s="52"/>
      <c r="AG468" s="52"/>
      <c r="AH468" s="52"/>
      <c r="AI468" s="52"/>
      <c r="AJ468" s="52"/>
      <c r="AK468" s="52"/>
      <c r="AL468" s="52"/>
    </row>
    <row r="469" spans="1:38" ht="12.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3"/>
      <c r="AD469" s="52"/>
      <c r="AE469" s="52"/>
      <c r="AF469" s="52"/>
      <c r="AG469" s="52"/>
      <c r="AH469" s="52"/>
      <c r="AI469" s="52"/>
      <c r="AJ469" s="52"/>
      <c r="AK469" s="52"/>
      <c r="AL469" s="52"/>
    </row>
    <row r="470" spans="1:38" ht="12.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3"/>
      <c r="AD470" s="52"/>
      <c r="AE470" s="52"/>
      <c r="AF470" s="52"/>
      <c r="AG470" s="52"/>
      <c r="AH470" s="52"/>
      <c r="AI470" s="52"/>
      <c r="AJ470" s="52"/>
      <c r="AK470" s="52"/>
      <c r="AL470" s="52"/>
    </row>
    <row r="471" spans="1:38" ht="12.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3"/>
      <c r="AD471" s="52"/>
      <c r="AE471" s="52"/>
      <c r="AF471" s="52"/>
      <c r="AG471" s="52"/>
      <c r="AH471" s="52"/>
      <c r="AI471" s="52"/>
      <c r="AJ471" s="52"/>
      <c r="AK471" s="52"/>
      <c r="AL471" s="52"/>
    </row>
    <row r="472" spans="1:38" ht="12.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3"/>
      <c r="AD472" s="52"/>
      <c r="AE472" s="52"/>
      <c r="AF472" s="52"/>
      <c r="AG472" s="52"/>
      <c r="AH472" s="52"/>
      <c r="AI472" s="52"/>
      <c r="AJ472" s="52"/>
      <c r="AK472" s="52"/>
      <c r="AL472" s="52"/>
    </row>
    <row r="473" spans="1:38" ht="12.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3"/>
      <c r="AD473" s="52"/>
      <c r="AE473" s="52"/>
      <c r="AF473" s="52"/>
      <c r="AG473" s="52"/>
      <c r="AH473" s="52"/>
      <c r="AI473" s="52"/>
      <c r="AJ473" s="52"/>
      <c r="AK473" s="52"/>
      <c r="AL473" s="52"/>
    </row>
    <row r="474" spans="1:38" ht="12.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3"/>
      <c r="AD474" s="52"/>
      <c r="AE474" s="52"/>
      <c r="AF474" s="52"/>
      <c r="AG474" s="52"/>
      <c r="AH474" s="52"/>
      <c r="AI474" s="52"/>
      <c r="AJ474" s="52"/>
      <c r="AK474" s="52"/>
      <c r="AL474" s="52"/>
    </row>
    <row r="475" spans="1:38" ht="12.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3"/>
      <c r="AD475" s="52"/>
      <c r="AE475" s="52"/>
      <c r="AF475" s="52"/>
      <c r="AG475" s="52"/>
      <c r="AH475" s="52"/>
      <c r="AI475" s="52"/>
      <c r="AJ475" s="52"/>
      <c r="AK475" s="52"/>
      <c r="AL475" s="52"/>
    </row>
    <row r="476" spans="1:38" ht="12.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3"/>
      <c r="AD476" s="52"/>
      <c r="AE476" s="52"/>
      <c r="AF476" s="52"/>
      <c r="AG476" s="52"/>
      <c r="AH476" s="52"/>
      <c r="AI476" s="52"/>
      <c r="AJ476" s="52"/>
      <c r="AK476" s="52"/>
      <c r="AL476" s="52"/>
    </row>
    <row r="477" spans="1:38" ht="12.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3"/>
      <c r="AD477" s="52"/>
      <c r="AE477" s="52"/>
      <c r="AF477" s="52"/>
      <c r="AG477" s="52"/>
      <c r="AH477" s="52"/>
      <c r="AI477" s="52"/>
      <c r="AJ477" s="52"/>
      <c r="AK477" s="52"/>
      <c r="AL477" s="52"/>
    </row>
    <row r="478" spans="1:38" ht="12.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3"/>
      <c r="AD478" s="52"/>
      <c r="AE478" s="52"/>
      <c r="AF478" s="52"/>
      <c r="AG478" s="52"/>
      <c r="AH478" s="52"/>
      <c r="AI478" s="52"/>
      <c r="AJ478" s="52"/>
      <c r="AK478" s="52"/>
      <c r="AL478" s="52"/>
    </row>
    <row r="479" spans="1:38" ht="12.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3"/>
      <c r="AD479" s="52"/>
      <c r="AE479" s="52"/>
      <c r="AF479" s="52"/>
      <c r="AG479" s="52"/>
      <c r="AH479" s="52"/>
      <c r="AI479" s="52"/>
      <c r="AJ479" s="52"/>
      <c r="AK479" s="52"/>
      <c r="AL479" s="52"/>
    </row>
    <row r="480" spans="1:38" ht="12.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3"/>
      <c r="AD480" s="52"/>
      <c r="AE480" s="52"/>
      <c r="AF480" s="52"/>
      <c r="AG480" s="52"/>
      <c r="AH480" s="52"/>
      <c r="AI480" s="52"/>
      <c r="AJ480" s="52"/>
      <c r="AK480" s="52"/>
      <c r="AL480" s="52"/>
    </row>
    <row r="481" spans="1:38" ht="12.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3"/>
      <c r="AD481" s="52"/>
      <c r="AE481" s="52"/>
      <c r="AF481" s="52"/>
      <c r="AG481" s="52"/>
      <c r="AH481" s="52"/>
      <c r="AI481" s="52"/>
      <c r="AJ481" s="52"/>
      <c r="AK481" s="52"/>
      <c r="AL481" s="52"/>
    </row>
    <row r="482" spans="1:38" ht="12.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3"/>
      <c r="AD482" s="52"/>
      <c r="AE482" s="52"/>
      <c r="AF482" s="52"/>
      <c r="AG482" s="52"/>
      <c r="AH482" s="52"/>
      <c r="AI482" s="52"/>
      <c r="AJ482" s="52"/>
      <c r="AK482" s="52"/>
      <c r="AL482" s="52"/>
    </row>
    <row r="483" spans="1:38" ht="12.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3"/>
      <c r="AD483" s="52"/>
      <c r="AE483" s="52"/>
      <c r="AF483" s="52"/>
      <c r="AG483" s="52"/>
      <c r="AH483" s="52"/>
      <c r="AI483" s="52"/>
      <c r="AJ483" s="52"/>
      <c r="AK483" s="52"/>
      <c r="AL483" s="52"/>
    </row>
    <row r="484" spans="1:38" ht="12.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3"/>
      <c r="AD484" s="52"/>
      <c r="AE484" s="52"/>
      <c r="AF484" s="52"/>
      <c r="AG484" s="52"/>
      <c r="AH484" s="52"/>
      <c r="AI484" s="52"/>
      <c r="AJ484" s="52"/>
      <c r="AK484" s="52"/>
      <c r="AL484" s="52"/>
    </row>
    <row r="485" spans="1:38" ht="12.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3"/>
      <c r="AD485" s="52"/>
      <c r="AE485" s="52"/>
      <c r="AF485" s="52"/>
      <c r="AG485" s="52"/>
      <c r="AH485" s="52"/>
      <c r="AI485" s="52"/>
      <c r="AJ485" s="52"/>
      <c r="AK485" s="52"/>
      <c r="AL485" s="52"/>
    </row>
    <row r="486" spans="1:38" ht="12.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3"/>
      <c r="AD486" s="52"/>
      <c r="AE486" s="52"/>
      <c r="AF486" s="52"/>
      <c r="AG486" s="52"/>
      <c r="AH486" s="52"/>
      <c r="AI486" s="52"/>
      <c r="AJ486" s="52"/>
      <c r="AK486" s="52"/>
      <c r="AL486" s="52"/>
    </row>
    <row r="487" spans="1:38" ht="12.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3"/>
      <c r="AD487" s="52"/>
      <c r="AE487" s="52"/>
      <c r="AF487" s="52"/>
      <c r="AG487" s="52"/>
      <c r="AH487" s="52"/>
      <c r="AI487" s="52"/>
      <c r="AJ487" s="52"/>
      <c r="AK487" s="52"/>
      <c r="AL487" s="52"/>
    </row>
    <row r="488" spans="1:38" ht="12.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3"/>
      <c r="AD488" s="52"/>
      <c r="AE488" s="52"/>
      <c r="AF488" s="52"/>
      <c r="AG488" s="52"/>
      <c r="AH488" s="52"/>
      <c r="AI488" s="52"/>
      <c r="AJ488" s="52"/>
      <c r="AK488" s="52"/>
      <c r="AL488" s="52"/>
    </row>
    <row r="489" spans="1:38" ht="12.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3"/>
      <c r="AD489" s="52"/>
      <c r="AE489" s="52"/>
      <c r="AF489" s="52"/>
      <c r="AG489" s="52"/>
      <c r="AH489" s="52"/>
      <c r="AI489" s="52"/>
      <c r="AJ489" s="52"/>
      <c r="AK489" s="52"/>
      <c r="AL489" s="52"/>
    </row>
    <row r="490" spans="1:38" ht="12.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3"/>
      <c r="AD490" s="52"/>
      <c r="AE490" s="52"/>
      <c r="AF490" s="52"/>
      <c r="AG490" s="52"/>
      <c r="AH490" s="52"/>
      <c r="AI490" s="52"/>
      <c r="AJ490" s="52"/>
      <c r="AK490" s="52"/>
      <c r="AL490" s="52"/>
    </row>
    <row r="491" spans="1:38" ht="12.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3"/>
      <c r="AD491" s="52"/>
      <c r="AE491" s="52"/>
      <c r="AF491" s="52"/>
      <c r="AG491" s="52"/>
      <c r="AH491" s="52"/>
      <c r="AI491" s="52"/>
      <c r="AJ491" s="52"/>
      <c r="AK491" s="52"/>
      <c r="AL491" s="52"/>
    </row>
    <row r="492" spans="1:38" ht="12.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3"/>
      <c r="AD492" s="52"/>
      <c r="AE492" s="52"/>
      <c r="AF492" s="52"/>
      <c r="AG492" s="52"/>
      <c r="AH492" s="52"/>
      <c r="AI492" s="52"/>
      <c r="AJ492" s="52"/>
      <c r="AK492" s="52"/>
      <c r="AL492" s="52"/>
    </row>
    <row r="493" spans="1:38" ht="12.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3"/>
      <c r="AD493" s="52"/>
      <c r="AE493" s="52"/>
      <c r="AF493" s="52"/>
      <c r="AG493" s="52"/>
      <c r="AH493" s="52"/>
      <c r="AI493" s="52"/>
      <c r="AJ493" s="52"/>
      <c r="AK493" s="52"/>
      <c r="AL493" s="52"/>
    </row>
    <row r="494" spans="1:38" ht="12.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3"/>
      <c r="AD494" s="52"/>
      <c r="AE494" s="52"/>
      <c r="AF494" s="52"/>
      <c r="AG494" s="52"/>
      <c r="AH494" s="52"/>
      <c r="AI494" s="52"/>
      <c r="AJ494" s="52"/>
      <c r="AK494" s="52"/>
      <c r="AL494" s="52"/>
    </row>
    <row r="495" spans="1:38" ht="12.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3"/>
      <c r="AD495" s="52"/>
      <c r="AE495" s="52"/>
      <c r="AF495" s="52"/>
      <c r="AG495" s="52"/>
      <c r="AH495" s="52"/>
      <c r="AI495" s="52"/>
      <c r="AJ495" s="52"/>
      <c r="AK495" s="52"/>
      <c r="AL495" s="52"/>
    </row>
    <row r="496" spans="1:38" ht="12.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3"/>
      <c r="AD496" s="52"/>
      <c r="AE496" s="52"/>
      <c r="AF496" s="52"/>
      <c r="AG496" s="52"/>
      <c r="AH496" s="52"/>
      <c r="AI496" s="52"/>
      <c r="AJ496" s="52"/>
      <c r="AK496" s="52"/>
      <c r="AL496" s="52"/>
    </row>
    <row r="497" spans="1:38" ht="12.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3"/>
      <c r="AD497" s="52"/>
      <c r="AE497" s="52"/>
      <c r="AF497" s="52"/>
      <c r="AG497" s="52"/>
      <c r="AH497" s="52"/>
      <c r="AI497" s="52"/>
      <c r="AJ497" s="52"/>
      <c r="AK497" s="52"/>
      <c r="AL497" s="52"/>
    </row>
    <row r="498" spans="1:38" ht="12.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3"/>
      <c r="AD498" s="52"/>
      <c r="AE498" s="52"/>
      <c r="AF498" s="52"/>
      <c r="AG498" s="52"/>
      <c r="AH498" s="52"/>
      <c r="AI498" s="52"/>
      <c r="AJ498" s="52"/>
      <c r="AK498" s="52"/>
      <c r="AL498" s="52"/>
    </row>
    <row r="499" spans="1:38" ht="12.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3"/>
      <c r="AD499" s="52"/>
      <c r="AE499" s="52"/>
      <c r="AF499" s="52"/>
      <c r="AG499" s="52"/>
      <c r="AH499" s="52"/>
      <c r="AI499" s="52"/>
      <c r="AJ499" s="52"/>
      <c r="AK499" s="52"/>
      <c r="AL499" s="52"/>
    </row>
    <row r="500" spans="1:38" ht="12.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3"/>
      <c r="AD500" s="52"/>
      <c r="AE500" s="52"/>
      <c r="AF500" s="52"/>
      <c r="AG500" s="52"/>
      <c r="AH500" s="52"/>
      <c r="AI500" s="52"/>
      <c r="AJ500" s="52"/>
      <c r="AK500" s="52"/>
      <c r="AL500" s="52"/>
    </row>
    <row r="501" spans="1:38" ht="12.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3"/>
      <c r="AD501" s="52"/>
      <c r="AE501" s="52"/>
      <c r="AF501" s="52"/>
      <c r="AG501" s="52"/>
      <c r="AH501" s="52"/>
      <c r="AI501" s="52"/>
      <c r="AJ501" s="52"/>
      <c r="AK501" s="52"/>
      <c r="AL501" s="52"/>
    </row>
    <row r="502" spans="1:38" ht="12.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3"/>
      <c r="AD502" s="52"/>
      <c r="AE502" s="52"/>
      <c r="AF502" s="52"/>
      <c r="AG502" s="52"/>
      <c r="AH502" s="52"/>
      <c r="AI502" s="52"/>
      <c r="AJ502" s="52"/>
      <c r="AK502" s="52"/>
      <c r="AL502" s="52"/>
    </row>
    <row r="503" spans="1:38" ht="12.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3"/>
      <c r="AD503" s="52"/>
      <c r="AE503" s="52"/>
      <c r="AF503" s="52"/>
      <c r="AG503" s="52"/>
      <c r="AH503" s="52"/>
      <c r="AI503" s="52"/>
      <c r="AJ503" s="52"/>
      <c r="AK503" s="52"/>
      <c r="AL503" s="52"/>
    </row>
    <row r="504" spans="1:38" ht="12.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3"/>
      <c r="AD504" s="52"/>
      <c r="AE504" s="52"/>
      <c r="AF504" s="52"/>
      <c r="AG504" s="52"/>
      <c r="AH504" s="52"/>
      <c r="AI504" s="52"/>
      <c r="AJ504" s="52"/>
      <c r="AK504" s="52"/>
      <c r="AL504" s="52"/>
    </row>
    <row r="505" spans="1:38" ht="12.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3"/>
      <c r="AD505" s="52"/>
      <c r="AE505" s="52"/>
      <c r="AF505" s="52"/>
      <c r="AG505" s="52"/>
      <c r="AH505" s="52"/>
      <c r="AI505" s="52"/>
      <c r="AJ505" s="52"/>
      <c r="AK505" s="52"/>
      <c r="AL505" s="52"/>
    </row>
    <row r="506" spans="1:38" ht="12.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3"/>
      <c r="AD506" s="52"/>
      <c r="AE506" s="52"/>
      <c r="AF506" s="52"/>
      <c r="AG506" s="52"/>
      <c r="AH506" s="52"/>
      <c r="AI506" s="52"/>
      <c r="AJ506" s="52"/>
      <c r="AK506" s="52"/>
      <c r="AL506" s="52"/>
    </row>
    <row r="507" spans="1:38" ht="12.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3"/>
      <c r="AD507" s="52"/>
      <c r="AE507" s="52"/>
      <c r="AF507" s="52"/>
      <c r="AG507" s="52"/>
      <c r="AH507" s="52"/>
      <c r="AI507" s="52"/>
      <c r="AJ507" s="52"/>
      <c r="AK507" s="52"/>
      <c r="AL507" s="52"/>
    </row>
    <row r="508" spans="1:38" ht="12.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3"/>
      <c r="AD508" s="52"/>
      <c r="AE508" s="52"/>
      <c r="AF508" s="52"/>
      <c r="AG508" s="52"/>
      <c r="AH508" s="52"/>
      <c r="AI508" s="52"/>
      <c r="AJ508" s="52"/>
      <c r="AK508" s="52"/>
      <c r="AL508" s="52"/>
    </row>
    <row r="509" spans="1:38" ht="12.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3"/>
      <c r="AD509" s="52"/>
      <c r="AE509" s="52"/>
      <c r="AF509" s="52"/>
      <c r="AG509" s="52"/>
      <c r="AH509" s="52"/>
      <c r="AI509" s="52"/>
      <c r="AJ509" s="52"/>
      <c r="AK509" s="52"/>
      <c r="AL509" s="52"/>
    </row>
    <row r="510" spans="1:38" ht="12.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3"/>
      <c r="AD510" s="52"/>
      <c r="AE510" s="52"/>
      <c r="AF510" s="52"/>
      <c r="AG510" s="52"/>
      <c r="AH510" s="52"/>
      <c r="AI510" s="52"/>
      <c r="AJ510" s="52"/>
      <c r="AK510" s="52"/>
      <c r="AL510" s="52"/>
    </row>
    <row r="511" spans="1:38" ht="12.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3"/>
      <c r="AD511" s="52"/>
      <c r="AE511" s="52"/>
      <c r="AF511" s="52"/>
      <c r="AG511" s="52"/>
      <c r="AH511" s="52"/>
      <c r="AI511" s="52"/>
      <c r="AJ511" s="52"/>
      <c r="AK511" s="52"/>
      <c r="AL511" s="52"/>
    </row>
    <row r="512" spans="1:38" ht="12.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3"/>
      <c r="AD512" s="52"/>
      <c r="AE512" s="52"/>
      <c r="AF512" s="52"/>
      <c r="AG512" s="52"/>
      <c r="AH512" s="52"/>
      <c r="AI512" s="52"/>
      <c r="AJ512" s="52"/>
      <c r="AK512" s="52"/>
      <c r="AL512" s="52"/>
    </row>
    <row r="513" spans="1:38" ht="12.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3"/>
      <c r="AD513" s="52"/>
      <c r="AE513" s="52"/>
      <c r="AF513" s="52"/>
      <c r="AG513" s="52"/>
      <c r="AH513" s="52"/>
      <c r="AI513" s="52"/>
      <c r="AJ513" s="52"/>
      <c r="AK513" s="52"/>
      <c r="AL513" s="52"/>
    </row>
    <row r="514" spans="1:38" ht="12.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3"/>
      <c r="AD514" s="52"/>
      <c r="AE514" s="52"/>
      <c r="AF514" s="52"/>
      <c r="AG514" s="52"/>
      <c r="AH514" s="52"/>
      <c r="AI514" s="52"/>
      <c r="AJ514" s="52"/>
      <c r="AK514" s="52"/>
      <c r="AL514" s="52"/>
    </row>
    <row r="515" spans="1:38" ht="12.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3"/>
      <c r="AD515" s="52"/>
      <c r="AE515" s="52"/>
      <c r="AF515" s="52"/>
      <c r="AG515" s="52"/>
      <c r="AH515" s="52"/>
      <c r="AI515" s="52"/>
      <c r="AJ515" s="52"/>
      <c r="AK515" s="52"/>
      <c r="AL515" s="52"/>
    </row>
    <row r="516" spans="1:38" ht="12.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3"/>
      <c r="AD516" s="52"/>
      <c r="AE516" s="52"/>
      <c r="AF516" s="52"/>
      <c r="AG516" s="52"/>
      <c r="AH516" s="52"/>
      <c r="AI516" s="52"/>
      <c r="AJ516" s="52"/>
      <c r="AK516" s="52"/>
      <c r="AL516" s="52"/>
    </row>
    <row r="517" spans="1:38" ht="12.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3"/>
      <c r="AD517" s="52"/>
      <c r="AE517" s="52"/>
      <c r="AF517" s="52"/>
      <c r="AG517" s="52"/>
      <c r="AH517" s="52"/>
      <c r="AI517" s="52"/>
      <c r="AJ517" s="52"/>
      <c r="AK517" s="52"/>
      <c r="AL517" s="52"/>
    </row>
    <row r="518" spans="1:38" ht="12.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3"/>
      <c r="AD518" s="52"/>
      <c r="AE518" s="52"/>
      <c r="AF518" s="52"/>
      <c r="AG518" s="52"/>
      <c r="AH518" s="52"/>
      <c r="AI518" s="52"/>
      <c r="AJ518" s="52"/>
      <c r="AK518" s="52"/>
      <c r="AL518" s="52"/>
    </row>
    <row r="519" spans="1:38" ht="12.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3"/>
      <c r="AD519" s="52"/>
      <c r="AE519" s="52"/>
      <c r="AF519" s="52"/>
      <c r="AG519" s="52"/>
      <c r="AH519" s="52"/>
      <c r="AI519" s="52"/>
      <c r="AJ519" s="52"/>
      <c r="AK519" s="52"/>
      <c r="AL519" s="52"/>
    </row>
    <row r="520" spans="1:38" ht="12.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3"/>
      <c r="AD520" s="52"/>
      <c r="AE520" s="52"/>
      <c r="AF520" s="52"/>
      <c r="AG520" s="52"/>
      <c r="AH520" s="52"/>
      <c r="AI520" s="52"/>
      <c r="AJ520" s="52"/>
      <c r="AK520" s="52"/>
      <c r="AL520" s="52"/>
    </row>
    <row r="521" spans="1:38" ht="12.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3"/>
      <c r="AD521" s="52"/>
      <c r="AE521" s="52"/>
      <c r="AF521" s="52"/>
      <c r="AG521" s="52"/>
      <c r="AH521" s="52"/>
      <c r="AI521" s="52"/>
      <c r="AJ521" s="52"/>
      <c r="AK521" s="52"/>
      <c r="AL521" s="52"/>
    </row>
    <row r="522" spans="1:38" ht="12.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3"/>
      <c r="AD522" s="52"/>
      <c r="AE522" s="52"/>
      <c r="AF522" s="52"/>
      <c r="AG522" s="52"/>
      <c r="AH522" s="52"/>
      <c r="AI522" s="52"/>
      <c r="AJ522" s="52"/>
      <c r="AK522" s="52"/>
      <c r="AL522" s="52"/>
    </row>
    <row r="523" spans="1:38" ht="12.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3"/>
      <c r="AD523" s="52"/>
      <c r="AE523" s="52"/>
      <c r="AF523" s="52"/>
      <c r="AG523" s="52"/>
      <c r="AH523" s="52"/>
      <c r="AI523" s="52"/>
      <c r="AJ523" s="52"/>
      <c r="AK523" s="52"/>
      <c r="AL523" s="52"/>
    </row>
    <row r="524" spans="1:38" ht="12.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3"/>
      <c r="AD524" s="52"/>
      <c r="AE524" s="52"/>
      <c r="AF524" s="52"/>
      <c r="AG524" s="52"/>
      <c r="AH524" s="52"/>
      <c r="AI524" s="52"/>
      <c r="AJ524" s="52"/>
      <c r="AK524" s="52"/>
      <c r="AL524" s="52"/>
    </row>
    <row r="525" spans="1:38" ht="12.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3"/>
      <c r="AD525" s="52"/>
      <c r="AE525" s="52"/>
      <c r="AF525" s="52"/>
      <c r="AG525" s="52"/>
      <c r="AH525" s="52"/>
      <c r="AI525" s="52"/>
      <c r="AJ525" s="52"/>
      <c r="AK525" s="52"/>
      <c r="AL525" s="52"/>
    </row>
    <row r="526" spans="1:38" ht="12.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3"/>
      <c r="AD526" s="52"/>
      <c r="AE526" s="52"/>
      <c r="AF526" s="52"/>
      <c r="AG526" s="52"/>
      <c r="AH526" s="52"/>
      <c r="AI526" s="52"/>
      <c r="AJ526" s="52"/>
      <c r="AK526" s="52"/>
      <c r="AL526" s="52"/>
    </row>
    <row r="527" spans="1:38" ht="12.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3"/>
      <c r="AD527" s="52"/>
      <c r="AE527" s="52"/>
      <c r="AF527" s="52"/>
      <c r="AG527" s="52"/>
      <c r="AH527" s="52"/>
      <c r="AI527" s="52"/>
      <c r="AJ527" s="52"/>
      <c r="AK527" s="52"/>
      <c r="AL527" s="52"/>
    </row>
    <row r="528" spans="1:38" ht="12.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3"/>
      <c r="AD528" s="52"/>
      <c r="AE528" s="52"/>
      <c r="AF528" s="52"/>
      <c r="AG528" s="52"/>
      <c r="AH528" s="52"/>
      <c r="AI528" s="52"/>
      <c r="AJ528" s="52"/>
      <c r="AK528" s="52"/>
      <c r="AL528" s="52"/>
    </row>
    <row r="529" spans="1:38" ht="12.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3"/>
      <c r="AD529" s="52"/>
      <c r="AE529" s="52"/>
      <c r="AF529" s="52"/>
      <c r="AG529" s="52"/>
      <c r="AH529" s="52"/>
      <c r="AI529" s="52"/>
      <c r="AJ529" s="52"/>
      <c r="AK529" s="52"/>
      <c r="AL529" s="52"/>
    </row>
    <row r="530" spans="1:38" ht="12.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3"/>
      <c r="AD530" s="52"/>
      <c r="AE530" s="52"/>
      <c r="AF530" s="52"/>
      <c r="AG530" s="52"/>
      <c r="AH530" s="52"/>
      <c r="AI530" s="52"/>
      <c r="AJ530" s="52"/>
      <c r="AK530" s="52"/>
      <c r="AL530" s="52"/>
    </row>
    <row r="531" spans="1:38" ht="12.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3"/>
      <c r="AD531" s="52"/>
      <c r="AE531" s="52"/>
      <c r="AF531" s="52"/>
      <c r="AG531" s="52"/>
      <c r="AH531" s="52"/>
      <c r="AI531" s="52"/>
      <c r="AJ531" s="52"/>
      <c r="AK531" s="52"/>
      <c r="AL531" s="52"/>
    </row>
    <row r="532" spans="1:38" ht="12.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3"/>
      <c r="AD532" s="52"/>
      <c r="AE532" s="52"/>
      <c r="AF532" s="52"/>
      <c r="AG532" s="52"/>
      <c r="AH532" s="52"/>
      <c r="AI532" s="52"/>
      <c r="AJ532" s="52"/>
      <c r="AK532" s="52"/>
      <c r="AL532" s="52"/>
    </row>
    <row r="533" spans="1:38" ht="12.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3"/>
      <c r="AD533" s="52"/>
      <c r="AE533" s="52"/>
      <c r="AF533" s="52"/>
      <c r="AG533" s="52"/>
      <c r="AH533" s="52"/>
      <c r="AI533" s="52"/>
      <c r="AJ533" s="52"/>
      <c r="AK533" s="52"/>
      <c r="AL533" s="52"/>
    </row>
    <row r="534" spans="1:38" ht="12.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3"/>
      <c r="AD534" s="52"/>
      <c r="AE534" s="52"/>
      <c r="AF534" s="52"/>
      <c r="AG534" s="52"/>
      <c r="AH534" s="52"/>
      <c r="AI534" s="52"/>
      <c r="AJ534" s="52"/>
      <c r="AK534" s="52"/>
      <c r="AL534" s="52"/>
    </row>
    <row r="535" spans="1:38" ht="12.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3"/>
      <c r="AD535" s="52"/>
      <c r="AE535" s="52"/>
      <c r="AF535" s="52"/>
      <c r="AG535" s="52"/>
      <c r="AH535" s="52"/>
      <c r="AI535" s="52"/>
      <c r="AJ535" s="52"/>
      <c r="AK535" s="52"/>
      <c r="AL535" s="52"/>
    </row>
    <row r="536" spans="1:38" ht="12.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3"/>
      <c r="AD536" s="52"/>
      <c r="AE536" s="52"/>
      <c r="AF536" s="52"/>
      <c r="AG536" s="52"/>
      <c r="AH536" s="52"/>
      <c r="AI536" s="52"/>
      <c r="AJ536" s="52"/>
      <c r="AK536" s="52"/>
      <c r="AL536" s="52"/>
    </row>
    <row r="537" spans="1:38" ht="12.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3"/>
      <c r="AD537" s="52"/>
      <c r="AE537" s="52"/>
      <c r="AF537" s="52"/>
      <c r="AG537" s="52"/>
      <c r="AH537" s="52"/>
      <c r="AI537" s="52"/>
      <c r="AJ537" s="52"/>
      <c r="AK537" s="52"/>
      <c r="AL537" s="52"/>
    </row>
    <row r="538" spans="1:38" ht="12.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3"/>
      <c r="AD538" s="52"/>
      <c r="AE538" s="52"/>
      <c r="AF538" s="52"/>
      <c r="AG538" s="52"/>
      <c r="AH538" s="52"/>
      <c r="AI538" s="52"/>
      <c r="AJ538" s="52"/>
      <c r="AK538" s="52"/>
      <c r="AL538" s="52"/>
    </row>
    <row r="539" spans="1:38" ht="12.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3"/>
      <c r="AD539" s="52"/>
      <c r="AE539" s="52"/>
      <c r="AF539" s="52"/>
      <c r="AG539" s="52"/>
      <c r="AH539" s="52"/>
      <c r="AI539" s="52"/>
      <c r="AJ539" s="52"/>
      <c r="AK539" s="52"/>
      <c r="AL539" s="52"/>
    </row>
    <row r="540" spans="1:38" ht="12.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3"/>
      <c r="AD540" s="52"/>
      <c r="AE540" s="52"/>
      <c r="AF540" s="52"/>
      <c r="AG540" s="52"/>
      <c r="AH540" s="52"/>
      <c r="AI540" s="52"/>
      <c r="AJ540" s="52"/>
      <c r="AK540" s="52"/>
      <c r="AL540" s="52"/>
    </row>
    <row r="541" spans="1:38" ht="12.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3"/>
      <c r="AD541" s="52"/>
      <c r="AE541" s="52"/>
      <c r="AF541" s="52"/>
      <c r="AG541" s="52"/>
      <c r="AH541" s="52"/>
      <c r="AI541" s="52"/>
      <c r="AJ541" s="52"/>
      <c r="AK541" s="52"/>
      <c r="AL541" s="52"/>
    </row>
    <row r="542" spans="1:38" ht="12.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3"/>
      <c r="AD542" s="52"/>
      <c r="AE542" s="52"/>
      <c r="AF542" s="52"/>
      <c r="AG542" s="52"/>
      <c r="AH542" s="52"/>
      <c r="AI542" s="52"/>
      <c r="AJ542" s="52"/>
      <c r="AK542" s="52"/>
      <c r="AL542" s="52"/>
    </row>
    <row r="543" spans="1:38" ht="12.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3"/>
      <c r="AD543" s="52"/>
      <c r="AE543" s="52"/>
      <c r="AF543" s="52"/>
      <c r="AG543" s="52"/>
      <c r="AH543" s="52"/>
      <c r="AI543" s="52"/>
      <c r="AJ543" s="52"/>
      <c r="AK543" s="52"/>
      <c r="AL543" s="52"/>
    </row>
    <row r="544" spans="1:38" ht="12.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3"/>
      <c r="AD544" s="52"/>
      <c r="AE544" s="52"/>
      <c r="AF544" s="52"/>
      <c r="AG544" s="52"/>
      <c r="AH544" s="52"/>
      <c r="AI544" s="52"/>
      <c r="AJ544" s="52"/>
      <c r="AK544" s="52"/>
      <c r="AL544" s="52"/>
    </row>
    <row r="545" spans="1:38" ht="12.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3"/>
      <c r="AD545" s="52"/>
      <c r="AE545" s="52"/>
      <c r="AF545" s="52"/>
      <c r="AG545" s="52"/>
      <c r="AH545" s="52"/>
      <c r="AI545" s="52"/>
      <c r="AJ545" s="52"/>
      <c r="AK545" s="52"/>
      <c r="AL545" s="52"/>
    </row>
    <row r="546" spans="1:38" ht="12.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3"/>
      <c r="AD546" s="52"/>
      <c r="AE546" s="52"/>
      <c r="AF546" s="52"/>
      <c r="AG546" s="52"/>
      <c r="AH546" s="52"/>
      <c r="AI546" s="52"/>
      <c r="AJ546" s="52"/>
      <c r="AK546" s="52"/>
      <c r="AL546" s="52"/>
    </row>
    <row r="547" spans="1:38" ht="12.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3"/>
      <c r="AD547" s="52"/>
      <c r="AE547" s="52"/>
      <c r="AF547" s="52"/>
      <c r="AG547" s="52"/>
      <c r="AH547" s="52"/>
      <c r="AI547" s="52"/>
      <c r="AJ547" s="52"/>
      <c r="AK547" s="52"/>
      <c r="AL547" s="52"/>
    </row>
    <row r="548" spans="1:38" ht="12.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3"/>
      <c r="AD548" s="52"/>
      <c r="AE548" s="52"/>
      <c r="AF548" s="52"/>
      <c r="AG548" s="52"/>
      <c r="AH548" s="52"/>
      <c r="AI548" s="52"/>
      <c r="AJ548" s="52"/>
      <c r="AK548" s="52"/>
      <c r="AL548" s="52"/>
    </row>
    <row r="549" spans="1:38" ht="12.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3"/>
      <c r="AD549" s="52"/>
      <c r="AE549" s="52"/>
      <c r="AF549" s="52"/>
      <c r="AG549" s="52"/>
      <c r="AH549" s="52"/>
      <c r="AI549" s="52"/>
      <c r="AJ549" s="52"/>
      <c r="AK549" s="52"/>
      <c r="AL549" s="52"/>
    </row>
    <row r="550" spans="1:38" ht="12.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3"/>
      <c r="AD550" s="52"/>
      <c r="AE550" s="52"/>
      <c r="AF550" s="52"/>
      <c r="AG550" s="52"/>
      <c r="AH550" s="52"/>
      <c r="AI550" s="52"/>
      <c r="AJ550" s="52"/>
      <c r="AK550" s="52"/>
      <c r="AL550" s="52"/>
    </row>
    <row r="551" spans="1:38" ht="12.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3"/>
      <c r="AD551" s="52"/>
      <c r="AE551" s="52"/>
      <c r="AF551" s="52"/>
      <c r="AG551" s="52"/>
      <c r="AH551" s="52"/>
      <c r="AI551" s="52"/>
      <c r="AJ551" s="52"/>
      <c r="AK551" s="52"/>
      <c r="AL551" s="52"/>
    </row>
    <row r="552" spans="1:38" ht="12.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3"/>
      <c r="AD552" s="52"/>
      <c r="AE552" s="52"/>
      <c r="AF552" s="52"/>
      <c r="AG552" s="52"/>
      <c r="AH552" s="52"/>
      <c r="AI552" s="52"/>
      <c r="AJ552" s="52"/>
      <c r="AK552" s="52"/>
      <c r="AL552" s="52"/>
    </row>
    <row r="553" spans="1:38" ht="12.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3"/>
      <c r="AD553" s="52"/>
      <c r="AE553" s="52"/>
      <c r="AF553" s="52"/>
      <c r="AG553" s="52"/>
      <c r="AH553" s="52"/>
      <c r="AI553" s="52"/>
      <c r="AJ553" s="52"/>
      <c r="AK553" s="52"/>
      <c r="AL553" s="52"/>
    </row>
    <row r="554" spans="1:38" ht="12.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3"/>
      <c r="AD554" s="52"/>
      <c r="AE554" s="52"/>
      <c r="AF554" s="52"/>
      <c r="AG554" s="52"/>
      <c r="AH554" s="52"/>
      <c r="AI554" s="52"/>
      <c r="AJ554" s="52"/>
      <c r="AK554" s="52"/>
      <c r="AL554" s="52"/>
    </row>
    <row r="555" spans="1:38" ht="12.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3"/>
      <c r="AD555" s="52"/>
      <c r="AE555" s="52"/>
      <c r="AF555" s="52"/>
      <c r="AG555" s="52"/>
      <c r="AH555" s="52"/>
      <c r="AI555" s="52"/>
      <c r="AJ555" s="52"/>
      <c r="AK555" s="52"/>
      <c r="AL555" s="52"/>
    </row>
    <row r="556" spans="1:38" ht="12.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3"/>
      <c r="AD556" s="52"/>
      <c r="AE556" s="52"/>
      <c r="AF556" s="52"/>
      <c r="AG556" s="52"/>
      <c r="AH556" s="52"/>
      <c r="AI556" s="52"/>
      <c r="AJ556" s="52"/>
      <c r="AK556" s="52"/>
      <c r="AL556" s="52"/>
    </row>
    <row r="557" spans="1:38" ht="12.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3"/>
      <c r="AD557" s="52"/>
      <c r="AE557" s="52"/>
      <c r="AF557" s="52"/>
      <c r="AG557" s="52"/>
      <c r="AH557" s="52"/>
      <c r="AI557" s="52"/>
      <c r="AJ557" s="52"/>
      <c r="AK557" s="52"/>
      <c r="AL557" s="52"/>
    </row>
    <row r="558" spans="1:38" ht="12.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3"/>
      <c r="AD558" s="52"/>
      <c r="AE558" s="52"/>
      <c r="AF558" s="52"/>
      <c r="AG558" s="52"/>
      <c r="AH558" s="52"/>
      <c r="AI558" s="52"/>
      <c r="AJ558" s="52"/>
      <c r="AK558" s="52"/>
      <c r="AL558" s="52"/>
    </row>
    <row r="559" spans="1:38" ht="12.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3"/>
      <c r="AD559" s="52"/>
      <c r="AE559" s="52"/>
      <c r="AF559" s="52"/>
      <c r="AG559" s="52"/>
      <c r="AH559" s="52"/>
      <c r="AI559" s="52"/>
      <c r="AJ559" s="52"/>
      <c r="AK559" s="52"/>
      <c r="AL559" s="52"/>
    </row>
    <row r="560" spans="1:38" ht="12.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3"/>
      <c r="AD560" s="52"/>
      <c r="AE560" s="52"/>
      <c r="AF560" s="52"/>
      <c r="AG560" s="52"/>
      <c r="AH560" s="52"/>
      <c r="AI560" s="52"/>
      <c r="AJ560" s="52"/>
      <c r="AK560" s="52"/>
      <c r="AL560" s="52"/>
    </row>
    <row r="561" spans="1:38" ht="12.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3"/>
      <c r="AD561" s="52"/>
      <c r="AE561" s="52"/>
      <c r="AF561" s="52"/>
      <c r="AG561" s="52"/>
      <c r="AH561" s="52"/>
      <c r="AI561" s="52"/>
      <c r="AJ561" s="52"/>
      <c r="AK561" s="52"/>
      <c r="AL561" s="52"/>
    </row>
    <row r="562" spans="1:38" ht="12.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3"/>
      <c r="AD562" s="52"/>
      <c r="AE562" s="52"/>
      <c r="AF562" s="52"/>
      <c r="AG562" s="52"/>
      <c r="AH562" s="52"/>
      <c r="AI562" s="52"/>
      <c r="AJ562" s="52"/>
      <c r="AK562" s="52"/>
      <c r="AL562" s="52"/>
    </row>
    <row r="563" spans="1:38" ht="12.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3"/>
      <c r="AD563" s="52"/>
      <c r="AE563" s="52"/>
      <c r="AF563" s="52"/>
      <c r="AG563" s="52"/>
      <c r="AH563" s="52"/>
      <c r="AI563" s="52"/>
      <c r="AJ563" s="52"/>
      <c r="AK563" s="52"/>
      <c r="AL563" s="52"/>
    </row>
    <row r="564" spans="1:38" ht="12.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3"/>
      <c r="AD564" s="52"/>
      <c r="AE564" s="52"/>
      <c r="AF564" s="52"/>
      <c r="AG564" s="52"/>
      <c r="AH564" s="52"/>
      <c r="AI564" s="52"/>
      <c r="AJ564" s="52"/>
      <c r="AK564" s="52"/>
      <c r="AL564" s="52"/>
    </row>
    <row r="565" spans="1:38" ht="12.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3"/>
      <c r="AD565" s="52"/>
      <c r="AE565" s="52"/>
      <c r="AF565" s="52"/>
      <c r="AG565" s="52"/>
      <c r="AH565" s="52"/>
      <c r="AI565" s="52"/>
      <c r="AJ565" s="52"/>
      <c r="AK565" s="52"/>
      <c r="AL565" s="52"/>
    </row>
    <row r="566" spans="1:38" ht="12.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3"/>
      <c r="AD566" s="52"/>
      <c r="AE566" s="52"/>
      <c r="AF566" s="52"/>
      <c r="AG566" s="52"/>
      <c r="AH566" s="52"/>
      <c r="AI566" s="52"/>
      <c r="AJ566" s="52"/>
      <c r="AK566" s="52"/>
      <c r="AL566" s="52"/>
    </row>
    <row r="567" spans="1:38" ht="12.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3"/>
      <c r="AD567" s="52"/>
      <c r="AE567" s="52"/>
      <c r="AF567" s="52"/>
      <c r="AG567" s="52"/>
      <c r="AH567" s="52"/>
      <c r="AI567" s="52"/>
      <c r="AJ567" s="52"/>
      <c r="AK567" s="52"/>
      <c r="AL567" s="52"/>
    </row>
    <row r="568" spans="1:38" ht="12.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3"/>
      <c r="AD568" s="52"/>
      <c r="AE568" s="52"/>
      <c r="AF568" s="52"/>
      <c r="AG568" s="52"/>
      <c r="AH568" s="52"/>
      <c r="AI568" s="52"/>
      <c r="AJ568" s="52"/>
      <c r="AK568" s="52"/>
      <c r="AL568" s="52"/>
    </row>
    <row r="569" spans="1:38" ht="12.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3"/>
      <c r="AD569" s="52"/>
      <c r="AE569" s="52"/>
      <c r="AF569" s="52"/>
      <c r="AG569" s="52"/>
      <c r="AH569" s="52"/>
      <c r="AI569" s="52"/>
      <c r="AJ569" s="52"/>
      <c r="AK569" s="52"/>
      <c r="AL569" s="52"/>
    </row>
    <row r="570" spans="1:38" ht="12.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3"/>
      <c r="AD570" s="52"/>
      <c r="AE570" s="52"/>
      <c r="AF570" s="52"/>
      <c r="AG570" s="52"/>
      <c r="AH570" s="52"/>
      <c r="AI570" s="52"/>
      <c r="AJ570" s="52"/>
      <c r="AK570" s="52"/>
      <c r="AL570" s="52"/>
    </row>
    <row r="571" spans="1:38" ht="12.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3"/>
      <c r="AD571" s="52"/>
      <c r="AE571" s="52"/>
      <c r="AF571" s="52"/>
      <c r="AG571" s="52"/>
      <c r="AH571" s="52"/>
      <c r="AI571" s="52"/>
      <c r="AJ571" s="52"/>
      <c r="AK571" s="52"/>
      <c r="AL571" s="52"/>
    </row>
    <row r="572" spans="1:38" ht="12.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3"/>
      <c r="AD572" s="52"/>
      <c r="AE572" s="52"/>
      <c r="AF572" s="52"/>
      <c r="AG572" s="52"/>
      <c r="AH572" s="52"/>
      <c r="AI572" s="52"/>
      <c r="AJ572" s="52"/>
      <c r="AK572" s="52"/>
      <c r="AL572" s="52"/>
    </row>
    <row r="573" spans="1:38" ht="12.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3"/>
      <c r="AD573" s="52"/>
      <c r="AE573" s="52"/>
      <c r="AF573" s="52"/>
      <c r="AG573" s="52"/>
      <c r="AH573" s="52"/>
      <c r="AI573" s="52"/>
      <c r="AJ573" s="52"/>
      <c r="AK573" s="52"/>
      <c r="AL573" s="52"/>
    </row>
    <row r="574" spans="1:38" ht="12.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3"/>
      <c r="AD574" s="52"/>
      <c r="AE574" s="52"/>
      <c r="AF574" s="52"/>
      <c r="AG574" s="52"/>
      <c r="AH574" s="52"/>
      <c r="AI574" s="52"/>
      <c r="AJ574" s="52"/>
      <c r="AK574" s="52"/>
      <c r="AL574" s="52"/>
    </row>
    <row r="575" spans="1:38" ht="12.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3"/>
      <c r="AD575" s="52"/>
      <c r="AE575" s="52"/>
      <c r="AF575" s="52"/>
      <c r="AG575" s="52"/>
      <c r="AH575" s="52"/>
      <c r="AI575" s="52"/>
      <c r="AJ575" s="52"/>
      <c r="AK575" s="52"/>
      <c r="AL575" s="52"/>
    </row>
    <row r="576" spans="1:38" ht="12.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3"/>
      <c r="AD576" s="52"/>
      <c r="AE576" s="52"/>
      <c r="AF576" s="52"/>
      <c r="AG576" s="52"/>
      <c r="AH576" s="52"/>
      <c r="AI576" s="52"/>
      <c r="AJ576" s="52"/>
      <c r="AK576" s="52"/>
      <c r="AL576" s="52"/>
    </row>
    <row r="577" spans="1:38" ht="12.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3"/>
      <c r="AD577" s="52"/>
      <c r="AE577" s="52"/>
      <c r="AF577" s="52"/>
      <c r="AG577" s="52"/>
      <c r="AH577" s="52"/>
      <c r="AI577" s="52"/>
      <c r="AJ577" s="52"/>
      <c r="AK577" s="52"/>
      <c r="AL577" s="52"/>
    </row>
    <row r="578" spans="1:38" ht="12.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3"/>
      <c r="AD578" s="52"/>
      <c r="AE578" s="52"/>
      <c r="AF578" s="52"/>
      <c r="AG578" s="52"/>
      <c r="AH578" s="52"/>
      <c r="AI578" s="52"/>
      <c r="AJ578" s="52"/>
      <c r="AK578" s="52"/>
      <c r="AL578" s="52"/>
    </row>
    <row r="579" spans="1:38" ht="12.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3"/>
      <c r="AD579" s="52"/>
      <c r="AE579" s="52"/>
      <c r="AF579" s="52"/>
      <c r="AG579" s="52"/>
      <c r="AH579" s="52"/>
      <c r="AI579" s="52"/>
      <c r="AJ579" s="52"/>
      <c r="AK579" s="52"/>
      <c r="AL579" s="52"/>
    </row>
    <row r="580" spans="1:38" ht="12.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3"/>
      <c r="AD580" s="52"/>
      <c r="AE580" s="52"/>
      <c r="AF580" s="52"/>
      <c r="AG580" s="52"/>
      <c r="AH580" s="52"/>
      <c r="AI580" s="52"/>
      <c r="AJ580" s="52"/>
      <c r="AK580" s="52"/>
      <c r="AL580" s="52"/>
    </row>
    <row r="581" spans="1:38" ht="12.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3"/>
      <c r="AD581" s="52"/>
      <c r="AE581" s="52"/>
      <c r="AF581" s="52"/>
      <c r="AG581" s="52"/>
      <c r="AH581" s="52"/>
      <c r="AI581" s="52"/>
      <c r="AJ581" s="52"/>
      <c r="AK581" s="52"/>
      <c r="AL581" s="52"/>
    </row>
    <row r="582" spans="1:38" ht="12.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3"/>
      <c r="AD582" s="52"/>
      <c r="AE582" s="52"/>
      <c r="AF582" s="52"/>
      <c r="AG582" s="52"/>
      <c r="AH582" s="52"/>
      <c r="AI582" s="52"/>
      <c r="AJ582" s="52"/>
      <c r="AK582" s="52"/>
      <c r="AL582" s="52"/>
    </row>
    <row r="583" spans="1:38" ht="12.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3"/>
      <c r="AD583" s="52"/>
      <c r="AE583" s="52"/>
      <c r="AF583" s="52"/>
      <c r="AG583" s="52"/>
      <c r="AH583" s="52"/>
      <c r="AI583" s="52"/>
      <c r="AJ583" s="52"/>
      <c r="AK583" s="52"/>
      <c r="AL583" s="52"/>
    </row>
    <row r="584" spans="1:38" ht="12.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3"/>
      <c r="AD584" s="52"/>
      <c r="AE584" s="52"/>
      <c r="AF584" s="52"/>
      <c r="AG584" s="52"/>
      <c r="AH584" s="52"/>
      <c r="AI584" s="52"/>
      <c r="AJ584" s="52"/>
      <c r="AK584" s="52"/>
      <c r="AL584" s="52"/>
    </row>
    <row r="585" spans="1:38" ht="12.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3"/>
      <c r="AD585" s="52"/>
      <c r="AE585" s="52"/>
      <c r="AF585" s="52"/>
      <c r="AG585" s="52"/>
      <c r="AH585" s="52"/>
      <c r="AI585" s="52"/>
      <c r="AJ585" s="52"/>
      <c r="AK585" s="52"/>
      <c r="AL585" s="52"/>
    </row>
    <row r="586" spans="1:38" ht="12.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3"/>
      <c r="AD586" s="52"/>
      <c r="AE586" s="52"/>
      <c r="AF586" s="52"/>
      <c r="AG586" s="52"/>
      <c r="AH586" s="52"/>
      <c r="AI586" s="52"/>
      <c r="AJ586" s="52"/>
      <c r="AK586" s="52"/>
      <c r="AL586" s="52"/>
    </row>
    <row r="587" spans="1:38" ht="12.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3"/>
      <c r="AD587" s="52"/>
      <c r="AE587" s="52"/>
      <c r="AF587" s="52"/>
      <c r="AG587" s="52"/>
      <c r="AH587" s="52"/>
      <c r="AI587" s="52"/>
      <c r="AJ587" s="52"/>
      <c r="AK587" s="52"/>
      <c r="AL587" s="52"/>
    </row>
    <row r="588" spans="1:38" ht="12.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3"/>
      <c r="AD588" s="52"/>
      <c r="AE588" s="52"/>
      <c r="AF588" s="52"/>
      <c r="AG588" s="52"/>
      <c r="AH588" s="52"/>
      <c r="AI588" s="52"/>
      <c r="AJ588" s="52"/>
      <c r="AK588" s="52"/>
      <c r="AL588" s="52"/>
    </row>
    <row r="589" spans="1:38" ht="12.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3"/>
      <c r="AD589" s="52"/>
      <c r="AE589" s="52"/>
      <c r="AF589" s="52"/>
      <c r="AG589" s="52"/>
      <c r="AH589" s="52"/>
      <c r="AI589" s="52"/>
      <c r="AJ589" s="52"/>
      <c r="AK589" s="52"/>
      <c r="AL589" s="52"/>
    </row>
    <row r="590" spans="1:38" ht="12.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3"/>
      <c r="AD590" s="52"/>
      <c r="AE590" s="52"/>
      <c r="AF590" s="52"/>
      <c r="AG590" s="52"/>
      <c r="AH590" s="52"/>
      <c r="AI590" s="52"/>
      <c r="AJ590" s="52"/>
      <c r="AK590" s="52"/>
      <c r="AL590" s="52"/>
    </row>
    <row r="591" spans="1:38" ht="12.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3"/>
      <c r="AD591" s="52"/>
      <c r="AE591" s="52"/>
      <c r="AF591" s="52"/>
      <c r="AG591" s="52"/>
      <c r="AH591" s="52"/>
      <c r="AI591" s="52"/>
      <c r="AJ591" s="52"/>
      <c r="AK591" s="52"/>
      <c r="AL591" s="52"/>
    </row>
    <row r="592" spans="1:38" ht="12.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3"/>
      <c r="AD592" s="52"/>
      <c r="AE592" s="52"/>
      <c r="AF592" s="52"/>
      <c r="AG592" s="52"/>
      <c r="AH592" s="52"/>
      <c r="AI592" s="52"/>
      <c r="AJ592" s="52"/>
      <c r="AK592" s="52"/>
      <c r="AL592" s="52"/>
    </row>
    <row r="593" spans="1:38" ht="12.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3"/>
      <c r="AD593" s="52"/>
      <c r="AE593" s="52"/>
      <c r="AF593" s="52"/>
      <c r="AG593" s="52"/>
      <c r="AH593" s="52"/>
      <c r="AI593" s="52"/>
      <c r="AJ593" s="52"/>
      <c r="AK593" s="52"/>
      <c r="AL593" s="52"/>
    </row>
    <row r="594" spans="1:38" ht="12.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3"/>
      <c r="AD594" s="52"/>
      <c r="AE594" s="52"/>
      <c r="AF594" s="52"/>
      <c r="AG594" s="52"/>
      <c r="AH594" s="52"/>
      <c r="AI594" s="52"/>
      <c r="AJ594" s="52"/>
      <c r="AK594" s="52"/>
      <c r="AL594" s="52"/>
    </row>
    <row r="595" spans="1:38" ht="12.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3"/>
      <c r="AD595" s="52"/>
      <c r="AE595" s="52"/>
      <c r="AF595" s="52"/>
      <c r="AG595" s="52"/>
      <c r="AH595" s="52"/>
      <c r="AI595" s="52"/>
      <c r="AJ595" s="52"/>
      <c r="AK595" s="52"/>
      <c r="AL595" s="52"/>
    </row>
    <row r="596" spans="1:38" ht="12.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3"/>
      <c r="AD596" s="52"/>
      <c r="AE596" s="52"/>
      <c r="AF596" s="52"/>
      <c r="AG596" s="52"/>
      <c r="AH596" s="52"/>
      <c r="AI596" s="52"/>
      <c r="AJ596" s="52"/>
      <c r="AK596" s="52"/>
      <c r="AL596" s="52"/>
    </row>
    <row r="597" spans="1:38" ht="12.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3"/>
      <c r="AD597" s="52"/>
      <c r="AE597" s="52"/>
      <c r="AF597" s="52"/>
      <c r="AG597" s="52"/>
      <c r="AH597" s="52"/>
      <c r="AI597" s="52"/>
      <c r="AJ597" s="52"/>
      <c r="AK597" s="52"/>
      <c r="AL597" s="52"/>
    </row>
    <row r="598" spans="1:38" ht="12.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3"/>
      <c r="AD598" s="52"/>
      <c r="AE598" s="52"/>
      <c r="AF598" s="52"/>
      <c r="AG598" s="52"/>
      <c r="AH598" s="52"/>
      <c r="AI598" s="52"/>
      <c r="AJ598" s="52"/>
      <c r="AK598" s="52"/>
      <c r="AL598" s="52"/>
    </row>
    <row r="599" spans="1:38" ht="12.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3"/>
      <c r="AD599" s="52"/>
      <c r="AE599" s="52"/>
      <c r="AF599" s="52"/>
      <c r="AG599" s="52"/>
      <c r="AH599" s="52"/>
      <c r="AI599" s="52"/>
      <c r="AJ599" s="52"/>
      <c r="AK599" s="52"/>
      <c r="AL599" s="52"/>
    </row>
    <row r="600" spans="1:38" ht="12.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3"/>
      <c r="AD600" s="52"/>
      <c r="AE600" s="52"/>
      <c r="AF600" s="52"/>
      <c r="AG600" s="52"/>
      <c r="AH600" s="52"/>
      <c r="AI600" s="52"/>
      <c r="AJ600" s="52"/>
      <c r="AK600" s="52"/>
      <c r="AL600" s="52"/>
    </row>
    <row r="601" spans="1:38" ht="12.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3"/>
      <c r="AD601" s="52"/>
      <c r="AE601" s="52"/>
      <c r="AF601" s="52"/>
      <c r="AG601" s="52"/>
      <c r="AH601" s="52"/>
      <c r="AI601" s="52"/>
      <c r="AJ601" s="52"/>
      <c r="AK601" s="52"/>
      <c r="AL601" s="52"/>
    </row>
    <row r="602" spans="1:38" ht="12.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3"/>
      <c r="AD602" s="52"/>
      <c r="AE602" s="52"/>
      <c r="AF602" s="52"/>
      <c r="AG602" s="52"/>
      <c r="AH602" s="52"/>
      <c r="AI602" s="52"/>
      <c r="AJ602" s="52"/>
      <c r="AK602" s="52"/>
      <c r="AL602" s="52"/>
    </row>
    <row r="603" spans="1:38" ht="12.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3"/>
      <c r="AD603" s="52"/>
      <c r="AE603" s="52"/>
      <c r="AF603" s="52"/>
      <c r="AG603" s="52"/>
      <c r="AH603" s="52"/>
      <c r="AI603" s="52"/>
      <c r="AJ603" s="52"/>
      <c r="AK603" s="52"/>
      <c r="AL603" s="52"/>
    </row>
    <row r="604" spans="1:38" ht="12.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3"/>
      <c r="AD604" s="52"/>
      <c r="AE604" s="52"/>
      <c r="AF604" s="52"/>
      <c r="AG604" s="52"/>
      <c r="AH604" s="52"/>
      <c r="AI604" s="52"/>
      <c r="AJ604" s="52"/>
      <c r="AK604" s="52"/>
      <c r="AL604" s="52"/>
    </row>
    <row r="605" spans="1:38" ht="12.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3"/>
      <c r="AD605" s="52"/>
      <c r="AE605" s="52"/>
      <c r="AF605" s="52"/>
      <c r="AG605" s="52"/>
      <c r="AH605" s="52"/>
      <c r="AI605" s="52"/>
      <c r="AJ605" s="52"/>
      <c r="AK605" s="52"/>
      <c r="AL605" s="52"/>
    </row>
    <row r="606" spans="1:38" ht="12.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3"/>
      <c r="AD606" s="52"/>
      <c r="AE606" s="52"/>
      <c r="AF606" s="52"/>
      <c r="AG606" s="52"/>
      <c r="AH606" s="52"/>
      <c r="AI606" s="52"/>
      <c r="AJ606" s="52"/>
      <c r="AK606" s="52"/>
      <c r="AL606" s="52"/>
    </row>
    <row r="607" spans="1:38" ht="12.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3"/>
      <c r="AD607" s="52"/>
      <c r="AE607" s="52"/>
      <c r="AF607" s="52"/>
      <c r="AG607" s="52"/>
      <c r="AH607" s="52"/>
      <c r="AI607" s="52"/>
      <c r="AJ607" s="52"/>
      <c r="AK607" s="52"/>
      <c r="AL607" s="52"/>
    </row>
    <row r="608" spans="1:38" ht="12.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3"/>
      <c r="AD608" s="52"/>
      <c r="AE608" s="52"/>
      <c r="AF608" s="52"/>
      <c r="AG608" s="52"/>
      <c r="AH608" s="52"/>
      <c r="AI608" s="52"/>
      <c r="AJ608" s="52"/>
      <c r="AK608" s="52"/>
      <c r="AL608" s="52"/>
    </row>
    <row r="609" spans="1:38" ht="12.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3"/>
      <c r="AD609" s="52"/>
      <c r="AE609" s="52"/>
      <c r="AF609" s="52"/>
      <c r="AG609" s="52"/>
      <c r="AH609" s="52"/>
      <c r="AI609" s="52"/>
      <c r="AJ609" s="52"/>
      <c r="AK609" s="52"/>
      <c r="AL609" s="52"/>
    </row>
    <row r="610" spans="1:38" ht="12.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3"/>
      <c r="AD610" s="52"/>
      <c r="AE610" s="52"/>
      <c r="AF610" s="52"/>
      <c r="AG610" s="52"/>
      <c r="AH610" s="52"/>
      <c r="AI610" s="52"/>
      <c r="AJ610" s="52"/>
      <c r="AK610" s="52"/>
      <c r="AL610" s="52"/>
    </row>
    <row r="611" spans="1:38" ht="12.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3"/>
      <c r="AD611" s="52"/>
      <c r="AE611" s="52"/>
      <c r="AF611" s="52"/>
      <c r="AG611" s="52"/>
      <c r="AH611" s="52"/>
      <c r="AI611" s="52"/>
      <c r="AJ611" s="52"/>
      <c r="AK611" s="52"/>
      <c r="AL611" s="52"/>
    </row>
    <row r="612" spans="1:38" ht="12.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3"/>
      <c r="AD612" s="52"/>
      <c r="AE612" s="52"/>
      <c r="AF612" s="52"/>
      <c r="AG612" s="52"/>
      <c r="AH612" s="52"/>
      <c r="AI612" s="52"/>
      <c r="AJ612" s="52"/>
      <c r="AK612" s="52"/>
      <c r="AL612" s="52"/>
    </row>
    <row r="613" spans="1:38" ht="12.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3"/>
      <c r="AD613" s="52"/>
      <c r="AE613" s="52"/>
      <c r="AF613" s="52"/>
      <c r="AG613" s="52"/>
      <c r="AH613" s="52"/>
      <c r="AI613" s="52"/>
      <c r="AJ613" s="52"/>
      <c r="AK613" s="52"/>
      <c r="AL613" s="52"/>
    </row>
    <row r="614" spans="1:38" ht="12.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3"/>
      <c r="AD614" s="52"/>
      <c r="AE614" s="52"/>
      <c r="AF614" s="52"/>
      <c r="AG614" s="52"/>
      <c r="AH614" s="52"/>
      <c r="AI614" s="52"/>
      <c r="AJ614" s="52"/>
      <c r="AK614" s="52"/>
      <c r="AL614" s="52"/>
    </row>
    <row r="615" spans="1:38" ht="12.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3"/>
      <c r="AD615" s="52"/>
      <c r="AE615" s="52"/>
      <c r="AF615" s="52"/>
      <c r="AG615" s="52"/>
      <c r="AH615" s="52"/>
      <c r="AI615" s="52"/>
      <c r="AJ615" s="52"/>
      <c r="AK615" s="52"/>
      <c r="AL615" s="52"/>
    </row>
    <row r="616" spans="1:38" ht="12.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3"/>
      <c r="AD616" s="52"/>
      <c r="AE616" s="52"/>
      <c r="AF616" s="52"/>
      <c r="AG616" s="52"/>
      <c r="AH616" s="52"/>
      <c r="AI616" s="52"/>
      <c r="AJ616" s="52"/>
      <c r="AK616" s="52"/>
      <c r="AL616" s="52"/>
    </row>
    <row r="617" spans="1:38" ht="12.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3"/>
      <c r="AD617" s="52"/>
      <c r="AE617" s="52"/>
      <c r="AF617" s="52"/>
      <c r="AG617" s="52"/>
      <c r="AH617" s="52"/>
      <c r="AI617" s="52"/>
      <c r="AJ617" s="52"/>
      <c r="AK617" s="52"/>
      <c r="AL617" s="52"/>
    </row>
    <row r="618" spans="1:38" ht="12.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3"/>
      <c r="AD618" s="52"/>
      <c r="AE618" s="52"/>
      <c r="AF618" s="52"/>
      <c r="AG618" s="52"/>
      <c r="AH618" s="52"/>
      <c r="AI618" s="52"/>
      <c r="AJ618" s="52"/>
      <c r="AK618" s="52"/>
      <c r="AL618" s="52"/>
    </row>
    <row r="619" spans="1:38" ht="12.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3"/>
      <c r="AD619" s="52"/>
      <c r="AE619" s="52"/>
      <c r="AF619" s="52"/>
      <c r="AG619" s="52"/>
      <c r="AH619" s="52"/>
      <c r="AI619" s="52"/>
      <c r="AJ619" s="52"/>
      <c r="AK619" s="52"/>
      <c r="AL619" s="52"/>
    </row>
    <row r="620" spans="1:38" ht="12.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3"/>
      <c r="AD620" s="52"/>
      <c r="AE620" s="52"/>
      <c r="AF620" s="52"/>
      <c r="AG620" s="52"/>
      <c r="AH620" s="52"/>
      <c r="AI620" s="52"/>
      <c r="AJ620" s="52"/>
      <c r="AK620" s="52"/>
      <c r="AL620" s="52"/>
    </row>
    <row r="621" spans="1:38" ht="12.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3"/>
      <c r="AD621" s="52"/>
      <c r="AE621" s="52"/>
      <c r="AF621" s="52"/>
      <c r="AG621" s="52"/>
      <c r="AH621" s="52"/>
      <c r="AI621" s="52"/>
      <c r="AJ621" s="52"/>
      <c r="AK621" s="52"/>
      <c r="AL621" s="52"/>
    </row>
    <row r="622" spans="1:38" ht="12.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3"/>
      <c r="AD622" s="52"/>
      <c r="AE622" s="52"/>
      <c r="AF622" s="52"/>
      <c r="AG622" s="52"/>
      <c r="AH622" s="52"/>
      <c r="AI622" s="52"/>
      <c r="AJ622" s="52"/>
      <c r="AK622" s="52"/>
      <c r="AL622" s="52"/>
    </row>
    <row r="623" spans="1:38" ht="12.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3"/>
      <c r="AD623" s="52"/>
      <c r="AE623" s="52"/>
      <c r="AF623" s="52"/>
      <c r="AG623" s="52"/>
      <c r="AH623" s="52"/>
      <c r="AI623" s="52"/>
      <c r="AJ623" s="52"/>
      <c r="AK623" s="52"/>
      <c r="AL623" s="52"/>
    </row>
    <row r="624" spans="1:38" ht="12.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3"/>
      <c r="AD624" s="52"/>
      <c r="AE624" s="52"/>
      <c r="AF624" s="52"/>
      <c r="AG624" s="52"/>
      <c r="AH624" s="52"/>
      <c r="AI624" s="52"/>
      <c r="AJ624" s="52"/>
      <c r="AK624" s="52"/>
      <c r="AL624" s="52"/>
    </row>
    <row r="625" spans="1:38" ht="12.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3"/>
      <c r="AD625" s="52"/>
      <c r="AE625" s="52"/>
      <c r="AF625" s="52"/>
      <c r="AG625" s="52"/>
      <c r="AH625" s="52"/>
      <c r="AI625" s="52"/>
      <c r="AJ625" s="52"/>
      <c r="AK625" s="52"/>
      <c r="AL625" s="52"/>
    </row>
    <row r="626" spans="1:38" ht="12.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3"/>
      <c r="AD626" s="52"/>
      <c r="AE626" s="52"/>
      <c r="AF626" s="52"/>
      <c r="AG626" s="52"/>
      <c r="AH626" s="52"/>
      <c r="AI626" s="52"/>
      <c r="AJ626" s="52"/>
      <c r="AK626" s="52"/>
      <c r="AL626" s="52"/>
    </row>
    <row r="627" spans="1:38" ht="12.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3"/>
      <c r="AD627" s="52"/>
      <c r="AE627" s="52"/>
      <c r="AF627" s="52"/>
      <c r="AG627" s="52"/>
      <c r="AH627" s="52"/>
      <c r="AI627" s="52"/>
      <c r="AJ627" s="52"/>
      <c r="AK627" s="52"/>
      <c r="AL627" s="52"/>
    </row>
    <row r="628" spans="1:38" ht="12.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3"/>
      <c r="AD628" s="52"/>
      <c r="AE628" s="52"/>
      <c r="AF628" s="52"/>
      <c r="AG628" s="52"/>
      <c r="AH628" s="52"/>
      <c r="AI628" s="52"/>
      <c r="AJ628" s="52"/>
      <c r="AK628" s="52"/>
      <c r="AL628" s="52"/>
    </row>
    <row r="629" spans="1:38" ht="12.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3"/>
      <c r="AD629" s="52"/>
      <c r="AE629" s="52"/>
      <c r="AF629" s="52"/>
      <c r="AG629" s="52"/>
      <c r="AH629" s="52"/>
      <c r="AI629" s="52"/>
      <c r="AJ629" s="52"/>
      <c r="AK629" s="52"/>
      <c r="AL629" s="52"/>
    </row>
    <row r="630" spans="1:38" ht="12.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3"/>
      <c r="AD630" s="52"/>
      <c r="AE630" s="52"/>
      <c r="AF630" s="52"/>
      <c r="AG630" s="52"/>
      <c r="AH630" s="52"/>
      <c r="AI630" s="52"/>
      <c r="AJ630" s="52"/>
      <c r="AK630" s="52"/>
      <c r="AL630" s="52"/>
    </row>
    <row r="631" spans="1:38" ht="12.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3"/>
      <c r="AD631" s="52"/>
      <c r="AE631" s="52"/>
      <c r="AF631" s="52"/>
      <c r="AG631" s="52"/>
      <c r="AH631" s="52"/>
      <c r="AI631" s="52"/>
      <c r="AJ631" s="52"/>
      <c r="AK631" s="52"/>
      <c r="AL631" s="52"/>
    </row>
    <row r="632" spans="1:38" ht="12.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3"/>
      <c r="AD632" s="52"/>
      <c r="AE632" s="52"/>
      <c r="AF632" s="52"/>
      <c r="AG632" s="52"/>
      <c r="AH632" s="52"/>
      <c r="AI632" s="52"/>
      <c r="AJ632" s="52"/>
      <c r="AK632" s="52"/>
      <c r="AL632" s="52"/>
    </row>
    <row r="633" spans="1:38" ht="12.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3"/>
      <c r="AD633" s="52"/>
      <c r="AE633" s="52"/>
      <c r="AF633" s="52"/>
      <c r="AG633" s="52"/>
      <c r="AH633" s="52"/>
      <c r="AI633" s="52"/>
      <c r="AJ633" s="52"/>
      <c r="AK633" s="52"/>
      <c r="AL633" s="52"/>
    </row>
    <row r="634" spans="1:38" ht="12.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3"/>
      <c r="AD634" s="52"/>
      <c r="AE634" s="52"/>
      <c r="AF634" s="52"/>
      <c r="AG634" s="52"/>
      <c r="AH634" s="52"/>
      <c r="AI634" s="52"/>
      <c r="AJ634" s="52"/>
      <c r="AK634" s="52"/>
      <c r="AL634" s="52"/>
    </row>
    <row r="635" spans="1:38" ht="12.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3"/>
      <c r="AD635" s="52"/>
      <c r="AE635" s="52"/>
      <c r="AF635" s="52"/>
      <c r="AG635" s="52"/>
      <c r="AH635" s="52"/>
      <c r="AI635" s="52"/>
      <c r="AJ635" s="52"/>
      <c r="AK635" s="52"/>
      <c r="AL635" s="52"/>
    </row>
    <row r="636" spans="1:38" ht="12.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3"/>
      <c r="AD636" s="52"/>
      <c r="AE636" s="52"/>
      <c r="AF636" s="52"/>
      <c r="AG636" s="52"/>
      <c r="AH636" s="52"/>
      <c r="AI636" s="52"/>
      <c r="AJ636" s="52"/>
      <c r="AK636" s="52"/>
      <c r="AL636" s="52"/>
    </row>
    <row r="637" spans="1:38" ht="12.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3"/>
      <c r="AD637" s="52"/>
      <c r="AE637" s="52"/>
      <c r="AF637" s="52"/>
      <c r="AG637" s="52"/>
      <c r="AH637" s="52"/>
      <c r="AI637" s="52"/>
      <c r="AJ637" s="52"/>
      <c r="AK637" s="52"/>
      <c r="AL637" s="52"/>
    </row>
    <row r="638" spans="1:38" ht="12.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3"/>
      <c r="AD638" s="52"/>
      <c r="AE638" s="52"/>
      <c r="AF638" s="52"/>
      <c r="AG638" s="52"/>
      <c r="AH638" s="52"/>
      <c r="AI638" s="52"/>
      <c r="AJ638" s="52"/>
      <c r="AK638" s="52"/>
      <c r="AL638" s="52"/>
    </row>
    <row r="639" spans="1:38" ht="12.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3"/>
      <c r="AD639" s="52"/>
      <c r="AE639" s="52"/>
      <c r="AF639" s="52"/>
      <c r="AG639" s="52"/>
      <c r="AH639" s="52"/>
      <c r="AI639" s="52"/>
      <c r="AJ639" s="52"/>
      <c r="AK639" s="52"/>
      <c r="AL639" s="52"/>
    </row>
    <row r="640" spans="1:38" ht="12.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3"/>
      <c r="AD640" s="52"/>
      <c r="AE640" s="52"/>
      <c r="AF640" s="52"/>
      <c r="AG640" s="52"/>
      <c r="AH640" s="52"/>
      <c r="AI640" s="52"/>
      <c r="AJ640" s="52"/>
      <c r="AK640" s="52"/>
      <c r="AL640" s="52"/>
    </row>
    <row r="641" spans="1:38" ht="12.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3"/>
      <c r="AD641" s="52"/>
      <c r="AE641" s="52"/>
      <c r="AF641" s="52"/>
      <c r="AG641" s="52"/>
      <c r="AH641" s="52"/>
      <c r="AI641" s="52"/>
      <c r="AJ641" s="52"/>
      <c r="AK641" s="52"/>
      <c r="AL641" s="52"/>
    </row>
    <row r="642" spans="1:38" ht="12.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3"/>
      <c r="AD642" s="52"/>
      <c r="AE642" s="52"/>
      <c r="AF642" s="52"/>
      <c r="AG642" s="52"/>
      <c r="AH642" s="52"/>
      <c r="AI642" s="52"/>
      <c r="AJ642" s="52"/>
      <c r="AK642" s="52"/>
      <c r="AL642" s="52"/>
    </row>
    <row r="643" spans="1:38" ht="12.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3"/>
      <c r="AD643" s="52"/>
      <c r="AE643" s="52"/>
      <c r="AF643" s="52"/>
      <c r="AG643" s="52"/>
      <c r="AH643" s="52"/>
      <c r="AI643" s="52"/>
      <c r="AJ643" s="52"/>
      <c r="AK643" s="52"/>
      <c r="AL643" s="52"/>
    </row>
    <row r="644" spans="1:38" ht="12.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3"/>
      <c r="AD644" s="52"/>
      <c r="AE644" s="52"/>
      <c r="AF644" s="52"/>
      <c r="AG644" s="52"/>
      <c r="AH644" s="52"/>
      <c r="AI644" s="52"/>
      <c r="AJ644" s="52"/>
      <c r="AK644" s="52"/>
      <c r="AL644" s="52"/>
    </row>
    <row r="645" spans="1:38" ht="12.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3"/>
      <c r="AD645" s="52"/>
      <c r="AE645" s="52"/>
      <c r="AF645" s="52"/>
      <c r="AG645" s="52"/>
      <c r="AH645" s="52"/>
      <c r="AI645" s="52"/>
      <c r="AJ645" s="52"/>
      <c r="AK645" s="52"/>
      <c r="AL645" s="52"/>
    </row>
    <row r="646" spans="1:38" ht="12.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3"/>
      <c r="AD646" s="52"/>
      <c r="AE646" s="52"/>
      <c r="AF646" s="52"/>
      <c r="AG646" s="52"/>
      <c r="AH646" s="52"/>
      <c r="AI646" s="52"/>
      <c r="AJ646" s="52"/>
      <c r="AK646" s="52"/>
      <c r="AL646" s="52"/>
    </row>
    <row r="647" spans="1:38" ht="12.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3"/>
      <c r="AD647" s="52"/>
      <c r="AE647" s="52"/>
      <c r="AF647" s="52"/>
      <c r="AG647" s="52"/>
      <c r="AH647" s="52"/>
      <c r="AI647" s="52"/>
      <c r="AJ647" s="52"/>
      <c r="AK647" s="52"/>
      <c r="AL647" s="52"/>
    </row>
    <row r="648" spans="1:38" ht="12.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3"/>
      <c r="AD648" s="52"/>
      <c r="AE648" s="52"/>
      <c r="AF648" s="52"/>
      <c r="AG648" s="52"/>
      <c r="AH648" s="52"/>
      <c r="AI648" s="52"/>
      <c r="AJ648" s="52"/>
      <c r="AK648" s="52"/>
      <c r="AL648" s="52"/>
    </row>
    <row r="649" spans="1:38" ht="12.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3"/>
      <c r="AD649" s="52"/>
      <c r="AE649" s="52"/>
      <c r="AF649" s="52"/>
      <c r="AG649" s="52"/>
      <c r="AH649" s="52"/>
      <c r="AI649" s="52"/>
      <c r="AJ649" s="52"/>
      <c r="AK649" s="52"/>
      <c r="AL649" s="52"/>
    </row>
    <row r="650" spans="1:38" ht="12.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3"/>
      <c r="AD650" s="52"/>
      <c r="AE650" s="52"/>
      <c r="AF650" s="52"/>
      <c r="AG650" s="52"/>
      <c r="AH650" s="52"/>
      <c r="AI650" s="52"/>
      <c r="AJ650" s="52"/>
      <c r="AK650" s="52"/>
      <c r="AL650" s="52"/>
    </row>
    <row r="651" spans="1:38" ht="12.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3"/>
      <c r="AD651" s="52"/>
      <c r="AE651" s="52"/>
      <c r="AF651" s="52"/>
      <c r="AG651" s="52"/>
      <c r="AH651" s="52"/>
      <c r="AI651" s="52"/>
      <c r="AJ651" s="52"/>
      <c r="AK651" s="52"/>
      <c r="AL651" s="52"/>
    </row>
    <row r="652" spans="1:38" ht="12.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3"/>
      <c r="AD652" s="52"/>
      <c r="AE652" s="52"/>
      <c r="AF652" s="52"/>
      <c r="AG652" s="52"/>
      <c r="AH652" s="52"/>
      <c r="AI652" s="52"/>
      <c r="AJ652" s="52"/>
      <c r="AK652" s="52"/>
      <c r="AL652" s="52"/>
    </row>
    <row r="653" spans="1:38" ht="12.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3"/>
      <c r="AD653" s="52"/>
      <c r="AE653" s="52"/>
      <c r="AF653" s="52"/>
      <c r="AG653" s="52"/>
      <c r="AH653" s="52"/>
      <c r="AI653" s="52"/>
      <c r="AJ653" s="52"/>
      <c r="AK653" s="52"/>
      <c r="AL653" s="52"/>
    </row>
    <row r="654" spans="1:38" ht="12.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3"/>
      <c r="AD654" s="52"/>
      <c r="AE654" s="52"/>
      <c r="AF654" s="52"/>
      <c r="AG654" s="52"/>
      <c r="AH654" s="52"/>
      <c r="AI654" s="52"/>
      <c r="AJ654" s="52"/>
      <c r="AK654" s="52"/>
      <c r="AL654" s="52"/>
    </row>
    <row r="655" spans="1:38" ht="12.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3"/>
      <c r="AD655" s="52"/>
      <c r="AE655" s="52"/>
      <c r="AF655" s="52"/>
      <c r="AG655" s="52"/>
      <c r="AH655" s="52"/>
      <c r="AI655" s="52"/>
      <c r="AJ655" s="52"/>
      <c r="AK655" s="52"/>
      <c r="AL655" s="52"/>
    </row>
    <row r="656" spans="1:38" ht="12.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3"/>
      <c r="AD656" s="52"/>
      <c r="AE656" s="52"/>
      <c r="AF656" s="52"/>
      <c r="AG656" s="52"/>
      <c r="AH656" s="52"/>
      <c r="AI656" s="52"/>
      <c r="AJ656" s="52"/>
      <c r="AK656" s="52"/>
      <c r="AL656" s="52"/>
    </row>
    <row r="657" spans="1:38" ht="12.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3"/>
      <c r="AD657" s="52"/>
      <c r="AE657" s="52"/>
      <c r="AF657" s="52"/>
      <c r="AG657" s="52"/>
      <c r="AH657" s="52"/>
      <c r="AI657" s="52"/>
      <c r="AJ657" s="52"/>
      <c r="AK657" s="52"/>
      <c r="AL657" s="52"/>
    </row>
    <row r="658" spans="1:38" ht="12.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3"/>
      <c r="AD658" s="52"/>
      <c r="AE658" s="52"/>
      <c r="AF658" s="52"/>
      <c r="AG658" s="52"/>
      <c r="AH658" s="52"/>
      <c r="AI658" s="52"/>
      <c r="AJ658" s="52"/>
      <c r="AK658" s="52"/>
      <c r="AL658" s="52"/>
    </row>
    <row r="659" spans="1:38" ht="12.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3"/>
      <c r="AD659" s="52"/>
      <c r="AE659" s="52"/>
      <c r="AF659" s="52"/>
      <c r="AG659" s="52"/>
      <c r="AH659" s="52"/>
      <c r="AI659" s="52"/>
      <c r="AJ659" s="52"/>
      <c r="AK659" s="52"/>
      <c r="AL659" s="52"/>
    </row>
    <row r="660" spans="1:38" ht="12.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3"/>
      <c r="AD660" s="52"/>
      <c r="AE660" s="52"/>
      <c r="AF660" s="52"/>
      <c r="AG660" s="52"/>
      <c r="AH660" s="52"/>
      <c r="AI660" s="52"/>
      <c r="AJ660" s="52"/>
      <c r="AK660" s="52"/>
      <c r="AL660" s="52"/>
    </row>
    <row r="661" spans="1:38" ht="12.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3"/>
      <c r="AD661" s="52"/>
      <c r="AE661" s="52"/>
      <c r="AF661" s="52"/>
      <c r="AG661" s="52"/>
      <c r="AH661" s="52"/>
      <c r="AI661" s="52"/>
      <c r="AJ661" s="52"/>
      <c r="AK661" s="52"/>
      <c r="AL661" s="52"/>
    </row>
    <row r="662" spans="1:38" ht="12.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3"/>
      <c r="AD662" s="52"/>
      <c r="AE662" s="52"/>
      <c r="AF662" s="52"/>
      <c r="AG662" s="52"/>
      <c r="AH662" s="52"/>
      <c r="AI662" s="52"/>
      <c r="AJ662" s="52"/>
      <c r="AK662" s="52"/>
      <c r="AL662" s="52"/>
    </row>
    <row r="663" spans="1:38" ht="12.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3"/>
      <c r="AD663" s="52"/>
      <c r="AE663" s="52"/>
      <c r="AF663" s="52"/>
      <c r="AG663" s="52"/>
      <c r="AH663" s="52"/>
      <c r="AI663" s="52"/>
      <c r="AJ663" s="52"/>
      <c r="AK663" s="52"/>
      <c r="AL663" s="52"/>
    </row>
    <row r="664" spans="1:38" ht="12.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3"/>
      <c r="AD664" s="52"/>
      <c r="AE664" s="52"/>
      <c r="AF664" s="52"/>
      <c r="AG664" s="52"/>
      <c r="AH664" s="52"/>
      <c r="AI664" s="52"/>
      <c r="AJ664" s="52"/>
      <c r="AK664" s="52"/>
      <c r="AL664" s="52"/>
    </row>
    <row r="665" spans="1:38" ht="12.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3"/>
      <c r="AD665" s="52"/>
      <c r="AE665" s="52"/>
      <c r="AF665" s="52"/>
      <c r="AG665" s="52"/>
      <c r="AH665" s="52"/>
      <c r="AI665" s="52"/>
      <c r="AJ665" s="52"/>
      <c r="AK665" s="52"/>
      <c r="AL665" s="52"/>
    </row>
    <row r="666" spans="1:38" ht="12.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3"/>
      <c r="AD666" s="52"/>
      <c r="AE666" s="52"/>
      <c r="AF666" s="52"/>
      <c r="AG666" s="52"/>
      <c r="AH666" s="52"/>
      <c r="AI666" s="52"/>
      <c r="AJ666" s="52"/>
      <c r="AK666" s="52"/>
      <c r="AL666" s="52"/>
    </row>
    <row r="667" spans="1:38" ht="12.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3"/>
      <c r="AD667" s="52"/>
      <c r="AE667" s="52"/>
      <c r="AF667" s="52"/>
      <c r="AG667" s="52"/>
      <c r="AH667" s="52"/>
      <c r="AI667" s="52"/>
      <c r="AJ667" s="52"/>
      <c r="AK667" s="52"/>
      <c r="AL667" s="52"/>
    </row>
    <row r="668" spans="1:38" ht="12.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3"/>
      <c r="AD668" s="52"/>
      <c r="AE668" s="52"/>
      <c r="AF668" s="52"/>
      <c r="AG668" s="52"/>
      <c r="AH668" s="52"/>
      <c r="AI668" s="52"/>
      <c r="AJ668" s="52"/>
      <c r="AK668" s="52"/>
      <c r="AL668" s="52"/>
    </row>
    <row r="669" spans="1:38" ht="12.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3"/>
      <c r="AD669" s="52"/>
      <c r="AE669" s="52"/>
      <c r="AF669" s="52"/>
      <c r="AG669" s="52"/>
      <c r="AH669" s="52"/>
      <c r="AI669" s="52"/>
      <c r="AJ669" s="52"/>
      <c r="AK669" s="52"/>
      <c r="AL669" s="52"/>
    </row>
    <row r="670" spans="1:38" ht="12.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3"/>
      <c r="AD670" s="52"/>
      <c r="AE670" s="52"/>
      <c r="AF670" s="52"/>
      <c r="AG670" s="52"/>
      <c r="AH670" s="52"/>
      <c r="AI670" s="52"/>
      <c r="AJ670" s="52"/>
      <c r="AK670" s="52"/>
      <c r="AL670" s="52"/>
    </row>
    <row r="671" spans="1:38" ht="12.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3"/>
      <c r="AD671" s="52"/>
      <c r="AE671" s="52"/>
      <c r="AF671" s="52"/>
      <c r="AG671" s="52"/>
      <c r="AH671" s="52"/>
      <c r="AI671" s="52"/>
      <c r="AJ671" s="52"/>
      <c r="AK671" s="52"/>
      <c r="AL671" s="52"/>
    </row>
    <row r="672" spans="1:38" ht="12.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3"/>
      <c r="AD672" s="52"/>
      <c r="AE672" s="52"/>
      <c r="AF672" s="52"/>
      <c r="AG672" s="52"/>
      <c r="AH672" s="52"/>
      <c r="AI672" s="52"/>
      <c r="AJ672" s="52"/>
      <c r="AK672" s="52"/>
      <c r="AL672" s="52"/>
    </row>
    <row r="673" spans="1:38" ht="12.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3"/>
      <c r="AD673" s="52"/>
      <c r="AE673" s="52"/>
      <c r="AF673" s="52"/>
      <c r="AG673" s="52"/>
      <c r="AH673" s="52"/>
      <c r="AI673" s="52"/>
      <c r="AJ673" s="52"/>
      <c r="AK673" s="52"/>
      <c r="AL673" s="52"/>
    </row>
    <row r="674" spans="1:38" ht="12.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3"/>
      <c r="AD674" s="52"/>
      <c r="AE674" s="52"/>
      <c r="AF674" s="52"/>
      <c r="AG674" s="52"/>
      <c r="AH674" s="52"/>
      <c r="AI674" s="52"/>
      <c r="AJ674" s="52"/>
      <c r="AK674" s="52"/>
      <c r="AL674" s="52"/>
    </row>
    <row r="675" spans="1:38" ht="12.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3"/>
      <c r="AD675" s="52"/>
      <c r="AE675" s="52"/>
      <c r="AF675" s="52"/>
      <c r="AG675" s="52"/>
      <c r="AH675" s="52"/>
      <c r="AI675" s="52"/>
      <c r="AJ675" s="52"/>
      <c r="AK675" s="52"/>
      <c r="AL675" s="52"/>
    </row>
    <row r="676" spans="1:38" ht="12.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3"/>
      <c r="AD676" s="52"/>
      <c r="AE676" s="52"/>
      <c r="AF676" s="52"/>
      <c r="AG676" s="52"/>
      <c r="AH676" s="52"/>
      <c r="AI676" s="52"/>
      <c r="AJ676" s="52"/>
      <c r="AK676" s="52"/>
      <c r="AL676" s="52"/>
    </row>
    <row r="677" spans="1:38" ht="12.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3"/>
      <c r="AD677" s="52"/>
      <c r="AE677" s="52"/>
      <c r="AF677" s="52"/>
      <c r="AG677" s="52"/>
      <c r="AH677" s="52"/>
      <c r="AI677" s="52"/>
      <c r="AJ677" s="52"/>
      <c r="AK677" s="52"/>
      <c r="AL677" s="52"/>
    </row>
    <row r="678" spans="1:38" ht="12.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3"/>
      <c r="AD678" s="52"/>
      <c r="AE678" s="52"/>
      <c r="AF678" s="52"/>
      <c r="AG678" s="52"/>
      <c r="AH678" s="52"/>
      <c r="AI678" s="52"/>
      <c r="AJ678" s="52"/>
      <c r="AK678" s="52"/>
      <c r="AL678" s="52"/>
    </row>
    <row r="679" spans="1:38" ht="12.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3"/>
      <c r="AD679" s="52"/>
      <c r="AE679" s="52"/>
      <c r="AF679" s="52"/>
      <c r="AG679" s="52"/>
      <c r="AH679" s="52"/>
      <c r="AI679" s="52"/>
      <c r="AJ679" s="52"/>
      <c r="AK679" s="52"/>
      <c r="AL679" s="52"/>
    </row>
    <row r="680" spans="1:38" ht="12.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3"/>
      <c r="AD680" s="52"/>
      <c r="AE680" s="52"/>
      <c r="AF680" s="52"/>
      <c r="AG680" s="52"/>
      <c r="AH680" s="52"/>
      <c r="AI680" s="52"/>
      <c r="AJ680" s="52"/>
      <c r="AK680" s="52"/>
      <c r="AL680" s="52"/>
    </row>
    <row r="681" spans="1:38" ht="12.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3"/>
      <c r="AD681" s="52"/>
      <c r="AE681" s="52"/>
      <c r="AF681" s="52"/>
      <c r="AG681" s="52"/>
      <c r="AH681" s="52"/>
      <c r="AI681" s="52"/>
      <c r="AJ681" s="52"/>
      <c r="AK681" s="52"/>
      <c r="AL681" s="52"/>
    </row>
    <row r="682" spans="1:38" ht="12.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3"/>
      <c r="AD682" s="52"/>
      <c r="AE682" s="52"/>
      <c r="AF682" s="52"/>
      <c r="AG682" s="52"/>
      <c r="AH682" s="52"/>
      <c r="AI682" s="52"/>
      <c r="AJ682" s="52"/>
      <c r="AK682" s="52"/>
      <c r="AL682" s="52"/>
    </row>
    <row r="683" spans="1:38" ht="12.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3"/>
      <c r="AD683" s="52"/>
      <c r="AE683" s="52"/>
      <c r="AF683" s="52"/>
      <c r="AG683" s="52"/>
      <c r="AH683" s="52"/>
      <c r="AI683" s="52"/>
      <c r="AJ683" s="52"/>
      <c r="AK683" s="52"/>
      <c r="AL683" s="52"/>
    </row>
    <row r="684" spans="1:38" ht="12.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3"/>
      <c r="AD684" s="52"/>
      <c r="AE684" s="52"/>
      <c r="AF684" s="52"/>
      <c r="AG684" s="52"/>
      <c r="AH684" s="52"/>
      <c r="AI684" s="52"/>
      <c r="AJ684" s="52"/>
      <c r="AK684" s="52"/>
      <c r="AL684" s="52"/>
    </row>
    <row r="685" spans="1:38" ht="12.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3"/>
      <c r="AD685" s="52"/>
      <c r="AE685" s="52"/>
      <c r="AF685" s="52"/>
      <c r="AG685" s="52"/>
      <c r="AH685" s="52"/>
      <c r="AI685" s="52"/>
      <c r="AJ685" s="52"/>
      <c r="AK685" s="52"/>
      <c r="AL685" s="52"/>
    </row>
    <row r="686" spans="1:38" ht="12.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3"/>
      <c r="AD686" s="52"/>
      <c r="AE686" s="52"/>
      <c r="AF686" s="52"/>
      <c r="AG686" s="52"/>
      <c r="AH686" s="52"/>
      <c r="AI686" s="52"/>
      <c r="AJ686" s="52"/>
      <c r="AK686" s="52"/>
      <c r="AL686" s="52"/>
    </row>
    <row r="687" spans="1:38" ht="12.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3"/>
      <c r="AD687" s="52"/>
      <c r="AE687" s="52"/>
      <c r="AF687" s="52"/>
      <c r="AG687" s="52"/>
      <c r="AH687" s="52"/>
      <c r="AI687" s="52"/>
      <c r="AJ687" s="52"/>
      <c r="AK687" s="52"/>
      <c r="AL687" s="52"/>
    </row>
    <row r="688" spans="1:38" ht="12.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3"/>
      <c r="AD688" s="52"/>
      <c r="AE688" s="52"/>
      <c r="AF688" s="52"/>
      <c r="AG688" s="52"/>
      <c r="AH688" s="52"/>
      <c r="AI688" s="52"/>
      <c r="AJ688" s="52"/>
      <c r="AK688" s="52"/>
      <c r="AL688" s="52"/>
    </row>
    <row r="689" spans="1:38" ht="12.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3"/>
      <c r="AD689" s="52"/>
      <c r="AE689" s="52"/>
      <c r="AF689" s="52"/>
      <c r="AG689" s="52"/>
      <c r="AH689" s="52"/>
      <c r="AI689" s="52"/>
      <c r="AJ689" s="52"/>
      <c r="AK689" s="52"/>
      <c r="AL689" s="52"/>
    </row>
    <row r="690" spans="1:38" ht="12.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3"/>
      <c r="AD690" s="52"/>
      <c r="AE690" s="52"/>
      <c r="AF690" s="52"/>
      <c r="AG690" s="52"/>
      <c r="AH690" s="52"/>
      <c r="AI690" s="52"/>
      <c r="AJ690" s="52"/>
      <c r="AK690" s="52"/>
      <c r="AL690" s="52"/>
    </row>
    <row r="691" spans="1:38" ht="12.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3"/>
      <c r="AD691" s="52"/>
      <c r="AE691" s="52"/>
      <c r="AF691" s="52"/>
      <c r="AG691" s="52"/>
      <c r="AH691" s="52"/>
      <c r="AI691" s="52"/>
      <c r="AJ691" s="52"/>
      <c r="AK691" s="52"/>
      <c r="AL691" s="52"/>
    </row>
    <row r="692" spans="1:38" ht="12.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3"/>
      <c r="AD692" s="52"/>
      <c r="AE692" s="52"/>
      <c r="AF692" s="52"/>
      <c r="AG692" s="52"/>
      <c r="AH692" s="52"/>
      <c r="AI692" s="52"/>
      <c r="AJ692" s="52"/>
      <c r="AK692" s="52"/>
      <c r="AL692" s="52"/>
    </row>
    <row r="693" spans="1:38" ht="12.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3"/>
      <c r="AD693" s="52"/>
      <c r="AE693" s="52"/>
      <c r="AF693" s="52"/>
      <c r="AG693" s="52"/>
      <c r="AH693" s="52"/>
      <c r="AI693" s="52"/>
      <c r="AJ693" s="52"/>
      <c r="AK693" s="52"/>
      <c r="AL693" s="52"/>
    </row>
    <row r="694" spans="1:38" ht="12.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3"/>
      <c r="AD694" s="52"/>
      <c r="AE694" s="52"/>
      <c r="AF694" s="52"/>
      <c r="AG694" s="52"/>
      <c r="AH694" s="52"/>
      <c r="AI694" s="52"/>
      <c r="AJ694" s="52"/>
      <c r="AK694" s="52"/>
      <c r="AL694" s="52"/>
    </row>
    <row r="695" spans="1:38" ht="12.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3"/>
      <c r="AD695" s="52"/>
      <c r="AE695" s="52"/>
      <c r="AF695" s="52"/>
      <c r="AG695" s="52"/>
      <c r="AH695" s="52"/>
      <c r="AI695" s="52"/>
      <c r="AJ695" s="52"/>
      <c r="AK695" s="52"/>
      <c r="AL695" s="52"/>
    </row>
    <row r="696" spans="1:38" ht="12.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3"/>
      <c r="AD696" s="52"/>
      <c r="AE696" s="52"/>
      <c r="AF696" s="52"/>
      <c r="AG696" s="52"/>
      <c r="AH696" s="52"/>
      <c r="AI696" s="52"/>
      <c r="AJ696" s="52"/>
      <c r="AK696" s="52"/>
      <c r="AL696" s="52"/>
    </row>
    <row r="697" spans="1:38" ht="12.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3"/>
      <c r="AD697" s="52"/>
      <c r="AE697" s="52"/>
      <c r="AF697" s="52"/>
      <c r="AG697" s="52"/>
      <c r="AH697" s="52"/>
      <c r="AI697" s="52"/>
      <c r="AJ697" s="52"/>
      <c r="AK697" s="52"/>
      <c r="AL697" s="52"/>
    </row>
    <row r="698" spans="1:38" ht="12.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3"/>
      <c r="AD698" s="52"/>
      <c r="AE698" s="52"/>
      <c r="AF698" s="52"/>
      <c r="AG698" s="52"/>
      <c r="AH698" s="52"/>
      <c r="AI698" s="52"/>
      <c r="AJ698" s="52"/>
      <c r="AK698" s="52"/>
      <c r="AL698" s="52"/>
    </row>
    <row r="699" spans="1:38" ht="12.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3"/>
      <c r="AD699" s="52"/>
      <c r="AE699" s="52"/>
      <c r="AF699" s="52"/>
      <c r="AG699" s="52"/>
      <c r="AH699" s="52"/>
      <c r="AI699" s="52"/>
      <c r="AJ699" s="52"/>
      <c r="AK699" s="52"/>
      <c r="AL699" s="52"/>
    </row>
    <row r="700" spans="1:38" ht="12.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3"/>
      <c r="AD700" s="52"/>
      <c r="AE700" s="52"/>
      <c r="AF700" s="52"/>
      <c r="AG700" s="52"/>
      <c r="AH700" s="52"/>
      <c r="AI700" s="52"/>
      <c r="AJ700" s="52"/>
      <c r="AK700" s="52"/>
      <c r="AL700" s="52"/>
    </row>
    <row r="701" spans="1:38" ht="12.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3"/>
      <c r="AD701" s="52"/>
      <c r="AE701" s="52"/>
      <c r="AF701" s="52"/>
      <c r="AG701" s="52"/>
      <c r="AH701" s="52"/>
      <c r="AI701" s="52"/>
      <c r="AJ701" s="52"/>
      <c r="AK701" s="52"/>
      <c r="AL701" s="52"/>
    </row>
    <row r="702" spans="1:38" ht="12.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3"/>
      <c r="AD702" s="52"/>
      <c r="AE702" s="52"/>
      <c r="AF702" s="52"/>
      <c r="AG702" s="52"/>
      <c r="AH702" s="52"/>
      <c r="AI702" s="52"/>
      <c r="AJ702" s="52"/>
      <c r="AK702" s="52"/>
      <c r="AL702" s="52"/>
    </row>
    <row r="703" spans="1:38" ht="12.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3"/>
      <c r="AD703" s="52"/>
      <c r="AE703" s="52"/>
      <c r="AF703" s="52"/>
      <c r="AG703" s="52"/>
      <c r="AH703" s="52"/>
      <c r="AI703" s="52"/>
      <c r="AJ703" s="52"/>
      <c r="AK703" s="52"/>
      <c r="AL703" s="52"/>
    </row>
    <row r="704" spans="1:38" ht="12.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3"/>
      <c r="AD704" s="52"/>
      <c r="AE704" s="52"/>
      <c r="AF704" s="52"/>
      <c r="AG704" s="52"/>
      <c r="AH704" s="52"/>
      <c r="AI704" s="52"/>
      <c r="AJ704" s="52"/>
      <c r="AK704" s="52"/>
      <c r="AL704" s="52"/>
    </row>
    <row r="705" spans="1:38" ht="12.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3"/>
      <c r="AD705" s="52"/>
      <c r="AE705" s="52"/>
      <c r="AF705" s="52"/>
      <c r="AG705" s="52"/>
      <c r="AH705" s="52"/>
      <c r="AI705" s="52"/>
      <c r="AJ705" s="52"/>
      <c r="AK705" s="52"/>
      <c r="AL705" s="52"/>
    </row>
    <row r="706" spans="1:38" ht="12.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3"/>
      <c r="AD706" s="52"/>
      <c r="AE706" s="52"/>
      <c r="AF706" s="52"/>
      <c r="AG706" s="52"/>
      <c r="AH706" s="52"/>
      <c r="AI706" s="52"/>
      <c r="AJ706" s="52"/>
      <c r="AK706" s="52"/>
      <c r="AL706" s="52"/>
    </row>
    <row r="707" spans="1:38" ht="12.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3"/>
      <c r="AD707" s="52"/>
      <c r="AE707" s="52"/>
      <c r="AF707" s="52"/>
      <c r="AG707" s="52"/>
      <c r="AH707" s="52"/>
      <c r="AI707" s="52"/>
      <c r="AJ707" s="52"/>
      <c r="AK707" s="52"/>
      <c r="AL707" s="52"/>
    </row>
    <row r="708" spans="1:38" ht="12.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3"/>
      <c r="AD708" s="52"/>
      <c r="AE708" s="52"/>
      <c r="AF708" s="52"/>
      <c r="AG708" s="52"/>
      <c r="AH708" s="52"/>
      <c r="AI708" s="52"/>
      <c r="AJ708" s="52"/>
      <c r="AK708" s="52"/>
      <c r="AL708" s="52"/>
    </row>
    <row r="709" spans="1:38" ht="12.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3"/>
      <c r="AD709" s="52"/>
      <c r="AE709" s="52"/>
      <c r="AF709" s="52"/>
      <c r="AG709" s="52"/>
      <c r="AH709" s="52"/>
      <c r="AI709" s="52"/>
      <c r="AJ709" s="52"/>
      <c r="AK709" s="52"/>
      <c r="AL709" s="52"/>
    </row>
    <row r="710" spans="1:38" ht="12.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3"/>
      <c r="AD710" s="52"/>
      <c r="AE710" s="52"/>
      <c r="AF710" s="52"/>
      <c r="AG710" s="52"/>
      <c r="AH710" s="52"/>
      <c r="AI710" s="52"/>
      <c r="AJ710" s="52"/>
      <c r="AK710" s="52"/>
      <c r="AL710" s="52"/>
    </row>
    <row r="711" spans="1:38" ht="12.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3"/>
      <c r="AD711" s="52"/>
      <c r="AE711" s="52"/>
      <c r="AF711" s="52"/>
      <c r="AG711" s="52"/>
      <c r="AH711" s="52"/>
      <c r="AI711" s="52"/>
      <c r="AJ711" s="52"/>
      <c r="AK711" s="52"/>
      <c r="AL711" s="52"/>
    </row>
    <row r="712" spans="1:38" ht="12.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3"/>
      <c r="AD712" s="52"/>
      <c r="AE712" s="52"/>
      <c r="AF712" s="52"/>
      <c r="AG712" s="52"/>
      <c r="AH712" s="52"/>
      <c r="AI712" s="52"/>
      <c r="AJ712" s="52"/>
      <c r="AK712" s="52"/>
      <c r="AL712" s="52"/>
    </row>
    <row r="713" spans="1:38" ht="12.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3"/>
      <c r="AD713" s="52"/>
      <c r="AE713" s="52"/>
      <c r="AF713" s="52"/>
      <c r="AG713" s="52"/>
      <c r="AH713" s="52"/>
      <c r="AI713" s="52"/>
      <c r="AJ713" s="52"/>
      <c r="AK713" s="52"/>
      <c r="AL713" s="52"/>
    </row>
    <row r="714" spans="1:38" ht="12.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3"/>
      <c r="AD714" s="52"/>
      <c r="AE714" s="52"/>
      <c r="AF714" s="52"/>
      <c r="AG714" s="52"/>
      <c r="AH714" s="52"/>
      <c r="AI714" s="52"/>
      <c r="AJ714" s="52"/>
      <c r="AK714" s="52"/>
      <c r="AL714" s="52"/>
    </row>
    <row r="715" spans="1:38" ht="12.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3"/>
      <c r="AD715" s="52"/>
      <c r="AE715" s="52"/>
      <c r="AF715" s="52"/>
      <c r="AG715" s="52"/>
      <c r="AH715" s="52"/>
      <c r="AI715" s="52"/>
      <c r="AJ715" s="52"/>
      <c r="AK715" s="52"/>
      <c r="AL715" s="52"/>
    </row>
    <row r="716" spans="1:38" ht="12.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3"/>
      <c r="AD716" s="52"/>
      <c r="AE716" s="52"/>
      <c r="AF716" s="52"/>
      <c r="AG716" s="52"/>
      <c r="AH716" s="52"/>
      <c r="AI716" s="52"/>
      <c r="AJ716" s="52"/>
      <c r="AK716" s="52"/>
      <c r="AL716" s="52"/>
    </row>
    <row r="717" spans="1:38" ht="12.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3"/>
      <c r="AD717" s="52"/>
      <c r="AE717" s="52"/>
      <c r="AF717" s="52"/>
      <c r="AG717" s="52"/>
      <c r="AH717" s="52"/>
      <c r="AI717" s="52"/>
      <c r="AJ717" s="52"/>
      <c r="AK717" s="52"/>
      <c r="AL717" s="52"/>
    </row>
    <row r="718" spans="1:38" ht="12.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3"/>
      <c r="AD718" s="52"/>
      <c r="AE718" s="52"/>
      <c r="AF718" s="52"/>
      <c r="AG718" s="52"/>
      <c r="AH718" s="52"/>
      <c r="AI718" s="52"/>
      <c r="AJ718" s="52"/>
      <c r="AK718" s="52"/>
      <c r="AL718" s="52"/>
    </row>
    <row r="719" spans="1:38" ht="12.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3"/>
      <c r="AD719" s="52"/>
      <c r="AE719" s="52"/>
      <c r="AF719" s="52"/>
      <c r="AG719" s="52"/>
      <c r="AH719" s="52"/>
      <c r="AI719" s="52"/>
      <c r="AJ719" s="52"/>
      <c r="AK719" s="52"/>
      <c r="AL719" s="52"/>
    </row>
    <row r="720" spans="1:38" ht="12.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3"/>
      <c r="AD720" s="52"/>
      <c r="AE720" s="52"/>
      <c r="AF720" s="52"/>
      <c r="AG720" s="52"/>
      <c r="AH720" s="52"/>
      <c r="AI720" s="52"/>
      <c r="AJ720" s="52"/>
      <c r="AK720" s="52"/>
      <c r="AL720" s="52"/>
    </row>
    <row r="721" spans="1:38" ht="12.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3"/>
      <c r="AD721" s="52"/>
      <c r="AE721" s="52"/>
      <c r="AF721" s="52"/>
      <c r="AG721" s="52"/>
      <c r="AH721" s="52"/>
      <c r="AI721" s="52"/>
      <c r="AJ721" s="52"/>
      <c r="AK721" s="52"/>
      <c r="AL721" s="52"/>
    </row>
    <row r="722" spans="1:38" ht="12.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3"/>
      <c r="AD722" s="52"/>
      <c r="AE722" s="52"/>
      <c r="AF722" s="52"/>
      <c r="AG722" s="52"/>
      <c r="AH722" s="52"/>
      <c r="AI722" s="52"/>
      <c r="AJ722" s="52"/>
      <c r="AK722" s="52"/>
      <c r="AL722" s="52"/>
    </row>
    <row r="723" spans="1:38" ht="12.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3"/>
      <c r="AD723" s="52"/>
      <c r="AE723" s="52"/>
      <c r="AF723" s="52"/>
      <c r="AG723" s="52"/>
      <c r="AH723" s="52"/>
      <c r="AI723" s="52"/>
      <c r="AJ723" s="52"/>
      <c r="AK723" s="52"/>
      <c r="AL723" s="52"/>
    </row>
    <row r="724" spans="1:38" ht="12.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3"/>
      <c r="AD724" s="52"/>
      <c r="AE724" s="52"/>
      <c r="AF724" s="52"/>
      <c r="AG724" s="52"/>
      <c r="AH724" s="52"/>
      <c r="AI724" s="52"/>
      <c r="AJ724" s="52"/>
      <c r="AK724" s="52"/>
      <c r="AL724" s="52"/>
    </row>
    <row r="725" spans="1:38" ht="12.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3"/>
      <c r="AD725" s="52"/>
      <c r="AE725" s="52"/>
      <c r="AF725" s="52"/>
      <c r="AG725" s="52"/>
      <c r="AH725" s="52"/>
      <c r="AI725" s="52"/>
      <c r="AJ725" s="52"/>
      <c r="AK725" s="52"/>
      <c r="AL725" s="52"/>
    </row>
    <row r="726" spans="1:38" ht="12.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3"/>
      <c r="AD726" s="52"/>
      <c r="AE726" s="52"/>
      <c r="AF726" s="52"/>
      <c r="AG726" s="52"/>
      <c r="AH726" s="52"/>
      <c r="AI726" s="52"/>
      <c r="AJ726" s="52"/>
      <c r="AK726" s="52"/>
      <c r="AL726" s="52"/>
    </row>
    <row r="727" spans="1:38" ht="12.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3"/>
      <c r="AD727" s="52"/>
      <c r="AE727" s="52"/>
      <c r="AF727" s="52"/>
      <c r="AG727" s="52"/>
      <c r="AH727" s="52"/>
      <c r="AI727" s="52"/>
      <c r="AJ727" s="52"/>
      <c r="AK727" s="52"/>
      <c r="AL727" s="52"/>
    </row>
    <row r="728" spans="1:38" ht="12.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3"/>
      <c r="AD728" s="52"/>
      <c r="AE728" s="52"/>
      <c r="AF728" s="52"/>
      <c r="AG728" s="52"/>
      <c r="AH728" s="52"/>
      <c r="AI728" s="52"/>
      <c r="AJ728" s="52"/>
      <c r="AK728" s="52"/>
      <c r="AL728" s="52"/>
    </row>
    <row r="729" spans="1:38" ht="12.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3"/>
      <c r="AD729" s="52"/>
      <c r="AE729" s="52"/>
      <c r="AF729" s="52"/>
      <c r="AG729" s="52"/>
      <c r="AH729" s="52"/>
      <c r="AI729" s="52"/>
      <c r="AJ729" s="52"/>
      <c r="AK729" s="52"/>
      <c r="AL729" s="52"/>
    </row>
    <row r="730" spans="1:38" ht="12.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3"/>
      <c r="AD730" s="52"/>
      <c r="AE730" s="52"/>
      <c r="AF730" s="52"/>
      <c r="AG730" s="52"/>
      <c r="AH730" s="52"/>
      <c r="AI730" s="52"/>
      <c r="AJ730" s="52"/>
      <c r="AK730" s="52"/>
      <c r="AL730" s="52"/>
    </row>
    <row r="731" spans="1:38" ht="12.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3"/>
      <c r="AD731" s="52"/>
      <c r="AE731" s="52"/>
      <c r="AF731" s="52"/>
      <c r="AG731" s="52"/>
      <c r="AH731" s="52"/>
      <c r="AI731" s="52"/>
      <c r="AJ731" s="52"/>
      <c r="AK731" s="52"/>
      <c r="AL731" s="52"/>
    </row>
    <row r="732" spans="1:38" ht="12.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3"/>
      <c r="AD732" s="52"/>
      <c r="AE732" s="52"/>
      <c r="AF732" s="52"/>
      <c r="AG732" s="52"/>
      <c r="AH732" s="52"/>
      <c r="AI732" s="52"/>
      <c r="AJ732" s="52"/>
      <c r="AK732" s="52"/>
      <c r="AL732" s="52"/>
    </row>
    <row r="733" spans="1:38" ht="12.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3"/>
      <c r="AD733" s="52"/>
      <c r="AE733" s="52"/>
      <c r="AF733" s="52"/>
      <c r="AG733" s="52"/>
      <c r="AH733" s="52"/>
      <c r="AI733" s="52"/>
      <c r="AJ733" s="52"/>
      <c r="AK733" s="52"/>
      <c r="AL733" s="52"/>
    </row>
    <row r="734" spans="1:38" ht="12.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3"/>
      <c r="AD734" s="52"/>
      <c r="AE734" s="52"/>
      <c r="AF734" s="52"/>
      <c r="AG734" s="52"/>
      <c r="AH734" s="52"/>
      <c r="AI734" s="52"/>
      <c r="AJ734" s="52"/>
      <c r="AK734" s="52"/>
      <c r="AL734" s="52"/>
    </row>
    <row r="735" spans="1:38" ht="12.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3"/>
      <c r="AD735" s="52"/>
      <c r="AE735" s="52"/>
      <c r="AF735" s="52"/>
      <c r="AG735" s="52"/>
      <c r="AH735" s="52"/>
      <c r="AI735" s="52"/>
      <c r="AJ735" s="52"/>
      <c r="AK735" s="52"/>
      <c r="AL735" s="52"/>
    </row>
    <row r="736" spans="1:38" ht="12.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3"/>
      <c r="AD736" s="52"/>
      <c r="AE736" s="52"/>
      <c r="AF736" s="52"/>
      <c r="AG736" s="52"/>
      <c r="AH736" s="52"/>
      <c r="AI736" s="52"/>
      <c r="AJ736" s="52"/>
      <c r="AK736" s="52"/>
      <c r="AL736" s="52"/>
    </row>
    <row r="737" spans="1:38" ht="12.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3"/>
      <c r="AD737" s="52"/>
      <c r="AE737" s="52"/>
      <c r="AF737" s="52"/>
      <c r="AG737" s="52"/>
      <c r="AH737" s="52"/>
      <c r="AI737" s="52"/>
      <c r="AJ737" s="52"/>
      <c r="AK737" s="52"/>
      <c r="AL737" s="52"/>
    </row>
    <row r="738" spans="1:38" ht="12.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3"/>
      <c r="AD738" s="52"/>
      <c r="AE738" s="52"/>
      <c r="AF738" s="52"/>
      <c r="AG738" s="52"/>
      <c r="AH738" s="52"/>
      <c r="AI738" s="52"/>
      <c r="AJ738" s="52"/>
      <c r="AK738" s="52"/>
      <c r="AL738" s="52"/>
    </row>
    <row r="739" spans="1:38" ht="12.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3"/>
      <c r="AD739" s="52"/>
      <c r="AE739" s="52"/>
      <c r="AF739" s="52"/>
      <c r="AG739" s="52"/>
      <c r="AH739" s="52"/>
      <c r="AI739" s="52"/>
      <c r="AJ739" s="52"/>
      <c r="AK739" s="52"/>
      <c r="AL739" s="52"/>
    </row>
    <row r="740" spans="1:38" ht="12.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3"/>
      <c r="AD740" s="52"/>
      <c r="AE740" s="52"/>
      <c r="AF740" s="52"/>
      <c r="AG740" s="52"/>
      <c r="AH740" s="52"/>
      <c r="AI740" s="52"/>
      <c r="AJ740" s="52"/>
      <c r="AK740" s="52"/>
      <c r="AL740" s="52"/>
    </row>
    <row r="741" spans="1:38" ht="12.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3"/>
      <c r="AD741" s="52"/>
      <c r="AE741" s="52"/>
      <c r="AF741" s="52"/>
      <c r="AG741" s="52"/>
      <c r="AH741" s="52"/>
      <c r="AI741" s="52"/>
      <c r="AJ741" s="52"/>
      <c r="AK741" s="52"/>
      <c r="AL741" s="52"/>
    </row>
    <row r="742" spans="1:38" ht="12.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3"/>
      <c r="AD742" s="52"/>
      <c r="AE742" s="52"/>
      <c r="AF742" s="52"/>
      <c r="AG742" s="52"/>
      <c r="AH742" s="52"/>
      <c r="AI742" s="52"/>
      <c r="AJ742" s="52"/>
      <c r="AK742" s="52"/>
      <c r="AL742" s="52"/>
    </row>
    <row r="743" spans="1:38" ht="12.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3"/>
      <c r="AD743" s="52"/>
      <c r="AE743" s="52"/>
      <c r="AF743" s="52"/>
      <c r="AG743" s="52"/>
      <c r="AH743" s="52"/>
      <c r="AI743" s="52"/>
      <c r="AJ743" s="52"/>
      <c r="AK743" s="52"/>
      <c r="AL743" s="52"/>
    </row>
    <row r="744" spans="1:38" ht="12.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3"/>
      <c r="AD744" s="52"/>
      <c r="AE744" s="52"/>
      <c r="AF744" s="52"/>
      <c r="AG744" s="52"/>
      <c r="AH744" s="52"/>
      <c r="AI744" s="52"/>
      <c r="AJ744" s="52"/>
      <c r="AK744" s="52"/>
      <c r="AL744" s="52"/>
    </row>
    <row r="745" spans="1:38" ht="12.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3"/>
      <c r="AD745" s="52"/>
      <c r="AE745" s="52"/>
      <c r="AF745" s="52"/>
      <c r="AG745" s="52"/>
      <c r="AH745" s="52"/>
      <c r="AI745" s="52"/>
      <c r="AJ745" s="52"/>
      <c r="AK745" s="52"/>
      <c r="AL745" s="52"/>
    </row>
    <row r="746" spans="1:38" ht="12.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3"/>
      <c r="AD746" s="52"/>
      <c r="AE746" s="52"/>
      <c r="AF746" s="52"/>
      <c r="AG746" s="52"/>
      <c r="AH746" s="52"/>
      <c r="AI746" s="52"/>
      <c r="AJ746" s="52"/>
      <c r="AK746" s="52"/>
      <c r="AL746" s="52"/>
    </row>
    <row r="747" spans="1:38" ht="12.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3"/>
      <c r="AD747" s="52"/>
      <c r="AE747" s="52"/>
      <c r="AF747" s="52"/>
      <c r="AG747" s="52"/>
      <c r="AH747" s="52"/>
      <c r="AI747" s="52"/>
      <c r="AJ747" s="52"/>
      <c r="AK747" s="52"/>
      <c r="AL747" s="52"/>
    </row>
    <row r="748" spans="1:38" ht="12.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3"/>
      <c r="AD748" s="52"/>
      <c r="AE748" s="52"/>
      <c r="AF748" s="52"/>
      <c r="AG748" s="52"/>
      <c r="AH748" s="52"/>
      <c r="AI748" s="52"/>
      <c r="AJ748" s="52"/>
      <c r="AK748" s="52"/>
      <c r="AL748" s="52"/>
    </row>
    <row r="749" spans="1:38" ht="12.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3"/>
      <c r="AD749" s="52"/>
      <c r="AE749" s="52"/>
      <c r="AF749" s="52"/>
      <c r="AG749" s="52"/>
      <c r="AH749" s="52"/>
      <c r="AI749" s="52"/>
      <c r="AJ749" s="52"/>
      <c r="AK749" s="52"/>
      <c r="AL749" s="52"/>
    </row>
    <row r="750" spans="1:38" ht="12.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3"/>
      <c r="AD750" s="52"/>
      <c r="AE750" s="52"/>
      <c r="AF750" s="52"/>
      <c r="AG750" s="52"/>
      <c r="AH750" s="52"/>
      <c r="AI750" s="52"/>
      <c r="AJ750" s="52"/>
      <c r="AK750" s="52"/>
      <c r="AL750" s="52"/>
    </row>
    <row r="751" spans="1:38" ht="12.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3"/>
      <c r="AD751" s="52"/>
      <c r="AE751" s="52"/>
      <c r="AF751" s="52"/>
      <c r="AG751" s="52"/>
      <c r="AH751" s="52"/>
      <c r="AI751" s="52"/>
      <c r="AJ751" s="52"/>
      <c r="AK751" s="52"/>
      <c r="AL751" s="52"/>
    </row>
    <row r="752" spans="1:38" ht="12.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3"/>
      <c r="AD752" s="52"/>
      <c r="AE752" s="52"/>
      <c r="AF752" s="52"/>
      <c r="AG752" s="52"/>
      <c r="AH752" s="52"/>
      <c r="AI752" s="52"/>
      <c r="AJ752" s="52"/>
      <c r="AK752" s="52"/>
      <c r="AL752" s="52"/>
    </row>
    <row r="753" spans="1:38" ht="12.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3"/>
      <c r="AD753" s="52"/>
      <c r="AE753" s="52"/>
      <c r="AF753" s="52"/>
      <c r="AG753" s="52"/>
      <c r="AH753" s="52"/>
      <c r="AI753" s="52"/>
      <c r="AJ753" s="52"/>
      <c r="AK753" s="52"/>
      <c r="AL753" s="52"/>
    </row>
    <row r="754" spans="1:38" ht="12.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3"/>
      <c r="AD754" s="52"/>
      <c r="AE754" s="52"/>
      <c r="AF754" s="52"/>
      <c r="AG754" s="52"/>
      <c r="AH754" s="52"/>
      <c r="AI754" s="52"/>
      <c r="AJ754" s="52"/>
      <c r="AK754" s="52"/>
      <c r="AL754" s="52"/>
    </row>
    <row r="755" spans="1:38" ht="12.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3"/>
      <c r="AD755" s="52"/>
      <c r="AE755" s="52"/>
      <c r="AF755" s="52"/>
      <c r="AG755" s="52"/>
      <c r="AH755" s="52"/>
      <c r="AI755" s="52"/>
      <c r="AJ755" s="52"/>
      <c r="AK755" s="52"/>
      <c r="AL755" s="52"/>
    </row>
    <row r="756" spans="1:38" ht="12.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3"/>
      <c r="AD756" s="52"/>
      <c r="AE756" s="52"/>
      <c r="AF756" s="52"/>
      <c r="AG756" s="52"/>
      <c r="AH756" s="52"/>
      <c r="AI756" s="52"/>
      <c r="AJ756" s="52"/>
      <c r="AK756" s="52"/>
      <c r="AL756" s="52"/>
    </row>
    <row r="757" spans="1:38" ht="12.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3"/>
      <c r="AD757" s="52"/>
      <c r="AE757" s="52"/>
      <c r="AF757" s="52"/>
      <c r="AG757" s="52"/>
      <c r="AH757" s="52"/>
      <c r="AI757" s="52"/>
      <c r="AJ757" s="52"/>
      <c r="AK757" s="52"/>
      <c r="AL757" s="52"/>
    </row>
    <row r="758" spans="1:38" ht="12.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3"/>
      <c r="AD758" s="52"/>
      <c r="AE758" s="52"/>
      <c r="AF758" s="52"/>
      <c r="AG758" s="52"/>
      <c r="AH758" s="52"/>
      <c r="AI758" s="52"/>
      <c r="AJ758" s="52"/>
      <c r="AK758" s="52"/>
      <c r="AL758" s="52"/>
    </row>
    <row r="759" spans="1:38" ht="12.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3"/>
      <c r="AD759" s="52"/>
      <c r="AE759" s="52"/>
      <c r="AF759" s="52"/>
      <c r="AG759" s="52"/>
      <c r="AH759" s="52"/>
      <c r="AI759" s="52"/>
      <c r="AJ759" s="52"/>
      <c r="AK759" s="52"/>
      <c r="AL759" s="52"/>
    </row>
    <row r="760" spans="1:38" ht="12.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3"/>
      <c r="AD760" s="52"/>
      <c r="AE760" s="52"/>
      <c r="AF760" s="52"/>
      <c r="AG760" s="52"/>
      <c r="AH760" s="52"/>
      <c r="AI760" s="52"/>
      <c r="AJ760" s="52"/>
      <c r="AK760" s="52"/>
      <c r="AL760" s="52"/>
    </row>
    <row r="761" spans="1:38" ht="12.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3"/>
      <c r="AD761" s="52"/>
      <c r="AE761" s="52"/>
      <c r="AF761" s="52"/>
      <c r="AG761" s="52"/>
      <c r="AH761" s="52"/>
      <c r="AI761" s="52"/>
      <c r="AJ761" s="52"/>
      <c r="AK761" s="52"/>
      <c r="AL761" s="52"/>
    </row>
    <row r="762" spans="1:38" ht="12.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3"/>
      <c r="AD762" s="52"/>
      <c r="AE762" s="52"/>
      <c r="AF762" s="52"/>
      <c r="AG762" s="52"/>
      <c r="AH762" s="52"/>
      <c r="AI762" s="52"/>
      <c r="AJ762" s="52"/>
      <c r="AK762" s="52"/>
      <c r="AL762" s="52"/>
    </row>
    <row r="763" spans="1:38" ht="12.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3"/>
      <c r="AD763" s="52"/>
      <c r="AE763" s="52"/>
      <c r="AF763" s="52"/>
      <c r="AG763" s="52"/>
      <c r="AH763" s="52"/>
      <c r="AI763" s="52"/>
      <c r="AJ763" s="52"/>
      <c r="AK763" s="52"/>
      <c r="AL763" s="52"/>
    </row>
    <row r="764" spans="1:38" ht="12.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3"/>
      <c r="AD764" s="52"/>
      <c r="AE764" s="52"/>
      <c r="AF764" s="52"/>
      <c r="AG764" s="52"/>
      <c r="AH764" s="52"/>
      <c r="AI764" s="52"/>
      <c r="AJ764" s="52"/>
      <c r="AK764" s="52"/>
      <c r="AL764" s="52"/>
    </row>
    <row r="765" spans="1:38" ht="12.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3"/>
      <c r="AD765" s="52"/>
      <c r="AE765" s="52"/>
      <c r="AF765" s="52"/>
      <c r="AG765" s="52"/>
      <c r="AH765" s="52"/>
      <c r="AI765" s="52"/>
      <c r="AJ765" s="52"/>
      <c r="AK765" s="52"/>
      <c r="AL765" s="52"/>
    </row>
    <row r="766" spans="1:38" ht="12.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3"/>
      <c r="AD766" s="52"/>
      <c r="AE766" s="52"/>
      <c r="AF766" s="52"/>
      <c r="AG766" s="52"/>
      <c r="AH766" s="52"/>
      <c r="AI766" s="52"/>
      <c r="AJ766" s="52"/>
      <c r="AK766" s="52"/>
      <c r="AL766" s="52"/>
    </row>
    <row r="767" spans="1:38" ht="12.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3"/>
      <c r="AD767" s="52"/>
      <c r="AE767" s="52"/>
      <c r="AF767" s="52"/>
      <c r="AG767" s="52"/>
      <c r="AH767" s="52"/>
      <c r="AI767" s="52"/>
      <c r="AJ767" s="52"/>
      <c r="AK767" s="52"/>
      <c r="AL767" s="52"/>
    </row>
    <row r="768" spans="1:38" ht="12.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3"/>
      <c r="AD768" s="52"/>
      <c r="AE768" s="52"/>
      <c r="AF768" s="52"/>
      <c r="AG768" s="52"/>
      <c r="AH768" s="52"/>
      <c r="AI768" s="52"/>
      <c r="AJ768" s="52"/>
      <c r="AK768" s="52"/>
      <c r="AL768" s="52"/>
    </row>
    <row r="769" spans="1:38" ht="12.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3"/>
      <c r="AD769" s="52"/>
      <c r="AE769" s="52"/>
      <c r="AF769" s="52"/>
      <c r="AG769" s="52"/>
      <c r="AH769" s="52"/>
      <c r="AI769" s="52"/>
      <c r="AJ769" s="52"/>
      <c r="AK769" s="52"/>
      <c r="AL769" s="52"/>
    </row>
    <row r="770" spans="1:38" ht="12.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3"/>
      <c r="AD770" s="52"/>
      <c r="AE770" s="52"/>
      <c r="AF770" s="52"/>
      <c r="AG770" s="52"/>
      <c r="AH770" s="52"/>
      <c r="AI770" s="52"/>
      <c r="AJ770" s="52"/>
      <c r="AK770" s="52"/>
      <c r="AL770" s="52"/>
    </row>
    <row r="771" spans="1:38" ht="12.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3"/>
      <c r="AD771" s="52"/>
      <c r="AE771" s="52"/>
      <c r="AF771" s="52"/>
      <c r="AG771" s="52"/>
      <c r="AH771" s="52"/>
      <c r="AI771" s="52"/>
      <c r="AJ771" s="52"/>
      <c r="AK771" s="52"/>
      <c r="AL771" s="52"/>
    </row>
    <row r="772" spans="1:38" ht="12.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3"/>
      <c r="AD772" s="52"/>
      <c r="AE772" s="52"/>
      <c r="AF772" s="52"/>
      <c r="AG772" s="52"/>
      <c r="AH772" s="52"/>
      <c r="AI772" s="52"/>
      <c r="AJ772" s="52"/>
      <c r="AK772" s="52"/>
      <c r="AL772" s="52"/>
    </row>
    <row r="773" spans="1:38" ht="12.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3"/>
      <c r="AD773" s="52"/>
      <c r="AE773" s="52"/>
      <c r="AF773" s="52"/>
      <c r="AG773" s="52"/>
      <c r="AH773" s="52"/>
      <c r="AI773" s="52"/>
      <c r="AJ773" s="52"/>
      <c r="AK773" s="52"/>
      <c r="AL773" s="52"/>
    </row>
    <row r="774" spans="1:38" ht="12.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3"/>
      <c r="AD774" s="52"/>
      <c r="AE774" s="52"/>
      <c r="AF774" s="52"/>
      <c r="AG774" s="52"/>
      <c r="AH774" s="52"/>
      <c r="AI774" s="52"/>
      <c r="AJ774" s="52"/>
      <c r="AK774" s="52"/>
      <c r="AL774" s="52"/>
    </row>
    <row r="775" spans="1:38" ht="12.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3"/>
      <c r="AD775" s="52"/>
      <c r="AE775" s="52"/>
      <c r="AF775" s="52"/>
      <c r="AG775" s="52"/>
      <c r="AH775" s="52"/>
      <c r="AI775" s="52"/>
      <c r="AJ775" s="52"/>
      <c r="AK775" s="52"/>
      <c r="AL775" s="52"/>
    </row>
    <row r="776" spans="1:38" ht="12.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3"/>
      <c r="AD776" s="52"/>
      <c r="AE776" s="52"/>
      <c r="AF776" s="52"/>
      <c r="AG776" s="52"/>
      <c r="AH776" s="52"/>
      <c r="AI776" s="52"/>
      <c r="AJ776" s="52"/>
      <c r="AK776" s="52"/>
      <c r="AL776" s="52"/>
    </row>
    <row r="777" spans="1:38" ht="12.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3"/>
      <c r="AD777" s="52"/>
      <c r="AE777" s="52"/>
      <c r="AF777" s="52"/>
      <c r="AG777" s="52"/>
      <c r="AH777" s="52"/>
      <c r="AI777" s="52"/>
      <c r="AJ777" s="52"/>
      <c r="AK777" s="52"/>
      <c r="AL777" s="52"/>
    </row>
    <row r="778" spans="1:38" ht="12.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3"/>
      <c r="AD778" s="52"/>
      <c r="AE778" s="52"/>
      <c r="AF778" s="52"/>
      <c r="AG778" s="52"/>
      <c r="AH778" s="52"/>
      <c r="AI778" s="52"/>
      <c r="AJ778" s="52"/>
      <c r="AK778" s="52"/>
      <c r="AL778" s="52"/>
    </row>
    <row r="779" spans="1:38" ht="12.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3"/>
      <c r="AD779" s="52"/>
      <c r="AE779" s="52"/>
      <c r="AF779" s="52"/>
      <c r="AG779" s="52"/>
      <c r="AH779" s="52"/>
      <c r="AI779" s="52"/>
      <c r="AJ779" s="52"/>
      <c r="AK779" s="52"/>
      <c r="AL779" s="52"/>
    </row>
    <row r="780" spans="1:38" ht="12.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3"/>
      <c r="AD780" s="52"/>
      <c r="AE780" s="52"/>
      <c r="AF780" s="52"/>
      <c r="AG780" s="52"/>
      <c r="AH780" s="52"/>
      <c r="AI780" s="52"/>
      <c r="AJ780" s="52"/>
      <c r="AK780" s="52"/>
      <c r="AL780" s="52"/>
    </row>
    <row r="781" spans="1:38" ht="12.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3"/>
      <c r="AD781" s="52"/>
      <c r="AE781" s="52"/>
      <c r="AF781" s="52"/>
      <c r="AG781" s="52"/>
      <c r="AH781" s="52"/>
      <c r="AI781" s="52"/>
      <c r="AJ781" s="52"/>
      <c r="AK781" s="52"/>
      <c r="AL781" s="52"/>
    </row>
    <row r="782" spans="1:38" ht="12.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3"/>
      <c r="AD782" s="52"/>
      <c r="AE782" s="52"/>
      <c r="AF782" s="52"/>
      <c r="AG782" s="52"/>
      <c r="AH782" s="52"/>
      <c r="AI782" s="52"/>
      <c r="AJ782" s="52"/>
      <c r="AK782" s="52"/>
      <c r="AL782" s="52"/>
    </row>
    <row r="783" spans="1:38" ht="12.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3"/>
      <c r="AD783" s="52"/>
      <c r="AE783" s="52"/>
      <c r="AF783" s="52"/>
      <c r="AG783" s="52"/>
      <c r="AH783" s="52"/>
      <c r="AI783" s="52"/>
      <c r="AJ783" s="52"/>
      <c r="AK783" s="52"/>
      <c r="AL783" s="52"/>
    </row>
    <row r="784" spans="1:38" ht="12.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3"/>
      <c r="AD784" s="52"/>
      <c r="AE784" s="52"/>
      <c r="AF784" s="52"/>
      <c r="AG784" s="52"/>
      <c r="AH784" s="52"/>
      <c r="AI784" s="52"/>
      <c r="AJ784" s="52"/>
      <c r="AK784" s="52"/>
      <c r="AL784" s="52"/>
    </row>
    <row r="785" spans="1:38" ht="12.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3"/>
      <c r="AD785" s="52"/>
      <c r="AE785" s="52"/>
      <c r="AF785" s="52"/>
      <c r="AG785" s="52"/>
      <c r="AH785" s="52"/>
      <c r="AI785" s="52"/>
      <c r="AJ785" s="52"/>
      <c r="AK785" s="52"/>
      <c r="AL785" s="52"/>
    </row>
    <row r="786" spans="1:38" ht="12.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3"/>
      <c r="AD786" s="52"/>
      <c r="AE786" s="52"/>
      <c r="AF786" s="52"/>
      <c r="AG786" s="52"/>
      <c r="AH786" s="52"/>
      <c r="AI786" s="52"/>
      <c r="AJ786" s="52"/>
      <c r="AK786" s="52"/>
      <c r="AL786" s="52"/>
    </row>
    <row r="787" spans="1:38" ht="12.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3"/>
      <c r="AD787" s="52"/>
      <c r="AE787" s="52"/>
      <c r="AF787" s="52"/>
      <c r="AG787" s="52"/>
      <c r="AH787" s="52"/>
      <c r="AI787" s="52"/>
      <c r="AJ787" s="52"/>
      <c r="AK787" s="52"/>
      <c r="AL787" s="52"/>
    </row>
    <row r="788" spans="1:38" ht="12.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3"/>
      <c r="AD788" s="52"/>
      <c r="AE788" s="52"/>
      <c r="AF788" s="52"/>
      <c r="AG788" s="52"/>
      <c r="AH788" s="52"/>
      <c r="AI788" s="52"/>
      <c r="AJ788" s="52"/>
      <c r="AK788" s="52"/>
      <c r="AL788" s="52"/>
    </row>
    <row r="789" spans="1:38" ht="12.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3"/>
      <c r="AD789" s="52"/>
      <c r="AE789" s="52"/>
      <c r="AF789" s="52"/>
      <c r="AG789" s="52"/>
      <c r="AH789" s="52"/>
      <c r="AI789" s="52"/>
      <c r="AJ789" s="52"/>
      <c r="AK789" s="52"/>
      <c r="AL789" s="52"/>
    </row>
    <row r="790" spans="1:38" ht="12.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3"/>
      <c r="AD790" s="52"/>
      <c r="AE790" s="52"/>
      <c r="AF790" s="52"/>
      <c r="AG790" s="52"/>
      <c r="AH790" s="52"/>
      <c r="AI790" s="52"/>
      <c r="AJ790" s="52"/>
      <c r="AK790" s="52"/>
      <c r="AL790" s="52"/>
    </row>
    <row r="791" spans="1:38" ht="12.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3"/>
      <c r="AD791" s="52"/>
      <c r="AE791" s="52"/>
      <c r="AF791" s="52"/>
      <c r="AG791" s="52"/>
      <c r="AH791" s="52"/>
      <c r="AI791" s="52"/>
      <c r="AJ791" s="52"/>
      <c r="AK791" s="52"/>
      <c r="AL791" s="52"/>
    </row>
    <row r="792" spans="1:38" ht="12.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3"/>
      <c r="AD792" s="52"/>
      <c r="AE792" s="52"/>
      <c r="AF792" s="52"/>
      <c r="AG792" s="52"/>
      <c r="AH792" s="52"/>
      <c r="AI792" s="52"/>
      <c r="AJ792" s="52"/>
      <c r="AK792" s="52"/>
      <c r="AL792" s="52"/>
    </row>
    <row r="793" spans="1:38" ht="12.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3"/>
      <c r="AD793" s="52"/>
      <c r="AE793" s="52"/>
      <c r="AF793" s="52"/>
      <c r="AG793" s="52"/>
      <c r="AH793" s="52"/>
      <c r="AI793" s="52"/>
      <c r="AJ793" s="52"/>
      <c r="AK793" s="52"/>
      <c r="AL793" s="52"/>
    </row>
    <row r="794" spans="1:38" ht="12.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3"/>
      <c r="AD794" s="52"/>
      <c r="AE794" s="52"/>
      <c r="AF794" s="52"/>
      <c r="AG794" s="52"/>
      <c r="AH794" s="52"/>
      <c r="AI794" s="52"/>
      <c r="AJ794" s="52"/>
      <c r="AK794" s="52"/>
      <c r="AL794" s="52"/>
    </row>
    <row r="795" spans="1:38" ht="12.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3"/>
      <c r="AD795" s="52"/>
      <c r="AE795" s="52"/>
      <c r="AF795" s="52"/>
      <c r="AG795" s="52"/>
      <c r="AH795" s="52"/>
      <c r="AI795" s="52"/>
      <c r="AJ795" s="52"/>
      <c r="AK795" s="52"/>
      <c r="AL795" s="52"/>
    </row>
    <row r="796" spans="1:38" ht="12.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3"/>
      <c r="AD796" s="52"/>
      <c r="AE796" s="52"/>
      <c r="AF796" s="52"/>
      <c r="AG796" s="52"/>
      <c r="AH796" s="52"/>
      <c r="AI796" s="52"/>
      <c r="AJ796" s="52"/>
      <c r="AK796" s="52"/>
      <c r="AL796" s="52"/>
    </row>
    <row r="797" spans="1:38" ht="12.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3"/>
      <c r="AD797" s="52"/>
      <c r="AE797" s="52"/>
      <c r="AF797" s="52"/>
      <c r="AG797" s="52"/>
      <c r="AH797" s="52"/>
      <c r="AI797" s="52"/>
      <c r="AJ797" s="52"/>
      <c r="AK797" s="52"/>
      <c r="AL797" s="52"/>
    </row>
    <row r="798" spans="1:38" ht="12.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3"/>
      <c r="AD798" s="52"/>
      <c r="AE798" s="52"/>
      <c r="AF798" s="52"/>
      <c r="AG798" s="52"/>
      <c r="AH798" s="52"/>
      <c r="AI798" s="52"/>
      <c r="AJ798" s="52"/>
      <c r="AK798" s="52"/>
      <c r="AL798" s="52"/>
    </row>
    <row r="799" spans="1:38" ht="12.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3"/>
      <c r="AD799" s="52"/>
      <c r="AE799" s="52"/>
      <c r="AF799" s="52"/>
      <c r="AG799" s="52"/>
      <c r="AH799" s="52"/>
      <c r="AI799" s="52"/>
      <c r="AJ799" s="52"/>
      <c r="AK799" s="52"/>
      <c r="AL799" s="52"/>
    </row>
    <row r="800" spans="1:38" ht="12.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3"/>
      <c r="AD800" s="52"/>
      <c r="AE800" s="52"/>
      <c r="AF800" s="52"/>
      <c r="AG800" s="52"/>
      <c r="AH800" s="52"/>
      <c r="AI800" s="52"/>
      <c r="AJ800" s="52"/>
      <c r="AK800" s="52"/>
      <c r="AL800" s="52"/>
    </row>
    <row r="801" spans="1:38" ht="12.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3"/>
      <c r="AD801" s="52"/>
      <c r="AE801" s="52"/>
      <c r="AF801" s="52"/>
      <c r="AG801" s="52"/>
      <c r="AH801" s="52"/>
      <c r="AI801" s="52"/>
      <c r="AJ801" s="52"/>
      <c r="AK801" s="52"/>
      <c r="AL801" s="52"/>
    </row>
    <row r="802" spans="1:38" ht="12.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3"/>
      <c r="AD802" s="52"/>
      <c r="AE802" s="52"/>
      <c r="AF802" s="52"/>
      <c r="AG802" s="52"/>
      <c r="AH802" s="52"/>
      <c r="AI802" s="52"/>
      <c r="AJ802" s="52"/>
      <c r="AK802" s="52"/>
      <c r="AL802" s="52"/>
    </row>
    <row r="803" spans="1:38" ht="12.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3"/>
      <c r="AD803" s="52"/>
      <c r="AE803" s="52"/>
      <c r="AF803" s="52"/>
      <c r="AG803" s="52"/>
      <c r="AH803" s="52"/>
      <c r="AI803" s="52"/>
      <c r="AJ803" s="52"/>
      <c r="AK803" s="52"/>
      <c r="AL803" s="52"/>
    </row>
    <row r="804" spans="1:38" ht="12.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3"/>
      <c r="AD804" s="52"/>
      <c r="AE804" s="52"/>
      <c r="AF804" s="52"/>
      <c r="AG804" s="52"/>
      <c r="AH804" s="52"/>
      <c r="AI804" s="52"/>
      <c r="AJ804" s="52"/>
      <c r="AK804" s="52"/>
      <c r="AL804" s="52"/>
    </row>
    <row r="805" spans="1:38" ht="12.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3"/>
      <c r="AD805" s="52"/>
      <c r="AE805" s="52"/>
      <c r="AF805" s="52"/>
      <c r="AG805" s="52"/>
      <c r="AH805" s="52"/>
      <c r="AI805" s="52"/>
      <c r="AJ805" s="52"/>
      <c r="AK805" s="52"/>
      <c r="AL805" s="52"/>
    </row>
    <row r="806" spans="1:38" ht="12.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3"/>
      <c r="AD806" s="52"/>
      <c r="AE806" s="52"/>
      <c r="AF806" s="52"/>
      <c r="AG806" s="52"/>
      <c r="AH806" s="52"/>
      <c r="AI806" s="52"/>
      <c r="AJ806" s="52"/>
      <c r="AK806" s="52"/>
      <c r="AL806" s="52"/>
    </row>
    <row r="807" spans="1:38" ht="12.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3"/>
      <c r="AD807" s="52"/>
      <c r="AE807" s="52"/>
      <c r="AF807" s="52"/>
      <c r="AG807" s="52"/>
      <c r="AH807" s="52"/>
      <c r="AI807" s="52"/>
      <c r="AJ807" s="52"/>
      <c r="AK807" s="52"/>
      <c r="AL807" s="52"/>
    </row>
    <row r="808" spans="1:38" ht="12.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3"/>
      <c r="AD808" s="52"/>
      <c r="AE808" s="52"/>
      <c r="AF808" s="52"/>
      <c r="AG808" s="52"/>
      <c r="AH808" s="52"/>
      <c r="AI808" s="52"/>
      <c r="AJ808" s="52"/>
      <c r="AK808" s="52"/>
      <c r="AL808" s="52"/>
    </row>
    <row r="809" spans="1:38" ht="12.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3"/>
      <c r="AD809" s="52"/>
      <c r="AE809" s="52"/>
      <c r="AF809" s="52"/>
      <c r="AG809" s="52"/>
      <c r="AH809" s="52"/>
      <c r="AI809" s="52"/>
      <c r="AJ809" s="52"/>
      <c r="AK809" s="52"/>
      <c r="AL809" s="52"/>
    </row>
    <row r="810" spans="1:38" ht="12.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3"/>
      <c r="AD810" s="52"/>
      <c r="AE810" s="52"/>
      <c r="AF810" s="52"/>
      <c r="AG810" s="52"/>
      <c r="AH810" s="52"/>
      <c r="AI810" s="52"/>
      <c r="AJ810" s="52"/>
      <c r="AK810" s="52"/>
      <c r="AL810" s="52"/>
    </row>
    <row r="811" spans="1:38" ht="12.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3"/>
      <c r="AD811" s="52"/>
      <c r="AE811" s="52"/>
      <c r="AF811" s="52"/>
      <c r="AG811" s="52"/>
      <c r="AH811" s="52"/>
      <c r="AI811" s="52"/>
      <c r="AJ811" s="52"/>
      <c r="AK811" s="52"/>
      <c r="AL811" s="52"/>
    </row>
    <row r="812" spans="1:38" ht="12.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3"/>
      <c r="AD812" s="52"/>
      <c r="AE812" s="52"/>
      <c r="AF812" s="52"/>
      <c r="AG812" s="52"/>
      <c r="AH812" s="52"/>
      <c r="AI812" s="52"/>
      <c r="AJ812" s="52"/>
      <c r="AK812" s="52"/>
      <c r="AL812" s="52"/>
    </row>
    <row r="813" spans="1:38" ht="12.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3"/>
      <c r="AD813" s="52"/>
      <c r="AE813" s="52"/>
      <c r="AF813" s="52"/>
      <c r="AG813" s="52"/>
      <c r="AH813" s="52"/>
      <c r="AI813" s="52"/>
      <c r="AJ813" s="52"/>
      <c r="AK813" s="52"/>
      <c r="AL813" s="52"/>
    </row>
    <row r="814" spans="1:38" ht="12.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3"/>
      <c r="AD814" s="52"/>
      <c r="AE814" s="52"/>
      <c r="AF814" s="52"/>
      <c r="AG814" s="52"/>
      <c r="AH814" s="52"/>
      <c r="AI814" s="52"/>
      <c r="AJ814" s="52"/>
      <c r="AK814" s="52"/>
      <c r="AL814" s="52"/>
    </row>
    <row r="815" spans="1:38" ht="12.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3"/>
      <c r="AD815" s="52"/>
      <c r="AE815" s="52"/>
      <c r="AF815" s="52"/>
      <c r="AG815" s="52"/>
      <c r="AH815" s="52"/>
      <c r="AI815" s="52"/>
      <c r="AJ815" s="52"/>
      <c r="AK815" s="52"/>
      <c r="AL815" s="52"/>
    </row>
    <row r="816" spans="1:38" ht="12.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3"/>
      <c r="AD816" s="52"/>
      <c r="AE816" s="52"/>
      <c r="AF816" s="52"/>
      <c r="AG816" s="52"/>
      <c r="AH816" s="52"/>
      <c r="AI816" s="52"/>
      <c r="AJ816" s="52"/>
      <c r="AK816" s="52"/>
      <c r="AL816" s="52"/>
    </row>
    <row r="817" spans="1:38" ht="12.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3"/>
      <c r="AD817" s="52"/>
      <c r="AE817" s="52"/>
      <c r="AF817" s="52"/>
      <c r="AG817" s="52"/>
      <c r="AH817" s="52"/>
      <c r="AI817" s="52"/>
      <c r="AJ817" s="52"/>
      <c r="AK817" s="52"/>
      <c r="AL817" s="52"/>
    </row>
    <row r="818" spans="1:38" ht="12.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3"/>
      <c r="AD818" s="52"/>
      <c r="AE818" s="52"/>
      <c r="AF818" s="52"/>
      <c r="AG818" s="52"/>
      <c r="AH818" s="52"/>
      <c r="AI818" s="52"/>
      <c r="AJ818" s="52"/>
      <c r="AK818" s="52"/>
      <c r="AL818" s="52"/>
    </row>
    <row r="819" spans="1:38" ht="12.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3"/>
      <c r="AD819" s="52"/>
      <c r="AE819" s="52"/>
      <c r="AF819" s="52"/>
      <c r="AG819" s="52"/>
      <c r="AH819" s="52"/>
      <c r="AI819" s="52"/>
      <c r="AJ819" s="52"/>
      <c r="AK819" s="52"/>
      <c r="AL819" s="52"/>
    </row>
    <row r="820" spans="1:38" ht="12.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3"/>
      <c r="AD820" s="52"/>
      <c r="AE820" s="52"/>
      <c r="AF820" s="52"/>
      <c r="AG820" s="52"/>
      <c r="AH820" s="52"/>
      <c r="AI820" s="52"/>
      <c r="AJ820" s="52"/>
      <c r="AK820" s="52"/>
      <c r="AL820" s="52"/>
    </row>
    <row r="821" spans="1:38" ht="12.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3"/>
      <c r="AD821" s="52"/>
      <c r="AE821" s="52"/>
      <c r="AF821" s="52"/>
      <c r="AG821" s="52"/>
      <c r="AH821" s="52"/>
      <c r="AI821" s="52"/>
      <c r="AJ821" s="52"/>
      <c r="AK821" s="52"/>
      <c r="AL821" s="52"/>
    </row>
    <row r="822" spans="1:38" ht="12.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3"/>
      <c r="AD822" s="52"/>
      <c r="AE822" s="52"/>
      <c r="AF822" s="52"/>
      <c r="AG822" s="52"/>
      <c r="AH822" s="52"/>
      <c r="AI822" s="52"/>
      <c r="AJ822" s="52"/>
      <c r="AK822" s="52"/>
      <c r="AL822" s="52"/>
    </row>
    <row r="823" spans="1:38" ht="12.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3"/>
      <c r="AD823" s="52"/>
      <c r="AE823" s="52"/>
      <c r="AF823" s="52"/>
      <c r="AG823" s="52"/>
      <c r="AH823" s="52"/>
      <c r="AI823" s="52"/>
      <c r="AJ823" s="52"/>
      <c r="AK823" s="52"/>
      <c r="AL823" s="52"/>
    </row>
    <row r="824" spans="1:38" ht="12.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3"/>
      <c r="AD824" s="52"/>
      <c r="AE824" s="52"/>
      <c r="AF824" s="52"/>
      <c r="AG824" s="52"/>
      <c r="AH824" s="52"/>
      <c r="AI824" s="52"/>
      <c r="AJ824" s="52"/>
      <c r="AK824" s="52"/>
      <c r="AL824" s="52"/>
    </row>
    <row r="825" spans="1:38" ht="12.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3"/>
      <c r="AD825" s="52"/>
      <c r="AE825" s="52"/>
      <c r="AF825" s="52"/>
      <c r="AG825" s="52"/>
      <c r="AH825" s="52"/>
      <c r="AI825" s="52"/>
      <c r="AJ825" s="52"/>
      <c r="AK825" s="52"/>
      <c r="AL825" s="52"/>
    </row>
    <row r="826" spans="1:38" ht="12.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3"/>
      <c r="AD826" s="52"/>
      <c r="AE826" s="52"/>
      <c r="AF826" s="52"/>
      <c r="AG826" s="52"/>
      <c r="AH826" s="52"/>
      <c r="AI826" s="52"/>
      <c r="AJ826" s="52"/>
      <c r="AK826" s="52"/>
      <c r="AL826" s="52"/>
    </row>
    <row r="827" spans="1:38" ht="12.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3"/>
      <c r="AD827" s="52"/>
      <c r="AE827" s="52"/>
      <c r="AF827" s="52"/>
      <c r="AG827" s="52"/>
      <c r="AH827" s="52"/>
      <c r="AI827" s="52"/>
      <c r="AJ827" s="52"/>
      <c r="AK827" s="52"/>
      <c r="AL827" s="52"/>
    </row>
    <row r="828" spans="1:38" ht="12.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3"/>
      <c r="AD828" s="52"/>
      <c r="AE828" s="52"/>
      <c r="AF828" s="52"/>
      <c r="AG828" s="52"/>
      <c r="AH828" s="52"/>
      <c r="AI828" s="52"/>
      <c r="AJ828" s="52"/>
      <c r="AK828" s="52"/>
      <c r="AL828" s="52"/>
    </row>
    <row r="829" spans="1:38" ht="12.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3"/>
      <c r="AD829" s="52"/>
      <c r="AE829" s="52"/>
      <c r="AF829" s="52"/>
      <c r="AG829" s="52"/>
      <c r="AH829" s="52"/>
      <c r="AI829" s="52"/>
      <c r="AJ829" s="52"/>
      <c r="AK829" s="52"/>
      <c r="AL829" s="52"/>
    </row>
    <row r="830" spans="1:38" ht="12.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3"/>
      <c r="AD830" s="52"/>
      <c r="AE830" s="52"/>
      <c r="AF830" s="52"/>
      <c r="AG830" s="52"/>
      <c r="AH830" s="52"/>
      <c r="AI830" s="52"/>
      <c r="AJ830" s="52"/>
      <c r="AK830" s="52"/>
      <c r="AL830" s="52"/>
    </row>
    <row r="831" spans="1:38" ht="12.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3"/>
      <c r="AD831" s="52"/>
      <c r="AE831" s="52"/>
      <c r="AF831" s="52"/>
      <c r="AG831" s="52"/>
      <c r="AH831" s="52"/>
      <c r="AI831" s="52"/>
      <c r="AJ831" s="52"/>
      <c r="AK831" s="52"/>
      <c r="AL831" s="52"/>
    </row>
    <row r="832" spans="1:38" ht="12.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3"/>
      <c r="AD832" s="52"/>
      <c r="AE832" s="52"/>
      <c r="AF832" s="52"/>
      <c r="AG832" s="52"/>
      <c r="AH832" s="52"/>
      <c r="AI832" s="52"/>
      <c r="AJ832" s="52"/>
      <c r="AK832" s="52"/>
      <c r="AL832" s="52"/>
    </row>
    <row r="833" spans="1:38" ht="12.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3"/>
      <c r="AD833" s="52"/>
      <c r="AE833" s="52"/>
      <c r="AF833" s="52"/>
      <c r="AG833" s="52"/>
      <c r="AH833" s="52"/>
      <c r="AI833" s="52"/>
      <c r="AJ833" s="52"/>
      <c r="AK833" s="52"/>
      <c r="AL833" s="52"/>
    </row>
    <row r="834" spans="1:38" ht="12.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3"/>
      <c r="AD834" s="52"/>
      <c r="AE834" s="52"/>
      <c r="AF834" s="52"/>
      <c r="AG834" s="52"/>
      <c r="AH834" s="52"/>
      <c r="AI834" s="52"/>
      <c r="AJ834" s="52"/>
      <c r="AK834" s="52"/>
      <c r="AL834" s="52"/>
    </row>
    <row r="835" spans="1:38" ht="12.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3"/>
      <c r="AD835" s="52"/>
      <c r="AE835" s="52"/>
      <c r="AF835" s="52"/>
      <c r="AG835" s="52"/>
      <c r="AH835" s="52"/>
      <c r="AI835" s="52"/>
      <c r="AJ835" s="52"/>
      <c r="AK835" s="52"/>
      <c r="AL835" s="52"/>
    </row>
    <row r="836" spans="1:38" ht="12.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3"/>
      <c r="AD836" s="52"/>
      <c r="AE836" s="52"/>
      <c r="AF836" s="52"/>
      <c r="AG836" s="52"/>
      <c r="AH836" s="52"/>
      <c r="AI836" s="52"/>
      <c r="AJ836" s="52"/>
      <c r="AK836" s="52"/>
      <c r="AL836" s="52"/>
    </row>
    <row r="837" spans="1:38" ht="12.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3"/>
      <c r="AD837" s="52"/>
      <c r="AE837" s="52"/>
      <c r="AF837" s="52"/>
      <c r="AG837" s="52"/>
      <c r="AH837" s="52"/>
      <c r="AI837" s="52"/>
      <c r="AJ837" s="52"/>
      <c r="AK837" s="52"/>
      <c r="AL837" s="52"/>
    </row>
    <row r="838" spans="1:38" ht="12.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3"/>
      <c r="AD838" s="52"/>
      <c r="AE838" s="52"/>
      <c r="AF838" s="52"/>
      <c r="AG838" s="52"/>
      <c r="AH838" s="52"/>
      <c r="AI838" s="52"/>
      <c r="AJ838" s="52"/>
      <c r="AK838" s="52"/>
      <c r="AL838" s="52"/>
    </row>
    <row r="839" spans="1:38" ht="12.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3"/>
      <c r="AD839" s="52"/>
      <c r="AE839" s="52"/>
      <c r="AF839" s="52"/>
      <c r="AG839" s="52"/>
      <c r="AH839" s="52"/>
      <c r="AI839" s="52"/>
      <c r="AJ839" s="52"/>
      <c r="AK839" s="52"/>
      <c r="AL839" s="52"/>
    </row>
    <row r="840" spans="1:38" ht="12.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3"/>
      <c r="AD840" s="52"/>
      <c r="AE840" s="52"/>
      <c r="AF840" s="52"/>
      <c r="AG840" s="52"/>
      <c r="AH840" s="52"/>
      <c r="AI840" s="52"/>
      <c r="AJ840" s="52"/>
      <c r="AK840" s="52"/>
      <c r="AL840" s="52"/>
    </row>
    <row r="841" spans="1:38" ht="12.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3"/>
      <c r="AD841" s="52"/>
      <c r="AE841" s="52"/>
      <c r="AF841" s="52"/>
      <c r="AG841" s="52"/>
      <c r="AH841" s="52"/>
      <c r="AI841" s="52"/>
      <c r="AJ841" s="52"/>
      <c r="AK841" s="52"/>
      <c r="AL841" s="52"/>
    </row>
    <row r="842" spans="1:38" ht="12.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3"/>
      <c r="AD842" s="52"/>
      <c r="AE842" s="52"/>
      <c r="AF842" s="52"/>
      <c r="AG842" s="52"/>
      <c r="AH842" s="52"/>
      <c r="AI842" s="52"/>
      <c r="AJ842" s="52"/>
      <c r="AK842" s="52"/>
      <c r="AL842" s="52"/>
    </row>
    <row r="843" spans="1:38" ht="12.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3"/>
      <c r="AD843" s="52"/>
      <c r="AE843" s="52"/>
      <c r="AF843" s="52"/>
      <c r="AG843" s="52"/>
      <c r="AH843" s="52"/>
      <c r="AI843" s="52"/>
      <c r="AJ843" s="52"/>
      <c r="AK843" s="52"/>
      <c r="AL843" s="52"/>
    </row>
    <row r="844" spans="1:38" ht="12.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3"/>
      <c r="AD844" s="52"/>
      <c r="AE844" s="52"/>
      <c r="AF844" s="52"/>
      <c r="AG844" s="52"/>
      <c r="AH844" s="52"/>
      <c r="AI844" s="52"/>
      <c r="AJ844" s="52"/>
      <c r="AK844" s="52"/>
      <c r="AL844" s="52"/>
    </row>
    <row r="845" spans="1:38" ht="12.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3"/>
      <c r="AD845" s="52"/>
      <c r="AE845" s="52"/>
      <c r="AF845" s="52"/>
      <c r="AG845" s="52"/>
      <c r="AH845" s="52"/>
      <c r="AI845" s="52"/>
      <c r="AJ845" s="52"/>
      <c r="AK845" s="52"/>
      <c r="AL845" s="52"/>
    </row>
    <row r="846" spans="1:38" ht="12.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3"/>
      <c r="AD846" s="52"/>
      <c r="AE846" s="52"/>
      <c r="AF846" s="52"/>
      <c r="AG846" s="52"/>
      <c r="AH846" s="52"/>
      <c r="AI846" s="52"/>
      <c r="AJ846" s="52"/>
      <c r="AK846" s="52"/>
      <c r="AL846" s="52"/>
    </row>
    <row r="847" spans="1:38" ht="12.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3"/>
      <c r="AD847" s="52"/>
      <c r="AE847" s="52"/>
      <c r="AF847" s="52"/>
      <c r="AG847" s="52"/>
      <c r="AH847" s="52"/>
      <c r="AI847" s="52"/>
      <c r="AJ847" s="52"/>
      <c r="AK847" s="52"/>
      <c r="AL847" s="52"/>
    </row>
    <row r="848" spans="1:38" ht="12.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3"/>
      <c r="AD848" s="52"/>
      <c r="AE848" s="52"/>
      <c r="AF848" s="52"/>
      <c r="AG848" s="52"/>
      <c r="AH848" s="52"/>
      <c r="AI848" s="52"/>
      <c r="AJ848" s="52"/>
      <c r="AK848" s="52"/>
      <c r="AL848" s="52"/>
    </row>
    <row r="849" spans="1:38" ht="12.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3"/>
      <c r="AD849" s="52"/>
      <c r="AE849" s="52"/>
      <c r="AF849" s="52"/>
      <c r="AG849" s="52"/>
      <c r="AH849" s="52"/>
      <c r="AI849" s="52"/>
      <c r="AJ849" s="52"/>
      <c r="AK849" s="52"/>
      <c r="AL849" s="52"/>
    </row>
    <row r="850" spans="1:38" ht="12.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3"/>
      <c r="AD850" s="52"/>
      <c r="AE850" s="52"/>
      <c r="AF850" s="52"/>
      <c r="AG850" s="52"/>
      <c r="AH850" s="52"/>
      <c r="AI850" s="52"/>
      <c r="AJ850" s="52"/>
      <c r="AK850" s="52"/>
      <c r="AL850" s="52"/>
    </row>
    <row r="851" spans="1:38" ht="12.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3"/>
      <c r="AD851" s="52"/>
      <c r="AE851" s="52"/>
      <c r="AF851" s="52"/>
      <c r="AG851" s="52"/>
      <c r="AH851" s="52"/>
      <c r="AI851" s="52"/>
      <c r="AJ851" s="52"/>
      <c r="AK851" s="52"/>
      <c r="AL851" s="52"/>
    </row>
    <row r="852" spans="1:38" ht="12.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3"/>
      <c r="AD852" s="52"/>
      <c r="AE852" s="52"/>
      <c r="AF852" s="52"/>
      <c r="AG852" s="52"/>
      <c r="AH852" s="52"/>
      <c r="AI852" s="52"/>
      <c r="AJ852" s="52"/>
      <c r="AK852" s="52"/>
      <c r="AL852" s="52"/>
    </row>
    <row r="853" spans="1:38" ht="12.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3"/>
      <c r="AD853" s="52"/>
      <c r="AE853" s="52"/>
      <c r="AF853" s="52"/>
      <c r="AG853" s="52"/>
      <c r="AH853" s="52"/>
      <c r="AI853" s="52"/>
      <c r="AJ853" s="52"/>
      <c r="AK853" s="52"/>
      <c r="AL853" s="52"/>
    </row>
    <row r="854" spans="1:38" ht="12.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3"/>
      <c r="AD854" s="52"/>
      <c r="AE854" s="52"/>
      <c r="AF854" s="52"/>
      <c r="AG854" s="52"/>
      <c r="AH854" s="52"/>
      <c r="AI854" s="52"/>
      <c r="AJ854" s="52"/>
      <c r="AK854" s="52"/>
      <c r="AL854" s="52"/>
    </row>
    <row r="855" spans="1:38" ht="12.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3"/>
      <c r="AD855" s="52"/>
      <c r="AE855" s="52"/>
      <c r="AF855" s="52"/>
      <c r="AG855" s="52"/>
      <c r="AH855" s="52"/>
      <c r="AI855" s="52"/>
      <c r="AJ855" s="52"/>
      <c r="AK855" s="52"/>
      <c r="AL855" s="52"/>
    </row>
    <row r="856" spans="1:38" ht="12.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3"/>
      <c r="AD856" s="52"/>
      <c r="AE856" s="52"/>
      <c r="AF856" s="52"/>
      <c r="AG856" s="52"/>
      <c r="AH856" s="52"/>
      <c r="AI856" s="52"/>
      <c r="AJ856" s="52"/>
      <c r="AK856" s="52"/>
      <c r="AL856" s="52"/>
    </row>
    <row r="857" spans="1:38" ht="12.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3"/>
      <c r="AD857" s="52"/>
      <c r="AE857" s="52"/>
      <c r="AF857" s="52"/>
      <c r="AG857" s="52"/>
      <c r="AH857" s="52"/>
      <c r="AI857" s="52"/>
      <c r="AJ857" s="52"/>
      <c r="AK857" s="52"/>
      <c r="AL857" s="52"/>
    </row>
    <row r="858" spans="1:38" ht="12.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3"/>
      <c r="AD858" s="52"/>
      <c r="AE858" s="52"/>
      <c r="AF858" s="52"/>
      <c r="AG858" s="52"/>
      <c r="AH858" s="52"/>
      <c r="AI858" s="52"/>
      <c r="AJ858" s="52"/>
      <c r="AK858" s="52"/>
      <c r="AL858" s="52"/>
    </row>
    <row r="859" spans="1:38" ht="12.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3"/>
      <c r="AD859" s="52"/>
      <c r="AE859" s="52"/>
      <c r="AF859" s="52"/>
      <c r="AG859" s="52"/>
      <c r="AH859" s="52"/>
      <c r="AI859" s="52"/>
      <c r="AJ859" s="52"/>
      <c r="AK859" s="52"/>
      <c r="AL859" s="52"/>
    </row>
    <row r="860" spans="1:38" ht="12.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3"/>
      <c r="AD860" s="52"/>
      <c r="AE860" s="52"/>
      <c r="AF860" s="52"/>
      <c r="AG860" s="52"/>
      <c r="AH860" s="52"/>
      <c r="AI860" s="52"/>
      <c r="AJ860" s="52"/>
      <c r="AK860" s="52"/>
      <c r="AL860" s="52"/>
    </row>
    <row r="861" spans="1:38" ht="12.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3"/>
      <c r="AD861" s="52"/>
      <c r="AE861" s="52"/>
      <c r="AF861" s="52"/>
      <c r="AG861" s="52"/>
      <c r="AH861" s="52"/>
      <c r="AI861" s="52"/>
      <c r="AJ861" s="52"/>
      <c r="AK861" s="52"/>
      <c r="AL861" s="52"/>
    </row>
    <row r="862" spans="1:38" ht="12.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3"/>
      <c r="AD862" s="52"/>
      <c r="AE862" s="52"/>
      <c r="AF862" s="52"/>
      <c r="AG862" s="52"/>
      <c r="AH862" s="52"/>
      <c r="AI862" s="52"/>
      <c r="AJ862" s="52"/>
      <c r="AK862" s="52"/>
      <c r="AL862" s="52"/>
    </row>
    <row r="863" spans="1:38" ht="12.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3"/>
      <c r="AD863" s="52"/>
      <c r="AE863" s="52"/>
      <c r="AF863" s="52"/>
      <c r="AG863" s="52"/>
      <c r="AH863" s="52"/>
      <c r="AI863" s="52"/>
      <c r="AJ863" s="52"/>
      <c r="AK863" s="52"/>
      <c r="AL863" s="52"/>
    </row>
    <row r="864" spans="1:38" ht="12.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3"/>
      <c r="AD864" s="52"/>
      <c r="AE864" s="52"/>
      <c r="AF864" s="52"/>
      <c r="AG864" s="52"/>
      <c r="AH864" s="52"/>
      <c r="AI864" s="52"/>
      <c r="AJ864" s="52"/>
      <c r="AK864" s="52"/>
      <c r="AL864" s="52"/>
    </row>
    <row r="865" spans="1:38" ht="12.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3"/>
      <c r="AD865" s="52"/>
      <c r="AE865" s="52"/>
      <c r="AF865" s="52"/>
      <c r="AG865" s="52"/>
      <c r="AH865" s="52"/>
      <c r="AI865" s="52"/>
      <c r="AJ865" s="52"/>
      <c r="AK865" s="52"/>
      <c r="AL865" s="52"/>
    </row>
    <row r="866" spans="1:38" ht="12.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3"/>
      <c r="AD866" s="52"/>
      <c r="AE866" s="52"/>
      <c r="AF866" s="52"/>
      <c r="AG866" s="52"/>
      <c r="AH866" s="52"/>
      <c r="AI866" s="52"/>
      <c r="AJ866" s="52"/>
      <c r="AK866" s="52"/>
      <c r="AL866" s="52"/>
    </row>
    <row r="867" spans="1:38" ht="12.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3"/>
      <c r="AD867" s="52"/>
      <c r="AE867" s="52"/>
      <c r="AF867" s="52"/>
      <c r="AG867" s="52"/>
      <c r="AH867" s="52"/>
      <c r="AI867" s="52"/>
      <c r="AJ867" s="52"/>
      <c r="AK867" s="52"/>
      <c r="AL867" s="52"/>
    </row>
    <row r="868" spans="1:38" ht="12.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3"/>
      <c r="AD868" s="52"/>
      <c r="AE868" s="52"/>
      <c r="AF868" s="52"/>
      <c r="AG868" s="52"/>
      <c r="AH868" s="52"/>
      <c r="AI868" s="52"/>
      <c r="AJ868" s="52"/>
      <c r="AK868" s="52"/>
      <c r="AL868" s="52"/>
    </row>
    <row r="869" spans="1:38" ht="12.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3"/>
      <c r="AD869" s="52"/>
      <c r="AE869" s="52"/>
      <c r="AF869" s="52"/>
      <c r="AG869" s="52"/>
      <c r="AH869" s="52"/>
      <c r="AI869" s="52"/>
      <c r="AJ869" s="52"/>
      <c r="AK869" s="52"/>
      <c r="AL869" s="52"/>
    </row>
    <row r="870" spans="1:38" ht="12.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3"/>
      <c r="AD870" s="52"/>
      <c r="AE870" s="52"/>
      <c r="AF870" s="52"/>
      <c r="AG870" s="52"/>
      <c r="AH870" s="52"/>
      <c r="AI870" s="52"/>
      <c r="AJ870" s="52"/>
      <c r="AK870" s="52"/>
      <c r="AL870" s="52"/>
    </row>
    <row r="871" spans="1:38" ht="12.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3"/>
      <c r="AD871" s="52"/>
      <c r="AE871" s="52"/>
      <c r="AF871" s="52"/>
      <c r="AG871" s="52"/>
      <c r="AH871" s="52"/>
      <c r="AI871" s="52"/>
      <c r="AJ871" s="52"/>
      <c r="AK871" s="52"/>
      <c r="AL871" s="52"/>
    </row>
    <row r="872" spans="1:38" ht="12.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3"/>
      <c r="AD872" s="52"/>
      <c r="AE872" s="52"/>
      <c r="AF872" s="52"/>
      <c r="AG872" s="52"/>
      <c r="AH872" s="52"/>
      <c r="AI872" s="52"/>
      <c r="AJ872" s="52"/>
      <c r="AK872" s="52"/>
      <c r="AL872" s="52"/>
    </row>
    <row r="873" spans="1:38" ht="12.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3"/>
      <c r="AD873" s="52"/>
      <c r="AE873" s="52"/>
      <c r="AF873" s="52"/>
      <c r="AG873" s="52"/>
      <c r="AH873" s="52"/>
      <c r="AI873" s="52"/>
      <c r="AJ873" s="52"/>
      <c r="AK873" s="52"/>
      <c r="AL873" s="52"/>
    </row>
    <row r="874" spans="1:38" ht="12.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3"/>
      <c r="AD874" s="52"/>
      <c r="AE874" s="52"/>
      <c r="AF874" s="52"/>
      <c r="AG874" s="52"/>
      <c r="AH874" s="52"/>
      <c r="AI874" s="52"/>
      <c r="AJ874" s="52"/>
      <c r="AK874" s="52"/>
      <c r="AL874" s="52"/>
    </row>
    <row r="875" spans="1:38" ht="12.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3"/>
      <c r="AD875" s="52"/>
      <c r="AE875" s="52"/>
      <c r="AF875" s="52"/>
      <c r="AG875" s="52"/>
      <c r="AH875" s="52"/>
      <c r="AI875" s="52"/>
      <c r="AJ875" s="52"/>
      <c r="AK875" s="52"/>
      <c r="AL875" s="52"/>
    </row>
    <row r="876" spans="1:38" ht="12.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3"/>
      <c r="AD876" s="52"/>
      <c r="AE876" s="52"/>
      <c r="AF876" s="52"/>
      <c r="AG876" s="52"/>
      <c r="AH876" s="52"/>
      <c r="AI876" s="52"/>
      <c r="AJ876" s="52"/>
      <c r="AK876" s="52"/>
      <c r="AL876" s="52"/>
    </row>
    <row r="877" spans="1:38" ht="12.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3"/>
      <c r="AD877" s="52"/>
      <c r="AE877" s="52"/>
      <c r="AF877" s="52"/>
      <c r="AG877" s="52"/>
      <c r="AH877" s="52"/>
      <c r="AI877" s="52"/>
      <c r="AJ877" s="52"/>
      <c r="AK877" s="52"/>
      <c r="AL877" s="52"/>
    </row>
    <row r="878" spans="1:38" ht="12.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3"/>
      <c r="AD878" s="52"/>
      <c r="AE878" s="52"/>
      <c r="AF878" s="52"/>
      <c r="AG878" s="52"/>
      <c r="AH878" s="52"/>
      <c r="AI878" s="52"/>
      <c r="AJ878" s="52"/>
      <c r="AK878" s="52"/>
      <c r="AL878" s="52"/>
    </row>
    <row r="879" spans="1:38" ht="12.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3"/>
      <c r="AD879" s="52"/>
      <c r="AE879" s="52"/>
      <c r="AF879" s="52"/>
      <c r="AG879" s="52"/>
      <c r="AH879" s="52"/>
      <c r="AI879" s="52"/>
      <c r="AJ879" s="52"/>
      <c r="AK879" s="52"/>
      <c r="AL879" s="52"/>
    </row>
    <row r="880" spans="1:38" ht="12.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3"/>
      <c r="AD880" s="52"/>
      <c r="AE880" s="52"/>
      <c r="AF880" s="52"/>
      <c r="AG880" s="52"/>
      <c r="AH880" s="52"/>
      <c r="AI880" s="52"/>
      <c r="AJ880" s="52"/>
      <c r="AK880" s="52"/>
      <c r="AL880" s="52"/>
    </row>
    <row r="881" spans="1:38" ht="12.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3"/>
      <c r="AD881" s="52"/>
      <c r="AE881" s="52"/>
      <c r="AF881" s="52"/>
      <c r="AG881" s="52"/>
      <c r="AH881" s="52"/>
      <c r="AI881" s="52"/>
      <c r="AJ881" s="52"/>
      <c r="AK881" s="52"/>
      <c r="AL881" s="52"/>
    </row>
    <row r="882" spans="1:38" ht="12.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3"/>
      <c r="AD882" s="52"/>
      <c r="AE882" s="52"/>
      <c r="AF882" s="52"/>
      <c r="AG882" s="52"/>
      <c r="AH882" s="52"/>
      <c r="AI882" s="52"/>
      <c r="AJ882" s="52"/>
      <c r="AK882" s="52"/>
      <c r="AL882" s="52"/>
    </row>
    <row r="883" spans="1:38" ht="12.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3"/>
      <c r="AD883" s="52"/>
      <c r="AE883" s="52"/>
      <c r="AF883" s="52"/>
      <c r="AG883" s="52"/>
      <c r="AH883" s="52"/>
      <c r="AI883" s="52"/>
      <c r="AJ883" s="52"/>
      <c r="AK883" s="52"/>
      <c r="AL883" s="52"/>
    </row>
    <row r="884" spans="1:38" ht="12.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3"/>
      <c r="AD884" s="52"/>
      <c r="AE884" s="52"/>
      <c r="AF884" s="52"/>
      <c r="AG884" s="52"/>
      <c r="AH884" s="52"/>
      <c r="AI884" s="52"/>
      <c r="AJ884" s="52"/>
      <c r="AK884" s="52"/>
      <c r="AL884" s="52"/>
    </row>
    <row r="885" spans="1:38" ht="12.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3"/>
      <c r="AD885" s="52"/>
      <c r="AE885" s="52"/>
      <c r="AF885" s="52"/>
      <c r="AG885" s="52"/>
      <c r="AH885" s="52"/>
      <c r="AI885" s="52"/>
      <c r="AJ885" s="52"/>
      <c r="AK885" s="52"/>
      <c r="AL885" s="52"/>
    </row>
    <row r="886" spans="1:38" ht="12.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3"/>
      <c r="AD886" s="52"/>
      <c r="AE886" s="52"/>
      <c r="AF886" s="52"/>
      <c r="AG886" s="52"/>
      <c r="AH886" s="52"/>
      <c r="AI886" s="52"/>
      <c r="AJ886" s="52"/>
      <c r="AK886" s="52"/>
      <c r="AL886" s="52"/>
    </row>
    <row r="887" spans="1:38" ht="12.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3"/>
      <c r="AD887" s="52"/>
      <c r="AE887" s="52"/>
      <c r="AF887" s="52"/>
      <c r="AG887" s="52"/>
      <c r="AH887" s="52"/>
      <c r="AI887" s="52"/>
      <c r="AJ887" s="52"/>
      <c r="AK887" s="52"/>
      <c r="AL887" s="52"/>
    </row>
    <row r="888" spans="1:38" ht="12.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3"/>
      <c r="AD888" s="52"/>
      <c r="AE888" s="52"/>
      <c r="AF888" s="52"/>
      <c r="AG888" s="52"/>
      <c r="AH888" s="52"/>
      <c r="AI888" s="52"/>
      <c r="AJ888" s="52"/>
      <c r="AK888" s="52"/>
      <c r="AL888" s="52"/>
    </row>
    <row r="889" spans="1:38" ht="12.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3"/>
      <c r="AD889" s="52"/>
      <c r="AE889" s="52"/>
      <c r="AF889" s="52"/>
      <c r="AG889" s="52"/>
      <c r="AH889" s="52"/>
      <c r="AI889" s="52"/>
      <c r="AJ889" s="52"/>
      <c r="AK889" s="52"/>
      <c r="AL889" s="52"/>
    </row>
    <row r="890" spans="1:38" ht="12.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3"/>
      <c r="AD890" s="52"/>
      <c r="AE890" s="52"/>
      <c r="AF890" s="52"/>
      <c r="AG890" s="52"/>
      <c r="AH890" s="52"/>
      <c r="AI890" s="52"/>
      <c r="AJ890" s="52"/>
      <c r="AK890" s="52"/>
      <c r="AL890" s="52"/>
    </row>
    <row r="891" spans="1:38" ht="12.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3"/>
      <c r="AD891" s="52"/>
      <c r="AE891" s="52"/>
      <c r="AF891" s="52"/>
      <c r="AG891" s="52"/>
      <c r="AH891" s="52"/>
      <c r="AI891" s="52"/>
      <c r="AJ891" s="52"/>
      <c r="AK891" s="52"/>
      <c r="AL891" s="52"/>
    </row>
    <row r="892" spans="1:38" ht="12.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3"/>
      <c r="AD892" s="52"/>
      <c r="AE892" s="52"/>
      <c r="AF892" s="52"/>
      <c r="AG892" s="52"/>
      <c r="AH892" s="52"/>
      <c r="AI892" s="52"/>
      <c r="AJ892" s="52"/>
      <c r="AK892" s="52"/>
      <c r="AL892" s="52"/>
    </row>
    <row r="893" spans="1:38" ht="12.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3"/>
      <c r="AD893" s="52"/>
      <c r="AE893" s="52"/>
      <c r="AF893" s="52"/>
      <c r="AG893" s="52"/>
      <c r="AH893" s="52"/>
      <c r="AI893" s="52"/>
      <c r="AJ893" s="52"/>
      <c r="AK893" s="52"/>
      <c r="AL893" s="52"/>
    </row>
    <row r="894" spans="1:38" ht="12.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3"/>
      <c r="AD894" s="52"/>
      <c r="AE894" s="52"/>
      <c r="AF894" s="52"/>
      <c r="AG894" s="52"/>
      <c r="AH894" s="52"/>
      <c r="AI894" s="52"/>
      <c r="AJ894" s="52"/>
      <c r="AK894" s="52"/>
      <c r="AL894" s="52"/>
    </row>
    <row r="895" spans="1:38" ht="12.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3"/>
      <c r="AD895" s="52"/>
      <c r="AE895" s="52"/>
      <c r="AF895" s="52"/>
      <c r="AG895" s="52"/>
      <c r="AH895" s="52"/>
      <c r="AI895" s="52"/>
      <c r="AJ895" s="52"/>
      <c r="AK895" s="52"/>
      <c r="AL895" s="52"/>
    </row>
    <row r="896" spans="1:38" ht="12.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3"/>
      <c r="AD896" s="52"/>
      <c r="AE896" s="52"/>
      <c r="AF896" s="52"/>
      <c r="AG896" s="52"/>
      <c r="AH896" s="52"/>
      <c r="AI896" s="52"/>
      <c r="AJ896" s="52"/>
      <c r="AK896" s="52"/>
      <c r="AL896" s="52"/>
    </row>
    <row r="897" spans="1:38" ht="12.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3"/>
      <c r="AD897" s="52"/>
      <c r="AE897" s="52"/>
      <c r="AF897" s="52"/>
      <c r="AG897" s="52"/>
      <c r="AH897" s="52"/>
      <c r="AI897" s="52"/>
      <c r="AJ897" s="52"/>
      <c r="AK897" s="52"/>
      <c r="AL897" s="52"/>
    </row>
    <row r="898" spans="1:38" ht="12.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3"/>
      <c r="AD898" s="52"/>
      <c r="AE898" s="52"/>
      <c r="AF898" s="52"/>
      <c r="AG898" s="52"/>
      <c r="AH898" s="52"/>
      <c r="AI898" s="52"/>
      <c r="AJ898" s="52"/>
      <c r="AK898" s="52"/>
      <c r="AL898" s="52"/>
    </row>
    <row r="899" spans="1:38" ht="12.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3"/>
      <c r="AD899" s="52"/>
      <c r="AE899" s="52"/>
      <c r="AF899" s="52"/>
      <c r="AG899" s="52"/>
      <c r="AH899" s="52"/>
      <c r="AI899" s="52"/>
      <c r="AJ899" s="52"/>
      <c r="AK899" s="52"/>
      <c r="AL899" s="52"/>
    </row>
    <row r="900" spans="1:38" ht="12.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3"/>
      <c r="AD900" s="52"/>
      <c r="AE900" s="52"/>
      <c r="AF900" s="52"/>
      <c r="AG900" s="52"/>
      <c r="AH900" s="52"/>
      <c r="AI900" s="52"/>
      <c r="AJ900" s="52"/>
      <c r="AK900" s="52"/>
      <c r="AL900" s="52"/>
    </row>
    <row r="901" spans="1:38" ht="12.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3"/>
      <c r="AD901" s="52"/>
      <c r="AE901" s="52"/>
      <c r="AF901" s="52"/>
      <c r="AG901" s="52"/>
      <c r="AH901" s="52"/>
      <c r="AI901" s="52"/>
      <c r="AJ901" s="52"/>
      <c r="AK901" s="52"/>
      <c r="AL901" s="52"/>
    </row>
    <row r="902" spans="1:38" ht="12.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3"/>
      <c r="AD902" s="52"/>
      <c r="AE902" s="52"/>
      <c r="AF902" s="52"/>
      <c r="AG902" s="52"/>
      <c r="AH902" s="52"/>
      <c r="AI902" s="52"/>
      <c r="AJ902" s="52"/>
      <c r="AK902" s="52"/>
      <c r="AL902" s="52"/>
    </row>
    <row r="903" spans="1:38" ht="12.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3"/>
      <c r="AD903" s="52"/>
      <c r="AE903" s="52"/>
      <c r="AF903" s="52"/>
      <c r="AG903" s="52"/>
      <c r="AH903" s="52"/>
      <c r="AI903" s="52"/>
      <c r="AJ903" s="52"/>
      <c r="AK903" s="52"/>
      <c r="AL903" s="52"/>
    </row>
    <row r="904" spans="1:38" ht="12.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3"/>
      <c r="AD904" s="52"/>
      <c r="AE904" s="52"/>
      <c r="AF904" s="52"/>
      <c r="AG904" s="52"/>
      <c r="AH904" s="52"/>
      <c r="AI904" s="52"/>
      <c r="AJ904" s="52"/>
      <c r="AK904" s="52"/>
      <c r="AL904" s="52"/>
    </row>
    <row r="905" spans="1:38" ht="12.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3"/>
      <c r="AD905" s="52"/>
      <c r="AE905" s="52"/>
      <c r="AF905" s="52"/>
      <c r="AG905" s="52"/>
      <c r="AH905" s="52"/>
      <c r="AI905" s="52"/>
      <c r="AJ905" s="52"/>
      <c r="AK905" s="52"/>
      <c r="AL905" s="52"/>
    </row>
    <row r="906" spans="1:38" ht="12.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3"/>
      <c r="AD906" s="52"/>
      <c r="AE906" s="52"/>
      <c r="AF906" s="52"/>
      <c r="AG906" s="52"/>
      <c r="AH906" s="52"/>
      <c r="AI906" s="52"/>
      <c r="AJ906" s="52"/>
      <c r="AK906" s="52"/>
      <c r="AL906" s="52"/>
    </row>
    <row r="907" spans="1:38" ht="12.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3"/>
      <c r="AD907" s="52"/>
      <c r="AE907" s="52"/>
      <c r="AF907" s="52"/>
      <c r="AG907" s="52"/>
      <c r="AH907" s="52"/>
      <c r="AI907" s="52"/>
      <c r="AJ907" s="52"/>
      <c r="AK907" s="52"/>
      <c r="AL907" s="52"/>
    </row>
    <row r="908" spans="1:38" ht="12.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3"/>
      <c r="AD908" s="52"/>
      <c r="AE908" s="52"/>
      <c r="AF908" s="52"/>
      <c r="AG908" s="52"/>
      <c r="AH908" s="52"/>
      <c r="AI908" s="52"/>
      <c r="AJ908" s="52"/>
      <c r="AK908" s="52"/>
      <c r="AL908" s="52"/>
    </row>
    <row r="909" spans="1:38" ht="12.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3"/>
      <c r="AD909" s="52"/>
      <c r="AE909" s="52"/>
      <c r="AF909" s="52"/>
      <c r="AG909" s="52"/>
      <c r="AH909" s="52"/>
      <c r="AI909" s="52"/>
      <c r="AJ909" s="52"/>
      <c r="AK909" s="52"/>
      <c r="AL909" s="52"/>
    </row>
    <row r="910" spans="1:38" ht="12.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3"/>
      <c r="AD910" s="52"/>
      <c r="AE910" s="52"/>
      <c r="AF910" s="52"/>
      <c r="AG910" s="52"/>
      <c r="AH910" s="52"/>
      <c r="AI910" s="52"/>
      <c r="AJ910" s="52"/>
      <c r="AK910" s="52"/>
      <c r="AL910" s="52"/>
    </row>
    <row r="911" spans="1:38" ht="12.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3"/>
      <c r="AD911" s="52"/>
      <c r="AE911" s="52"/>
      <c r="AF911" s="52"/>
      <c r="AG911" s="52"/>
      <c r="AH911" s="52"/>
      <c r="AI911" s="52"/>
      <c r="AJ911" s="52"/>
      <c r="AK911" s="52"/>
      <c r="AL911" s="52"/>
    </row>
    <row r="912" spans="1:38" ht="12.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3"/>
      <c r="AD912" s="52"/>
      <c r="AE912" s="52"/>
      <c r="AF912" s="52"/>
      <c r="AG912" s="52"/>
      <c r="AH912" s="52"/>
      <c r="AI912" s="52"/>
      <c r="AJ912" s="52"/>
      <c r="AK912" s="52"/>
      <c r="AL912" s="52"/>
    </row>
    <row r="913" spans="1:38" ht="12.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3"/>
      <c r="AD913" s="52"/>
      <c r="AE913" s="52"/>
      <c r="AF913" s="52"/>
      <c r="AG913" s="52"/>
      <c r="AH913" s="52"/>
      <c r="AI913" s="52"/>
      <c r="AJ913" s="52"/>
      <c r="AK913" s="52"/>
      <c r="AL913" s="52"/>
    </row>
    <row r="914" spans="1:38" ht="12.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3"/>
      <c r="AD914" s="52"/>
      <c r="AE914" s="52"/>
      <c r="AF914" s="52"/>
      <c r="AG914" s="52"/>
      <c r="AH914" s="52"/>
      <c r="AI914" s="52"/>
      <c r="AJ914" s="52"/>
      <c r="AK914" s="52"/>
      <c r="AL914" s="52"/>
    </row>
    <row r="915" spans="1:38" ht="12.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3"/>
      <c r="AD915" s="52"/>
      <c r="AE915" s="52"/>
      <c r="AF915" s="52"/>
      <c r="AG915" s="52"/>
      <c r="AH915" s="52"/>
      <c r="AI915" s="52"/>
      <c r="AJ915" s="52"/>
      <c r="AK915" s="52"/>
      <c r="AL915" s="52"/>
    </row>
    <row r="916" spans="1:38" ht="12.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3"/>
      <c r="AD916" s="52"/>
      <c r="AE916" s="52"/>
      <c r="AF916" s="52"/>
      <c r="AG916" s="52"/>
      <c r="AH916" s="52"/>
      <c r="AI916" s="52"/>
      <c r="AJ916" s="52"/>
      <c r="AK916" s="52"/>
      <c r="AL916" s="52"/>
    </row>
    <row r="917" spans="1:38" ht="12.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3"/>
      <c r="AD917" s="52"/>
      <c r="AE917" s="52"/>
      <c r="AF917" s="52"/>
      <c r="AG917" s="52"/>
      <c r="AH917" s="52"/>
      <c r="AI917" s="52"/>
      <c r="AJ917" s="52"/>
      <c r="AK917" s="52"/>
      <c r="AL917" s="52"/>
    </row>
    <row r="918" spans="1:38" ht="12.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3"/>
      <c r="AD918" s="52"/>
      <c r="AE918" s="52"/>
      <c r="AF918" s="52"/>
      <c r="AG918" s="52"/>
      <c r="AH918" s="52"/>
      <c r="AI918" s="52"/>
      <c r="AJ918" s="52"/>
      <c r="AK918" s="52"/>
      <c r="AL918" s="52"/>
    </row>
    <row r="919" spans="1:38" ht="12.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3"/>
      <c r="AD919" s="52"/>
      <c r="AE919" s="52"/>
      <c r="AF919" s="52"/>
      <c r="AG919" s="52"/>
      <c r="AH919" s="52"/>
      <c r="AI919" s="52"/>
      <c r="AJ919" s="52"/>
      <c r="AK919" s="52"/>
      <c r="AL919" s="52"/>
    </row>
    <row r="920" spans="1:38" ht="12.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3"/>
      <c r="AD920" s="52"/>
      <c r="AE920" s="52"/>
      <c r="AF920" s="52"/>
      <c r="AG920" s="52"/>
      <c r="AH920" s="52"/>
      <c r="AI920" s="52"/>
      <c r="AJ920" s="52"/>
      <c r="AK920" s="52"/>
      <c r="AL920" s="52"/>
    </row>
    <row r="921" spans="1:38" ht="12.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3"/>
      <c r="AD921" s="52"/>
      <c r="AE921" s="52"/>
      <c r="AF921" s="52"/>
      <c r="AG921" s="52"/>
      <c r="AH921" s="52"/>
      <c r="AI921" s="52"/>
      <c r="AJ921" s="52"/>
      <c r="AK921" s="52"/>
      <c r="AL921" s="52"/>
    </row>
    <row r="922" spans="1:38" ht="12.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3"/>
      <c r="AD922" s="52"/>
      <c r="AE922" s="52"/>
      <c r="AF922" s="52"/>
      <c r="AG922" s="52"/>
      <c r="AH922" s="52"/>
      <c r="AI922" s="52"/>
      <c r="AJ922" s="52"/>
      <c r="AK922" s="52"/>
      <c r="AL922" s="52"/>
    </row>
    <row r="923" spans="1:38" ht="12.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3"/>
      <c r="AD923" s="52"/>
      <c r="AE923" s="52"/>
      <c r="AF923" s="52"/>
      <c r="AG923" s="52"/>
      <c r="AH923" s="52"/>
      <c r="AI923" s="52"/>
      <c r="AJ923" s="52"/>
      <c r="AK923" s="52"/>
      <c r="AL923" s="52"/>
    </row>
    <row r="924" spans="1:38" ht="12.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3"/>
      <c r="AD924" s="52"/>
      <c r="AE924" s="52"/>
      <c r="AF924" s="52"/>
      <c r="AG924" s="52"/>
      <c r="AH924" s="52"/>
      <c r="AI924" s="52"/>
      <c r="AJ924" s="52"/>
      <c r="AK924" s="52"/>
      <c r="AL924" s="52"/>
    </row>
    <row r="925" spans="1:38" ht="12.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3"/>
      <c r="AD925" s="52"/>
      <c r="AE925" s="52"/>
      <c r="AF925" s="52"/>
      <c r="AG925" s="52"/>
      <c r="AH925" s="52"/>
      <c r="AI925" s="52"/>
      <c r="AJ925" s="52"/>
      <c r="AK925" s="52"/>
      <c r="AL925" s="52"/>
    </row>
    <row r="926" spans="1:38" ht="12.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3"/>
      <c r="AD926" s="52"/>
      <c r="AE926" s="52"/>
      <c r="AF926" s="52"/>
      <c r="AG926" s="52"/>
      <c r="AH926" s="52"/>
      <c r="AI926" s="52"/>
      <c r="AJ926" s="52"/>
      <c r="AK926" s="52"/>
      <c r="AL926" s="52"/>
    </row>
    <row r="927" spans="1:38" ht="12.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3"/>
      <c r="AD927" s="52"/>
      <c r="AE927" s="52"/>
      <c r="AF927" s="52"/>
      <c r="AG927" s="52"/>
      <c r="AH927" s="52"/>
      <c r="AI927" s="52"/>
      <c r="AJ927" s="52"/>
      <c r="AK927" s="52"/>
      <c r="AL927" s="52"/>
    </row>
    <row r="928" spans="1:38" ht="12.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3"/>
      <c r="AD928" s="52"/>
      <c r="AE928" s="52"/>
      <c r="AF928" s="52"/>
      <c r="AG928" s="52"/>
      <c r="AH928" s="52"/>
      <c r="AI928" s="52"/>
      <c r="AJ928" s="52"/>
      <c r="AK928" s="52"/>
      <c r="AL928" s="52"/>
    </row>
    <row r="929" spans="1:38" ht="12.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3"/>
      <c r="AD929" s="52"/>
      <c r="AE929" s="52"/>
      <c r="AF929" s="52"/>
      <c r="AG929" s="52"/>
      <c r="AH929" s="52"/>
      <c r="AI929" s="52"/>
      <c r="AJ929" s="52"/>
      <c r="AK929" s="52"/>
      <c r="AL929" s="52"/>
    </row>
    <row r="930" spans="1:38" ht="12.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3"/>
      <c r="AD930" s="52"/>
      <c r="AE930" s="52"/>
      <c r="AF930" s="52"/>
      <c r="AG930" s="52"/>
      <c r="AH930" s="52"/>
      <c r="AI930" s="52"/>
      <c r="AJ930" s="52"/>
      <c r="AK930" s="52"/>
      <c r="AL930" s="52"/>
    </row>
    <row r="931" spans="1:38" ht="12.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3"/>
      <c r="AD931" s="52"/>
      <c r="AE931" s="52"/>
      <c r="AF931" s="52"/>
      <c r="AG931" s="52"/>
      <c r="AH931" s="52"/>
      <c r="AI931" s="52"/>
      <c r="AJ931" s="52"/>
      <c r="AK931" s="52"/>
      <c r="AL931" s="52"/>
    </row>
    <row r="932" spans="1:38" ht="12.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3"/>
      <c r="AD932" s="52"/>
      <c r="AE932" s="52"/>
      <c r="AF932" s="52"/>
      <c r="AG932" s="52"/>
      <c r="AH932" s="52"/>
      <c r="AI932" s="52"/>
      <c r="AJ932" s="52"/>
      <c r="AK932" s="52"/>
      <c r="AL932" s="52"/>
    </row>
    <row r="933" spans="1:38" ht="12.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3"/>
      <c r="AD933" s="52"/>
      <c r="AE933" s="52"/>
      <c r="AF933" s="52"/>
      <c r="AG933" s="52"/>
      <c r="AH933" s="52"/>
      <c r="AI933" s="52"/>
      <c r="AJ933" s="52"/>
      <c r="AK933" s="52"/>
      <c r="AL933" s="52"/>
    </row>
    <row r="934" spans="1:38" ht="12.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3"/>
      <c r="AD934" s="52"/>
      <c r="AE934" s="52"/>
      <c r="AF934" s="52"/>
      <c r="AG934" s="52"/>
      <c r="AH934" s="52"/>
      <c r="AI934" s="52"/>
      <c r="AJ934" s="52"/>
      <c r="AK934" s="52"/>
      <c r="AL934" s="52"/>
    </row>
    <row r="935" spans="1:38" ht="12.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3"/>
      <c r="AD935" s="52"/>
      <c r="AE935" s="52"/>
      <c r="AF935" s="52"/>
      <c r="AG935" s="52"/>
      <c r="AH935" s="52"/>
      <c r="AI935" s="52"/>
      <c r="AJ935" s="52"/>
      <c r="AK935" s="52"/>
      <c r="AL935" s="52"/>
    </row>
    <row r="936" spans="1:38" ht="12.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3"/>
      <c r="AD936" s="52"/>
      <c r="AE936" s="52"/>
      <c r="AF936" s="52"/>
      <c r="AG936" s="52"/>
      <c r="AH936" s="52"/>
      <c r="AI936" s="52"/>
      <c r="AJ936" s="52"/>
      <c r="AK936" s="52"/>
      <c r="AL936" s="52"/>
    </row>
    <row r="937" spans="1:38" ht="12.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3"/>
      <c r="AD937" s="52"/>
      <c r="AE937" s="52"/>
      <c r="AF937" s="52"/>
      <c r="AG937" s="52"/>
      <c r="AH937" s="52"/>
      <c r="AI937" s="52"/>
      <c r="AJ937" s="52"/>
      <c r="AK937" s="52"/>
      <c r="AL937" s="52"/>
    </row>
    <row r="938" spans="1:38" ht="12.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3"/>
      <c r="AD938" s="52"/>
      <c r="AE938" s="52"/>
      <c r="AF938" s="52"/>
      <c r="AG938" s="52"/>
      <c r="AH938" s="52"/>
      <c r="AI938" s="52"/>
      <c r="AJ938" s="52"/>
      <c r="AK938" s="52"/>
      <c r="AL938" s="52"/>
    </row>
    <row r="939" spans="1:38" ht="12.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3"/>
      <c r="AD939" s="52"/>
      <c r="AE939" s="52"/>
      <c r="AF939" s="52"/>
      <c r="AG939" s="52"/>
      <c r="AH939" s="52"/>
      <c r="AI939" s="52"/>
      <c r="AJ939" s="52"/>
      <c r="AK939" s="52"/>
      <c r="AL939" s="52"/>
    </row>
    <row r="940" spans="1:38" ht="12.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3"/>
      <c r="AD940" s="52"/>
      <c r="AE940" s="52"/>
      <c r="AF940" s="52"/>
      <c r="AG940" s="52"/>
      <c r="AH940" s="52"/>
      <c r="AI940" s="52"/>
      <c r="AJ940" s="52"/>
      <c r="AK940" s="52"/>
      <c r="AL940" s="52"/>
    </row>
    <row r="941" spans="1:38" ht="12.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3"/>
      <c r="AD941" s="52"/>
      <c r="AE941" s="52"/>
      <c r="AF941" s="52"/>
      <c r="AG941" s="52"/>
      <c r="AH941" s="52"/>
      <c r="AI941" s="52"/>
      <c r="AJ941" s="52"/>
      <c r="AK941" s="52"/>
      <c r="AL941" s="52"/>
    </row>
    <row r="942" spans="1:38" ht="12.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3"/>
      <c r="AD942" s="52"/>
      <c r="AE942" s="52"/>
      <c r="AF942" s="52"/>
      <c r="AG942" s="52"/>
      <c r="AH942" s="52"/>
      <c r="AI942" s="52"/>
      <c r="AJ942" s="52"/>
      <c r="AK942" s="52"/>
      <c r="AL942" s="52"/>
    </row>
    <row r="943" spans="1:38" ht="12.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3"/>
      <c r="AD943" s="52"/>
      <c r="AE943" s="52"/>
      <c r="AF943" s="52"/>
      <c r="AG943" s="52"/>
      <c r="AH943" s="52"/>
      <c r="AI943" s="52"/>
      <c r="AJ943" s="52"/>
      <c r="AK943" s="52"/>
      <c r="AL943" s="52"/>
    </row>
    <row r="944" spans="1:38" ht="12.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3"/>
      <c r="AD944" s="52"/>
      <c r="AE944" s="52"/>
      <c r="AF944" s="52"/>
      <c r="AG944" s="52"/>
      <c r="AH944" s="52"/>
      <c r="AI944" s="52"/>
      <c r="AJ944" s="52"/>
      <c r="AK944" s="52"/>
      <c r="AL944" s="52"/>
    </row>
    <row r="945" spans="1:38" ht="12.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3"/>
      <c r="AD945" s="52"/>
      <c r="AE945" s="52"/>
      <c r="AF945" s="52"/>
      <c r="AG945" s="52"/>
      <c r="AH945" s="52"/>
      <c r="AI945" s="52"/>
      <c r="AJ945" s="52"/>
      <c r="AK945" s="52"/>
      <c r="AL945" s="52"/>
    </row>
    <row r="946" spans="1:38" ht="12.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3"/>
      <c r="AD946" s="52"/>
      <c r="AE946" s="52"/>
      <c r="AF946" s="52"/>
      <c r="AG946" s="52"/>
      <c r="AH946" s="52"/>
      <c r="AI946" s="52"/>
      <c r="AJ946" s="52"/>
      <c r="AK946" s="52"/>
      <c r="AL946" s="52"/>
    </row>
    <row r="947" spans="1:38" ht="12.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3"/>
      <c r="AD947" s="52"/>
      <c r="AE947" s="52"/>
      <c r="AF947" s="52"/>
      <c r="AG947" s="52"/>
      <c r="AH947" s="52"/>
      <c r="AI947" s="52"/>
      <c r="AJ947" s="52"/>
      <c r="AK947" s="52"/>
      <c r="AL947" s="52"/>
    </row>
    <row r="948" spans="1:38" ht="12.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3"/>
      <c r="AD948" s="52"/>
      <c r="AE948" s="52"/>
      <c r="AF948" s="52"/>
      <c r="AG948" s="52"/>
      <c r="AH948" s="52"/>
      <c r="AI948" s="52"/>
      <c r="AJ948" s="52"/>
      <c r="AK948" s="52"/>
      <c r="AL948" s="52"/>
    </row>
    <row r="949" spans="1:38" ht="12.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3"/>
      <c r="AD949" s="52"/>
      <c r="AE949" s="52"/>
      <c r="AF949" s="52"/>
      <c r="AG949" s="52"/>
      <c r="AH949" s="52"/>
      <c r="AI949" s="52"/>
      <c r="AJ949" s="52"/>
      <c r="AK949" s="52"/>
      <c r="AL949" s="52"/>
    </row>
    <row r="950" spans="1:38" ht="12.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3"/>
      <c r="AD950" s="52"/>
      <c r="AE950" s="52"/>
      <c r="AF950" s="52"/>
      <c r="AG950" s="52"/>
      <c r="AH950" s="52"/>
      <c r="AI950" s="52"/>
      <c r="AJ950" s="52"/>
      <c r="AK950" s="52"/>
      <c r="AL950" s="52"/>
    </row>
    <row r="951" spans="1:38" ht="12.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3"/>
      <c r="AD951" s="52"/>
      <c r="AE951" s="52"/>
      <c r="AF951" s="52"/>
      <c r="AG951" s="52"/>
      <c r="AH951" s="52"/>
      <c r="AI951" s="52"/>
      <c r="AJ951" s="52"/>
      <c r="AK951" s="52"/>
      <c r="AL951" s="52"/>
    </row>
    <row r="952" spans="1:38" ht="12.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3"/>
      <c r="AD952" s="52"/>
      <c r="AE952" s="52"/>
      <c r="AF952" s="52"/>
      <c r="AG952" s="52"/>
      <c r="AH952" s="52"/>
      <c r="AI952" s="52"/>
      <c r="AJ952" s="52"/>
      <c r="AK952" s="52"/>
      <c r="AL952" s="52"/>
    </row>
    <row r="953" spans="1:38" ht="12.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3"/>
      <c r="AD953" s="52"/>
      <c r="AE953" s="52"/>
      <c r="AF953" s="52"/>
      <c r="AG953" s="52"/>
      <c r="AH953" s="52"/>
      <c r="AI953" s="52"/>
      <c r="AJ953" s="52"/>
      <c r="AK953" s="52"/>
      <c r="AL953" s="52"/>
    </row>
    <row r="954" spans="1:38" ht="12.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3"/>
      <c r="AD954" s="52"/>
      <c r="AE954" s="52"/>
      <c r="AF954" s="52"/>
      <c r="AG954" s="52"/>
      <c r="AH954" s="52"/>
      <c r="AI954" s="52"/>
      <c r="AJ954" s="52"/>
      <c r="AK954" s="52"/>
      <c r="AL954" s="52"/>
    </row>
    <row r="955" spans="1:38" ht="12.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3"/>
      <c r="AD955" s="52"/>
      <c r="AE955" s="52"/>
      <c r="AF955" s="52"/>
      <c r="AG955" s="52"/>
      <c r="AH955" s="52"/>
      <c r="AI955" s="52"/>
      <c r="AJ955" s="52"/>
      <c r="AK955" s="52"/>
      <c r="AL955" s="52"/>
    </row>
    <row r="956" spans="1:38" ht="12.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3"/>
      <c r="AD956" s="52"/>
      <c r="AE956" s="52"/>
      <c r="AF956" s="52"/>
      <c r="AG956" s="52"/>
      <c r="AH956" s="52"/>
      <c r="AI956" s="52"/>
      <c r="AJ956" s="52"/>
      <c r="AK956" s="52"/>
      <c r="AL956" s="52"/>
    </row>
    <row r="957" spans="1:38" ht="12.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3"/>
      <c r="AD957" s="52"/>
      <c r="AE957" s="52"/>
      <c r="AF957" s="52"/>
      <c r="AG957" s="52"/>
      <c r="AH957" s="52"/>
      <c r="AI957" s="52"/>
      <c r="AJ957" s="52"/>
      <c r="AK957" s="52"/>
      <c r="AL957" s="52"/>
    </row>
    <row r="958" spans="1:38" ht="12.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3"/>
      <c r="AD958" s="52"/>
      <c r="AE958" s="52"/>
      <c r="AF958" s="52"/>
      <c r="AG958" s="52"/>
      <c r="AH958" s="52"/>
      <c r="AI958" s="52"/>
      <c r="AJ958" s="52"/>
      <c r="AK958" s="52"/>
      <c r="AL958" s="52"/>
    </row>
    <row r="959" spans="1:38" ht="12.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3"/>
      <c r="AD959" s="52"/>
      <c r="AE959" s="52"/>
      <c r="AF959" s="52"/>
      <c r="AG959" s="52"/>
      <c r="AH959" s="52"/>
      <c r="AI959" s="52"/>
      <c r="AJ959" s="52"/>
      <c r="AK959" s="52"/>
      <c r="AL959" s="52"/>
    </row>
    <row r="960" spans="1:38" ht="12.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3"/>
      <c r="AD960" s="52"/>
      <c r="AE960" s="52"/>
      <c r="AF960" s="52"/>
      <c r="AG960" s="52"/>
      <c r="AH960" s="52"/>
      <c r="AI960" s="52"/>
      <c r="AJ960" s="52"/>
      <c r="AK960" s="52"/>
      <c r="AL960" s="52"/>
    </row>
    <row r="961" spans="1:38" ht="12.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3"/>
      <c r="AD961" s="52"/>
      <c r="AE961" s="52"/>
      <c r="AF961" s="52"/>
      <c r="AG961" s="52"/>
      <c r="AH961" s="52"/>
      <c r="AI961" s="52"/>
      <c r="AJ961" s="52"/>
      <c r="AK961" s="52"/>
      <c r="AL961" s="52"/>
    </row>
    <row r="962" spans="1:38" ht="12.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3"/>
      <c r="AD962" s="52"/>
      <c r="AE962" s="52"/>
      <c r="AF962" s="52"/>
      <c r="AG962" s="52"/>
      <c r="AH962" s="52"/>
      <c r="AI962" s="52"/>
      <c r="AJ962" s="52"/>
      <c r="AK962" s="52"/>
      <c r="AL962" s="52"/>
    </row>
    <row r="963" spans="1:38" ht="12.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3"/>
      <c r="AD963" s="52"/>
      <c r="AE963" s="52"/>
      <c r="AF963" s="52"/>
      <c r="AG963" s="52"/>
      <c r="AH963" s="52"/>
      <c r="AI963" s="52"/>
      <c r="AJ963" s="52"/>
      <c r="AK963" s="52"/>
      <c r="AL963" s="52"/>
    </row>
    <row r="964" spans="1:38" ht="12.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3"/>
      <c r="AD964" s="52"/>
      <c r="AE964" s="52"/>
      <c r="AF964" s="52"/>
      <c r="AG964" s="52"/>
      <c r="AH964" s="52"/>
      <c r="AI964" s="52"/>
      <c r="AJ964" s="52"/>
      <c r="AK964" s="52"/>
      <c r="AL964" s="52"/>
    </row>
    <row r="965" spans="1:38" ht="12.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3"/>
      <c r="AD965" s="52"/>
      <c r="AE965" s="52"/>
      <c r="AF965" s="52"/>
      <c r="AG965" s="52"/>
      <c r="AH965" s="52"/>
      <c r="AI965" s="52"/>
      <c r="AJ965" s="52"/>
      <c r="AK965" s="52"/>
      <c r="AL965" s="52"/>
    </row>
    <row r="966" spans="1:38" ht="12.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3"/>
      <c r="AD966" s="52"/>
      <c r="AE966" s="52"/>
      <c r="AF966" s="52"/>
      <c r="AG966" s="52"/>
      <c r="AH966" s="52"/>
      <c r="AI966" s="52"/>
      <c r="AJ966" s="52"/>
      <c r="AK966" s="52"/>
      <c r="AL966" s="52"/>
    </row>
    <row r="967" spans="1:38" ht="12.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3"/>
      <c r="AD967" s="52"/>
      <c r="AE967" s="52"/>
      <c r="AF967" s="52"/>
      <c r="AG967" s="52"/>
      <c r="AH967" s="52"/>
      <c r="AI967" s="52"/>
      <c r="AJ967" s="52"/>
      <c r="AK967" s="52"/>
      <c r="AL967" s="52"/>
    </row>
    <row r="968" spans="1:38" ht="12.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3"/>
      <c r="AD968" s="52"/>
      <c r="AE968" s="52"/>
      <c r="AF968" s="52"/>
      <c r="AG968" s="52"/>
      <c r="AH968" s="52"/>
      <c r="AI968" s="52"/>
      <c r="AJ968" s="52"/>
      <c r="AK968" s="52"/>
      <c r="AL968" s="52"/>
    </row>
    <row r="969" spans="1:38" ht="12.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3"/>
      <c r="AD969" s="52"/>
      <c r="AE969" s="52"/>
      <c r="AF969" s="52"/>
      <c r="AG969" s="52"/>
      <c r="AH969" s="52"/>
      <c r="AI969" s="52"/>
      <c r="AJ969" s="52"/>
      <c r="AK969" s="52"/>
      <c r="AL969" s="52"/>
    </row>
    <row r="970" spans="1:38" ht="12.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3"/>
      <c r="AD970" s="52"/>
      <c r="AE970" s="52"/>
      <c r="AF970" s="52"/>
      <c r="AG970" s="52"/>
      <c r="AH970" s="52"/>
      <c r="AI970" s="52"/>
      <c r="AJ970" s="52"/>
      <c r="AK970" s="52"/>
      <c r="AL970" s="52"/>
    </row>
    <row r="971" spans="1:38" ht="12.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3"/>
      <c r="AD971" s="52"/>
      <c r="AE971" s="52"/>
      <c r="AF971" s="52"/>
      <c r="AG971" s="52"/>
      <c r="AH971" s="52"/>
      <c r="AI971" s="52"/>
      <c r="AJ971" s="52"/>
      <c r="AK971" s="52"/>
      <c r="AL971" s="52"/>
    </row>
    <row r="972" spans="1:38" ht="12.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3"/>
      <c r="AD972" s="52"/>
      <c r="AE972" s="52"/>
      <c r="AF972" s="52"/>
      <c r="AG972" s="52"/>
      <c r="AH972" s="52"/>
      <c r="AI972" s="52"/>
      <c r="AJ972" s="52"/>
      <c r="AK972" s="52"/>
      <c r="AL972" s="52"/>
    </row>
    <row r="973" spans="1:38" ht="12.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3"/>
      <c r="AD973" s="52"/>
      <c r="AE973" s="52"/>
      <c r="AF973" s="52"/>
      <c r="AG973" s="52"/>
      <c r="AH973" s="52"/>
      <c r="AI973" s="52"/>
      <c r="AJ973" s="52"/>
      <c r="AK973" s="52"/>
      <c r="AL973" s="52"/>
    </row>
    <row r="974" spans="1:38" ht="12.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3"/>
      <c r="AD974" s="52"/>
      <c r="AE974" s="52"/>
      <c r="AF974" s="52"/>
      <c r="AG974" s="52"/>
      <c r="AH974" s="52"/>
      <c r="AI974" s="52"/>
      <c r="AJ974" s="52"/>
      <c r="AK974" s="52"/>
      <c r="AL974" s="52"/>
    </row>
    <row r="975" spans="1:38" ht="12.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3"/>
      <c r="AD975" s="52"/>
      <c r="AE975" s="52"/>
      <c r="AF975" s="52"/>
      <c r="AG975" s="52"/>
      <c r="AH975" s="52"/>
      <c r="AI975" s="52"/>
      <c r="AJ975" s="52"/>
      <c r="AK975" s="52"/>
      <c r="AL975" s="52"/>
    </row>
    <row r="976" spans="1:38" ht="12.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3"/>
      <c r="AD976" s="52"/>
      <c r="AE976" s="52"/>
      <c r="AF976" s="52"/>
      <c r="AG976" s="52"/>
      <c r="AH976" s="52"/>
      <c r="AI976" s="52"/>
      <c r="AJ976" s="52"/>
      <c r="AK976" s="52"/>
      <c r="AL976" s="52"/>
    </row>
    <row r="977" spans="1:38" ht="12.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3"/>
      <c r="AD977" s="52"/>
      <c r="AE977" s="52"/>
      <c r="AF977" s="52"/>
      <c r="AG977" s="52"/>
      <c r="AH977" s="52"/>
      <c r="AI977" s="52"/>
      <c r="AJ977" s="52"/>
      <c r="AK977" s="52"/>
      <c r="AL977" s="52"/>
    </row>
    <row r="978" spans="1:38" ht="12.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3"/>
      <c r="AD978" s="52"/>
      <c r="AE978" s="52"/>
      <c r="AF978" s="52"/>
      <c r="AG978" s="52"/>
      <c r="AH978" s="52"/>
      <c r="AI978" s="52"/>
      <c r="AJ978" s="52"/>
      <c r="AK978" s="52"/>
      <c r="AL978" s="52"/>
    </row>
    <row r="979" spans="1:38" ht="12.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3"/>
      <c r="AD979" s="52"/>
      <c r="AE979" s="52"/>
      <c r="AF979" s="52"/>
      <c r="AG979" s="52"/>
      <c r="AH979" s="52"/>
      <c r="AI979" s="52"/>
      <c r="AJ979" s="52"/>
      <c r="AK979" s="52"/>
      <c r="AL979" s="52"/>
    </row>
    <row r="980" spans="1:38" ht="12.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3"/>
      <c r="AD980" s="52"/>
      <c r="AE980" s="52"/>
      <c r="AF980" s="52"/>
      <c r="AG980" s="52"/>
      <c r="AH980" s="52"/>
      <c r="AI980" s="52"/>
      <c r="AJ980" s="52"/>
      <c r="AK980" s="52"/>
      <c r="AL980" s="52"/>
    </row>
    <row r="981" spans="1:38" ht="12.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3"/>
      <c r="AD981" s="52"/>
      <c r="AE981" s="52"/>
      <c r="AF981" s="52"/>
      <c r="AG981" s="52"/>
      <c r="AH981" s="52"/>
      <c r="AI981" s="52"/>
      <c r="AJ981" s="52"/>
      <c r="AK981" s="52"/>
      <c r="AL981" s="52"/>
    </row>
    <row r="982" spans="1:38" ht="12.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3"/>
      <c r="AD982" s="52"/>
      <c r="AE982" s="52"/>
      <c r="AF982" s="52"/>
      <c r="AG982" s="52"/>
      <c r="AH982" s="52"/>
      <c r="AI982" s="52"/>
      <c r="AJ982" s="52"/>
      <c r="AK982" s="52"/>
      <c r="AL982" s="52"/>
    </row>
    <row r="983" spans="1:38" ht="12.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3"/>
      <c r="AD983" s="52"/>
      <c r="AE983" s="52"/>
      <c r="AF983" s="52"/>
      <c r="AG983" s="52"/>
      <c r="AH983" s="52"/>
      <c r="AI983" s="52"/>
      <c r="AJ983" s="52"/>
      <c r="AK983" s="52"/>
      <c r="AL983" s="52"/>
    </row>
    <row r="984" spans="1:38" ht="12.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3"/>
      <c r="AD984" s="52"/>
      <c r="AE984" s="52"/>
      <c r="AF984" s="52"/>
      <c r="AG984" s="52"/>
      <c r="AH984" s="52"/>
      <c r="AI984" s="52"/>
      <c r="AJ984" s="52"/>
      <c r="AK984" s="52"/>
      <c r="AL984" s="52"/>
    </row>
    <row r="985" spans="1:38" ht="12.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3"/>
      <c r="AD985" s="52"/>
      <c r="AE985" s="52"/>
      <c r="AF985" s="52"/>
      <c r="AG985" s="52"/>
      <c r="AH985" s="52"/>
      <c r="AI985" s="52"/>
      <c r="AJ985" s="52"/>
      <c r="AK985" s="52"/>
      <c r="AL985" s="52"/>
    </row>
    <row r="986" spans="1:38" ht="12.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3"/>
      <c r="AD986" s="52"/>
      <c r="AE986" s="52"/>
      <c r="AF986" s="52"/>
      <c r="AG986" s="52"/>
      <c r="AH986" s="52"/>
      <c r="AI986" s="52"/>
      <c r="AJ986" s="52"/>
      <c r="AK986" s="52"/>
      <c r="AL986" s="52"/>
    </row>
    <row r="987" spans="1:38" ht="12.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3"/>
      <c r="AD987" s="52"/>
      <c r="AE987" s="52"/>
      <c r="AF987" s="52"/>
      <c r="AG987" s="52"/>
      <c r="AH987" s="52"/>
      <c r="AI987" s="52"/>
      <c r="AJ987" s="52"/>
      <c r="AK987" s="52"/>
      <c r="AL987" s="52"/>
    </row>
    <row r="988" spans="1:38" ht="12.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3"/>
      <c r="AD988" s="52"/>
      <c r="AE988" s="52"/>
      <c r="AF988" s="52"/>
      <c r="AG988" s="52"/>
      <c r="AH988" s="52"/>
      <c r="AI988" s="52"/>
      <c r="AJ988" s="52"/>
      <c r="AK988" s="52"/>
      <c r="AL988" s="52"/>
    </row>
    <row r="989" spans="1:38" ht="12.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3"/>
      <c r="AD989" s="52"/>
      <c r="AE989" s="52"/>
      <c r="AF989" s="52"/>
      <c r="AG989" s="52"/>
      <c r="AH989" s="52"/>
      <c r="AI989" s="52"/>
      <c r="AJ989" s="52"/>
      <c r="AK989" s="52"/>
      <c r="AL989" s="52"/>
    </row>
    <row r="990" spans="1:38" ht="12.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3"/>
      <c r="AD990" s="52"/>
      <c r="AE990" s="52"/>
      <c r="AF990" s="52"/>
      <c r="AG990" s="52"/>
      <c r="AH990" s="52"/>
      <c r="AI990" s="52"/>
      <c r="AJ990" s="52"/>
      <c r="AK990" s="52"/>
      <c r="AL990" s="52"/>
    </row>
    <row r="991" spans="1:38" ht="12.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3"/>
      <c r="AD991" s="52"/>
      <c r="AE991" s="52"/>
      <c r="AF991" s="52"/>
      <c r="AG991" s="52"/>
      <c r="AH991" s="52"/>
      <c r="AI991" s="52"/>
      <c r="AJ991" s="52"/>
      <c r="AK991" s="52"/>
      <c r="AL991" s="52"/>
    </row>
    <row r="992" spans="1:38" ht="12.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3"/>
      <c r="AD992" s="52"/>
      <c r="AE992" s="52"/>
      <c r="AF992" s="52"/>
      <c r="AG992" s="52"/>
      <c r="AH992" s="52"/>
      <c r="AI992" s="52"/>
      <c r="AJ992" s="52"/>
      <c r="AK992" s="52"/>
      <c r="AL992" s="52"/>
    </row>
    <row r="993" spans="1:38" ht="12.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3"/>
      <c r="AD993" s="52"/>
      <c r="AE993" s="52"/>
      <c r="AF993" s="52"/>
      <c r="AG993" s="52"/>
      <c r="AH993" s="52"/>
      <c r="AI993" s="52"/>
      <c r="AJ993" s="52"/>
      <c r="AK993" s="52"/>
      <c r="AL993" s="52"/>
    </row>
    <row r="994" spans="1:38" ht="12.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3"/>
      <c r="AD994" s="52"/>
      <c r="AE994" s="52"/>
      <c r="AF994" s="52"/>
      <c r="AG994" s="52"/>
      <c r="AH994" s="52"/>
      <c r="AI994" s="52"/>
      <c r="AJ994" s="52"/>
      <c r="AK994" s="52"/>
      <c r="AL994" s="52"/>
    </row>
    <row r="995" spans="1:38" ht="12.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3"/>
      <c r="AD995" s="52"/>
      <c r="AE995" s="52"/>
      <c r="AF995" s="52"/>
      <c r="AG995" s="52"/>
      <c r="AH995" s="52"/>
      <c r="AI995" s="52"/>
      <c r="AJ995" s="52"/>
      <c r="AK995" s="52"/>
      <c r="AL995" s="52"/>
    </row>
    <row r="996" spans="1:38" ht="12.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3"/>
      <c r="AD996" s="52"/>
      <c r="AE996" s="52"/>
      <c r="AF996" s="52"/>
      <c r="AG996" s="52"/>
      <c r="AH996" s="52"/>
      <c r="AI996" s="52"/>
      <c r="AJ996" s="52"/>
      <c r="AK996" s="52"/>
      <c r="AL996" s="52"/>
    </row>
    <row r="997" spans="1:38" ht="12.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3"/>
      <c r="AD997" s="52"/>
      <c r="AE997" s="52"/>
      <c r="AF997" s="52"/>
      <c r="AG997" s="52"/>
      <c r="AH997" s="52"/>
      <c r="AI997" s="52"/>
      <c r="AJ997" s="52"/>
      <c r="AK997" s="52"/>
      <c r="AL997" s="52"/>
    </row>
    <row r="998" spans="1:38" ht="12.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3"/>
      <c r="AD998" s="52"/>
      <c r="AE998" s="52"/>
      <c r="AF998" s="52"/>
      <c r="AG998" s="52"/>
      <c r="AH998" s="52"/>
      <c r="AI998" s="52"/>
      <c r="AJ998" s="52"/>
      <c r="AK998" s="52"/>
      <c r="AL998" s="52"/>
    </row>
    <row r="999" spans="1:38" ht="12.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3"/>
      <c r="AD999" s="52"/>
      <c r="AE999" s="52"/>
      <c r="AF999" s="52"/>
      <c r="AG999" s="52"/>
      <c r="AH999" s="52"/>
      <c r="AI999" s="52"/>
      <c r="AJ999" s="52"/>
      <c r="AK999" s="52"/>
      <c r="AL999" s="52"/>
    </row>
    <row r="1000" spans="1:38" ht="12.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3"/>
      <c r="AD1000" s="52"/>
      <c r="AE1000" s="52"/>
      <c r="AF1000" s="52"/>
      <c r="AG1000" s="52"/>
      <c r="AH1000" s="52"/>
      <c r="AI1000" s="52"/>
      <c r="AJ1000" s="52"/>
      <c r="AK1000" s="52"/>
      <c r="AL1000" s="52"/>
    </row>
  </sheetData>
  <phoneticPr fontId="4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  <outlinePr summaryBelow="0" summaryRight="0"/>
  </sheetPr>
  <dimension ref="A1:AH113"/>
  <sheetViews>
    <sheetView workbookViewId="0">
      <pane ySplit="1" topLeftCell="A17" activePane="bottomLeft" state="frozen"/>
      <selection pane="bottomLeft" activeCell="L12" sqref="L12"/>
    </sheetView>
  </sheetViews>
  <sheetFormatPr defaultColWidth="12.6328125" defaultRowHeight="15.75" customHeight="1"/>
  <cols>
    <col min="7" max="7" width="29.81640625" customWidth="1"/>
  </cols>
  <sheetData>
    <row r="1" spans="1:34" ht="15.75" customHeight="1">
      <c r="A1" s="526" t="str">
        <f ca="1">IFERROR(__xludf.DUMMYFUNCTION("IMPORTHTML(SUBSTITUTE(""https://histock.tw/stock/large.aspx?no=股票代碼"", ""股票代碼"",'股價預估'!E1),""table"",0)"),"日期")</f>
        <v>日期</v>
      </c>
      <c r="B1" s="527" t="str">
        <f ca="1">IFERROR(__xludf.DUMMYFUNCTION("""COMPUTED_VALUE"""),"籌碼
集中度")</f>
        <v>籌碼
集中度</v>
      </c>
      <c r="C1" s="527" t="str">
        <f ca="1">IFERROR(__xludf.DUMMYFUNCTION("""COMPUTED_VALUE"""),"外資
籌碼")</f>
        <v>外資
籌碼</v>
      </c>
      <c r="D1" s="527" t="str">
        <f ca="1">IFERROR(__xludf.DUMMYFUNCTION("""COMPUTED_VALUE"""),"大戶
籌碼")</f>
        <v>大戶
籌碼</v>
      </c>
      <c r="E1" s="528" t="str">
        <f ca="1">IFERROR(__xludf.DUMMYFUNCTION("""COMPUTED_VALUE"""),"董監
持股")</f>
        <v>董監
持股</v>
      </c>
      <c r="G1" s="4" t="str">
        <f ca="1">IFERROR(__xludf.DUMMYFUNCTION("IMPORTHTML(SUBSTITUTE(""https://fubon-ebrokerdj.fbs.com.tw/z/zc/zcl/zcl.djhtm?a=股票代碼&amp;b=4
"", ""股票代碼"",'股價預估'!E1),""table"",0)"),"台積電(2330)法人持股走勢圖")</f>
        <v>台積電(2330)法人持股走勢圖</v>
      </c>
      <c r="H1" s="4"/>
      <c r="I1" s="4"/>
      <c r="J1" s="4"/>
      <c r="K1" s="4"/>
      <c r="L1" s="4"/>
      <c r="M1" s="4"/>
      <c r="N1" s="4"/>
      <c r="O1" s="4"/>
      <c r="P1" s="4"/>
      <c r="Q1" s="4"/>
      <c r="T1" s="4" t="str">
        <f ca="1">IFERROR(__xludf.DUMMYFUNCTION("IMPORTHTML(SUBSTITUTE(""https://fubon-ebrokerdj.fbs.com.tw/z/zc/zcn/zcn.djhtm?a=股票代碼&amp;b=4
"", ""股票代碼"",'股價預估'!E1),""table"",0)"),"台積電(2330)融資融券走勢圖")</f>
        <v>台積電(2330)融資融券走勢圖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5.75" customHeight="1">
      <c r="A2" s="529">
        <f ca="1">IFERROR(__xludf.DUMMYFUNCTION("""COMPUTED_VALUE"""),46248)</f>
        <v>46248</v>
      </c>
      <c r="B2" s="701">
        <f ca="1">IFERROR(__xludf.DUMMYFUNCTION("""COMPUTED_VALUE"""),0.8749)</f>
        <v>0.87490000000000001</v>
      </c>
      <c r="C2" s="701">
        <f ca="1">IFERROR(__xludf.DUMMYFUNCTION("""COMPUTED_VALUE"""),0.6917)</f>
        <v>0.69169999999999998</v>
      </c>
      <c r="D2" s="701">
        <f ca="1">IFERROR(__xludf.DUMMYFUNCTION("""COMPUTED_VALUE"""),0.1832)</f>
        <v>0.1832</v>
      </c>
      <c r="E2" s="702">
        <f ca="1">IFERROR(__xludf.DUMMYFUNCTION("""COMPUTED_VALUE"""),0.0652)</f>
        <v>6.5199999999999994E-2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15.75" customHeight="1">
      <c r="A3" s="529">
        <f ca="1">IFERROR(__xludf.DUMMYFUNCTION("""COMPUTED_VALUE"""),46241)</f>
        <v>46241</v>
      </c>
      <c r="B3" s="701">
        <f ca="1">IFERROR(__xludf.DUMMYFUNCTION("""COMPUTED_VALUE"""),0.8743)</f>
        <v>0.87429999999999997</v>
      </c>
      <c r="C3" s="701">
        <f ca="1">IFERROR(__xludf.DUMMYFUNCTION("""COMPUTED_VALUE"""),0.6914)</f>
        <v>0.69140000000000001</v>
      </c>
      <c r="D3" s="701">
        <f ca="1">IFERROR(__xludf.DUMMYFUNCTION("""COMPUTED_VALUE"""),0.1829)</f>
        <v>0.18290000000000001</v>
      </c>
      <c r="E3" s="702">
        <f ca="1">IFERROR(__xludf.DUMMYFUNCTION("""COMPUTED_VALUE"""),0.0652)</f>
        <v>6.5199999999999994E-2</v>
      </c>
      <c r="G3" s="4" t="str">
        <f ca="1">IFERROR(__xludf.DUMMYFUNCTION("""COMPUTED_VALUE"""),"台積電(2330)法人持股明細")</f>
        <v>台積電(2330)法人持股明細</v>
      </c>
      <c r="H3" s="4"/>
      <c r="I3" s="4"/>
      <c r="J3" s="4"/>
      <c r="K3" s="4"/>
      <c r="L3" s="4"/>
      <c r="M3" s="4"/>
      <c r="N3" s="4"/>
      <c r="O3" s="4"/>
      <c r="P3" s="4"/>
      <c r="Q3" s="4"/>
      <c r="T3" s="4" t="str">
        <f ca="1">IFERROR(__xludf.DUMMYFUNCTION("""COMPUTED_VALUE"""),"台積電(2330)融資融券明細")</f>
        <v>台積電(2330)融資融券明細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15.75" customHeight="1">
      <c r="A4" s="529">
        <f ca="1">IFERROR(__xludf.DUMMYFUNCTION("""COMPUTED_VALUE"""),46234)</f>
        <v>46234</v>
      </c>
      <c r="B4" s="701">
        <f ca="1">IFERROR(__xludf.DUMMYFUNCTION("""COMPUTED_VALUE"""),0.8739)</f>
        <v>0.87390000000000001</v>
      </c>
      <c r="C4" s="701">
        <f ca="1">IFERROR(__xludf.DUMMYFUNCTION("""COMPUTED_VALUE"""),0.6918)</f>
        <v>0.69179999999999997</v>
      </c>
      <c r="D4" s="701">
        <f ca="1">IFERROR(__xludf.DUMMYFUNCTION("""COMPUTED_VALUE"""),0.1821)</f>
        <v>0.18210000000000001</v>
      </c>
      <c r="E4" s="702">
        <f ca="1">IFERROR(__xludf.DUMMYFUNCTION("""COMPUTED_VALUE"""),0.0652)</f>
        <v>6.5199999999999994E-2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15.75" customHeight="1" thickBot="1">
      <c r="A5" s="529">
        <f ca="1">IFERROR(__xludf.DUMMYFUNCTION("""COMPUTED_VALUE"""),46227)</f>
        <v>46227</v>
      </c>
      <c r="B5" s="701">
        <f ca="1">IFERROR(__xludf.DUMMYFUNCTION("""COMPUTED_VALUE"""),0.8748)</f>
        <v>0.87480000000000002</v>
      </c>
      <c r="C5" s="701">
        <f ca="1">IFERROR(__xludf.DUMMYFUNCTION("""COMPUTED_VALUE"""),0.6928)</f>
        <v>0.69279999999999997</v>
      </c>
      <c r="D5" s="701">
        <f ca="1">IFERROR(__xludf.DUMMYFUNCTION("""COMPUTED_VALUE"""),0.182)</f>
        <v>0.182</v>
      </c>
      <c r="E5" s="702">
        <f ca="1">IFERROR(__xludf.DUMMYFUNCTION("""COMPUTED_VALUE"""),0.0652)</f>
        <v>6.5199999999999994E-2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5.75" customHeight="1">
      <c r="A6" s="529">
        <f ca="1">IFERROR(__xludf.DUMMYFUNCTION("""COMPUTED_VALUE"""),46220)</f>
        <v>46220</v>
      </c>
      <c r="B6" s="701">
        <f ca="1">IFERROR(__xludf.DUMMYFUNCTION("""COMPUTED_VALUE"""),0.8767)</f>
        <v>0.87670000000000003</v>
      </c>
      <c r="C6" s="701">
        <f ca="1">IFERROR(__xludf.DUMMYFUNCTION("""COMPUTED_VALUE"""),0.6934)</f>
        <v>0.69340000000000002</v>
      </c>
      <c r="D6" s="701">
        <f ca="1">IFERROR(__xludf.DUMMYFUNCTION("""COMPUTED_VALUE"""),0.1833)</f>
        <v>0.18329999999999999</v>
      </c>
      <c r="E6" s="702">
        <f ca="1">IFERROR(__xludf.DUMMYFUNCTION("""COMPUTED_VALUE"""),0.0652)</f>
        <v>6.5199999999999994E-2</v>
      </c>
      <c r="G6" s="705"/>
      <c r="H6" s="563" t="str">
        <f ca="1">IFERROR(__xludf.DUMMYFUNCTION("""COMPUTED_VALUE"""),"買賣超")</f>
        <v>買賣超</v>
      </c>
      <c r="I6" s="563"/>
      <c r="J6" s="563"/>
      <c r="K6" s="563"/>
      <c r="L6" s="563" t="str">
        <f ca="1">IFERROR(__xludf.DUMMYFUNCTION("""COMPUTED_VALUE"""),"估計持股")</f>
        <v>估計持股</v>
      </c>
      <c r="M6" s="563"/>
      <c r="N6" s="563"/>
      <c r="O6" s="563"/>
      <c r="P6" s="563" t="str">
        <f ca="1">IFERROR(__xludf.DUMMYFUNCTION("""COMPUTED_VALUE"""),"持股比重")</f>
        <v>持股比重</v>
      </c>
      <c r="Q6" s="563"/>
      <c r="R6" s="563"/>
      <c r="S6" s="572"/>
      <c r="T6" s="705"/>
      <c r="U6" s="563" t="str">
        <f ca="1">IFERROR(__xludf.DUMMYFUNCTION("""COMPUTED_VALUE"""),"融資")</f>
        <v>融資</v>
      </c>
      <c r="V6" s="563"/>
      <c r="W6" s="563"/>
      <c r="X6" s="563"/>
      <c r="Y6" s="563"/>
      <c r="Z6" s="563"/>
      <c r="AA6" s="563"/>
      <c r="AB6" s="563" t="str">
        <f ca="1">IFERROR(__xludf.DUMMYFUNCTION("""COMPUTED_VALUE"""),"融券")</f>
        <v>融券</v>
      </c>
      <c r="AC6" s="563"/>
      <c r="AD6" s="563"/>
      <c r="AE6" s="563"/>
      <c r="AF6" s="563"/>
      <c r="AG6" s="563"/>
      <c r="AH6" s="564" t="str">
        <f ca="1">IFERROR(__xludf.DUMMYFUNCTION("""COMPUTED_VALUE"""),"資券")</f>
        <v>資券</v>
      </c>
    </row>
    <row r="7" spans="1:34" ht="15.75" customHeight="1">
      <c r="A7" s="529">
        <f ca="1">IFERROR(__xludf.DUMMYFUNCTION("""COMPUTED_VALUE"""),46212)</f>
        <v>46212</v>
      </c>
      <c r="B7" s="701">
        <f ca="1">IFERROR(__xludf.DUMMYFUNCTION("""COMPUTED_VALUE"""),0.8774)</f>
        <v>0.87739999999999996</v>
      </c>
      <c r="C7" s="701">
        <f ca="1">IFERROR(__xludf.DUMMYFUNCTION("""COMPUTED_VALUE"""),0.6959)</f>
        <v>0.69589999999999996</v>
      </c>
      <c r="D7" s="701">
        <f ca="1">IFERROR(__xludf.DUMMYFUNCTION("""COMPUTED_VALUE"""),0.1815)</f>
        <v>0.18149999999999999</v>
      </c>
      <c r="E7" s="702">
        <f ca="1">IFERROR(__xludf.DUMMYFUNCTION("""COMPUTED_VALUE"""),0.0652)</f>
        <v>6.5199999999999994E-2</v>
      </c>
      <c r="G7" s="532" t="str">
        <f ca="1">IFERROR(__xludf.DUMMYFUNCTION("""COMPUTED_VALUE"""),"日期")</f>
        <v>日期</v>
      </c>
      <c r="H7" s="533" t="str">
        <f ca="1">IFERROR(__xludf.DUMMYFUNCTION("""COMPUTED_VALUE"""),"外資")</f>
        <v>外資</v>
      </c>
      <c r="I7" s="533" t="str">
        <f ca="1">IFERROR(__xludf.DUMMYFUNCTION("""COMPUTED_VALUE"""),"投信")</f>
        <v>投信</v>
      </c>
      <c r="J7" s="533" t="str">
        <f ca="1">IFERROR(__xludf.DUMMYFUNCTION("""COMPUTED_VALUE"""),"自營商")</f>
        <v>自營商</v>
      </c>
      <c r="K7" s="533" t="str">
        <f ca="1">IFERROR(__xludf.DUMMYFUNCTION("""COMPUTED_VALUE"""),"單日合計")</f>
        <v>單日合計</v>
      </c>
      <c r="L7" s="533" t="str">
        <f ca="1">IFERROR(__xludf.DUMMYFUNCTION("""COMPUTED_VALUE"""),"外資")</f>
        <v>外資</v>
      </c>
      <c r="M7" s="533" t="str">
        <f ca="1">IFERROR(__xludf.DUMMYFUNCTION("""COMPUTED_VALUE"""),"投信")</f>
        <v>投信</v>
      </c>
      <c r="N7" s="533" t="str">
        <f ca="1">IFERROR(__xludf.DUMMYFUNCTION("""COMPUTED_VALUE"""),"自營商")</f>
        <v>自營商</v>
      </c>
      <c r="O7" s="533" t="str">
        <f ca="1">IFERROR(__xludf.DUMMYFUNCTION("""COMPUTED_VALUE"""),"單日合計")</f>
        <v>單日合計</v>
      </c>
      <c r="P7" s="533" t="str">
        <f ca="1">IFERROR(__xludf.DUMMYFUNCTION("""COMPUTED_VALUE"""),"外資")</f>
        <v>外資</v>
      </c>
      <c r="Q7" s="533" t="str">
        <f ca="1">IFERROR(__xludf.DUMMYFUNCTION("""COMPUTED_VALUE"""),"三大法人")</f>
        <v>三大法人</v>
      </c>
      <c r="R7" s="533" t="s">
        <v>71</v>
      </c>
      <c r="S7" s="542" t="s">
        <v>72</v>
      </c>
      <c r="T7" s="532" t="str">
        <f ca="1">IFERROR(__xludf.DUMMYFUNCTION("""COMPUTED_VALUE"""),"日期")</f>
        <v>日期</v>
      </c>
      <c r="U7" s="533" t="str">
        <f ca="1">IFERROR(__xludf.DUMMYFUNCTION("""COMPUTED_VALUE"""),"買進")</f>
        <v>買進</v>
      </c>
      <c r="V7" s="533" t="str">
        <f ca="1">IFERROR(__xludf.DUMMYFUNCTION("""COMPUTED_VALUE"""),"賣出")</f>
        <v>賣出</v>
      </c>
      <c r="W7" s="533" t="str">
        <f ca="1">IFERROR(__xludf.DUMMYFUNCTION("""COMPUTED_VALUE"""),"現償")</f>
        <v>現償</v>
      </c>
      <c r="X7" s="533" t="str">
        <f ca="1">IFERROR(__xludf.DUMMYFUNCTION("""COMPUTED_VALUE"""),"餘額")</f>
        <v>餘額</v>
      </c>
      <c r="Y7" s="533" t="str">
        <f ca="1">IFERROR(__xludf.DUMMYFUNCTION("""COMPUTED_VALUE"""),"增減")</f>
        <v>增減</v>
      </c>
      <c r="Z7" s="533" t="str">
        <f ca="1">IFERROR(__xludf.DUMMYFUNCTION("""COMPUTED_VALUE"""),"限額")</f>
        <v>限額</v>
      </c>
      <c r="AA7" s="533" t="str">
        <f ca="1">IFERROR(__xludf.DUMMYFUNCTION("""COMPUTED_VALUE"""),"使用率")</f>
        <v>使用率</v>
      </c>
      <c r="AB7" s="533" t="str">
        <f ca="1">IFERROR(__xludf.DUMMYFUNCTION("""COMPUTED_VALUE"""),"賣出")</f>
        <v>賣出</v>
      </c>
      <c r="AC7" s="533" t="str">
        <f ca="1">IFERROR(__xludf.DUMMYFUNCTION("""COMPUTED_VALUE"""),"買進")</f>
        <v>買進</v>
      </c>
      <c r="AD7" s="533" t="str">
        <f ca="1">IFERROR(__xludf.DUMMYFUNCTION("""COMPUTED_VALUE"""),"券償")</f>
        <v>券償</v>
      </c>
      <c r="AE7" s="533" t="str">
        <f ca="1">IFERROR(__xludf.DUMMYFUNCTION("""COMPUTED_VALUE"""),"餘額")</f>
        <v>餘額</v>
      </c>
      <c r="AF7" s="533" t="str">
        <f ca="1">IFERROR(__xludf.DUMMYFUNCTION("""COMPUTED_VALUE"""),"增減")</f>
        <v>增減</v>
      </c>
      <c r="AG7" s="533" t="str">
        <f ca="1">IFERROR(__xludf.DUMMYFUNCTION("""COMPUTED_VALUE"""),"券資比")</f>
        <v>券資比</v>
      </c>
      <c r="AH7" s="534" t="str">
        <f ca="1">IFERROR(__xludf.DUMMYFUNCTION("""COMPUTED_VALUE"""),"相抵")</f>
        <v>相抵</v>
      </c>
    </row>
    <row r="8" spans="1:34" ht="15.75" customHeight="1">
      <c r="A8" s="529">
        <f ca="1">IFERROR(__xludf.DUMMYFUNCTION("""COMPUTED_VALUE"""),46206)</f>
        <v>46206</v>
      </c>
      <c r="B8" s="701">
        <f ca="1">IFERROR(__xludf.DUMMYFUNCTION("""COMPUTED_VALUE"""),0.8781)</f>
        <v>0.87809999999999999</v>
      </c>
      <c r="C8" s="701">
        <f ca="1">IFERROR(__xludf.DUMMYFUNCTION("""COMPUTED_VALUE"""),0.6967)</f>
        <v>0.69669999999999999</v>
      </c>
      <c r="D8" s="701">
        <f ca="1">IFERROR(__xludf.DUMMYFUNCTION("""COMPUTED_VALUE"""),0.1814)</f>
        <v>0.18140000000000001</v>
      </c>
      <c r="E8" s="702">
        <f ca="1">IFERROR(__xludf.DUMMYFUNCTION("""COMPUTED_VALUE"""),0.0652)</f>
        <v>6.5199999999999994E-2</v>
      </c>
      <c r="G8" s="529">
        <v>46248</v>
      </c>
      <c r="H8" s="419">
        <f ca="1">IFERROR(__xludf.DUMMYFUNCTION("""COMPUTED_VALUE"""),-3024)</f>
        <v>-3024</v>
      </c>
      <c r="I8" s="419">
        <f ca="1">IFERROR(__xludf.DUMMYFUNCTION("""COMPUTED_VALUE"""),-381)</f>
        <v>-381</v>
      </c>
      <c r="J8" s="419">
        <f ca="1">IFERROR(__xludf.DUMMYFUNCTION("""COMPUTED_VALUE"""),-373)</f>
        <v>-373</v>
      </c>
      <c r="K8" s="419">
        <f ca="1">IFERROR(__xludf.DUMMYFUNCTION("""COMPUTED_VALUE"""),-3778)</f>
        <v>-3778</v>
      </c>
      <c r="L8" s="419">
        <f ca="1">IFERROR(__xludf.DUMMYFUNCTION("""COMPUTED_VALUE"""),17939968)</f>
        <v>17939968</v>
      </c>
      <c r="M8" s="419">
        <f ca="1">IFERROR(__xludf.DUMMYFUNCTION("""COMPUTED_VALUE"""),950213)</f>
        <v>950213</v>
      </c>
      <c r="N8" s="419">
        <f ca="1">IFERROR(__xludf.DUMMYFUNCTION("""COMPUTED_VALUE"""),367616)</f>
        <v>367616</v>
      </c>
      <c r="O8" s="419">
        <f ca="1">IFERROR(__xludf.DUMMYFUNCTION("""COMPUTED_VALUE"""),19257797)</f>
        <v>19257797</v>
      </c>
      <c r="P8" s="422">
        <f ca="1">IFERROR(__xludf.DUMMYFUNCTION("""COMPUTED_VALUE"""),0.6917)</f>
        <v>0.69169999999999998</v>
      </c>
      <c r="Q8" s="422">
        <f ca="1">IFERROR(__xludf.DUMMYFUNCTION("""COMPUTED_VALUE"""),0.7425)</f>
        <v>0.74250000000000005</v>
      </c>
      <c r="R8" s="422">
        <f t="shared" ref="R8:R47" ca="1" si="0">IF(ISBLANK(Q8)," ",M8/(L8/P8))</f>
        <v>3.6636761676497973E-2</v>
      </c>
      <c r="S8" s="427">
        <f t="shared" ref="S8:S48" ca="1" si="1">IF(ISBLANK(Q8)," ",N8/(L8/P8))</f>
        <v>1.4173937612374782E-2</v>
      </c>
      <c r="T8" s="529">
        <v>46248</v>
      </c>
      <c r="U8" s="419">
        <f ca="1">IFERROR(__xludf.DUMMYFUNCTION("""COMPUTED_VALUE"""),470)</f>
        <v>470</v>
      </c>
      <c r="V8" s="419">
        <f ca="1">IFERROR(__xludf.DUMMYFUNCTION("""COMPUTED_VALUE"""),343)</f>
        <v>343</v>
      </c>
      <c r="W8" s="419">
        <f ca="1">IFERROR(__xludf.DUMMYFUNCTION("""COMPUTED_VALUE"""),30)</f>
        <v>30</v>
      </c>
      <c r="X8" s="419">
        <f ca="1">IFERROR(__xludf.DUMMYFUNCTION("""COMPUTED_VALUE"""),28060)</f>
        <v>28060</v>
      </c>
      <c r="Y8" s="419">
        <f ca="1">IFERROR(__xludf.DUMMYFUNCTION("""COMPUTED_VALUE"""),97)</f>
        <v>97</v>
      </c>
      <c r="Z8" s="419">
        <f ca="1">IFERROR(__xludf.DUMMYFUNCTION("""COMPUTED_VALUE"""),6483092)</f>
        <v>6483092</v>
      </c>
      <c r="AA8" s="701">
        <f ca="1">IFERROR(__xludf.DUMMYFUNCTION("""COMPUTED_VALUE"""),0.0043)</f>
        <v>4.3E-3</v>
      </c>
      <c r="AB8" s="419">
        <f ca="1">IFERROR(__xludf.DUMMYFUNCTION("""COMPUTED_VALUE"""),7)</f>
        <v>7</v>
      </c>
      <c r="AC8" s="419">
        <f ca="1">IFERROR(__xludf.DUMMYFUNCTION("""COMPUTED_VALUE"""),8)</f>
        <v>8</v>
      </c>
      <c r="AD8" s="419">
        <f ca="1">IFERROR(__xludf.DUMMYFUNCTION("""COMPUTED_VALUE"""),1)</f>
        <v>1</v>
      </c>
      <c r="AE8" s="419">
        <f ca="1">IFERROR(__xludf.DUMMYFUNCTION("""COMPUTED_VALUE"""),36)</f>
        <v>36</v>
      </c>
      <c r="AF8" s="419">
        <f ca="1">IFERROR(__xludf.DUMMYFUNCTION("""COMPUTED_VALUE"""),-2)</f>
        <v>-2</v>
      </c>
      <c r="AG8" s="701">
        <f ca="1">IFERROR(__xludf.DUMMYFUNCTION("""COMPUTED_VALUE"""),0.0013)</f>
        <v>1.2999999999999999E-3</v>
      </c>
      <c r="AH8" s="543">
        <f ca="1">IFERROR(__xludf.DUMMYFUNCTION("""COMPUTED_VALUE"""),0)</f>
        <v>0</v>
      </c>
    </row>
    <row r="9" spans="1:34" ht="15.75" customHeight="1">
      <c r="A9" s="529">
        <f ca="1">IFERROR(__xludf.DUMMYFUNCTION("""COMPUTED_VALUE"""),46199)</f>
        <v>46199</v>
      </c>
      <c r="B9" s="701">
        <f ca="1">IFERROR(__xludf.DUMMYFUNCTION("""COMPUTED_VALUE"""),0.8783)</f>
        <v>0.87829999999999997</v>
      </c>
      <c r="C9" s="701">
        <f ca="1">IFERROR(__xludf.DUMMYFUNCTION("""COMPUTED_VALUE"""),0.6979)</f>
        <v>0.69789999999999996</v>
      </c>
      <c r="D9" s="701">
        <f ca="1">IFERROR(__xludf.DUMMYFUNCTION("""COMPUTED_VALUE"""),0.1804)</f>
        <v>0.1804</v>
      </c>
      <c r="E9" s="702">
        <f ca="1">IFERROR(__xludf.DUMMYFUNCTION("""COMPUTED_VALUE"""),0.0652)</f>
        <v>6.5199999999999994E-2</v>
      </c>
      <c r="G9" s="529">
        <v>46247</v>
      </c>
      <c r="H9" s="419">
        <f ca="1">IFERROR(__xludf.DUMMYFUNCTION("""COMPUTED_VALUE"""),3972)</f>
        <v>3972</v>
      </c>
      <c r="I9" s="419">
        <f ca="1">IFERROR(__xludf.DUMMYFUNCTION("""COMPUTED_VALUE"""),736)</f>
        <v>736</v>
      </c>
      <c r="J9" s="419">
        <f ca="1">IFERROR(__xludf.DUMMYFUNCTION("""COMPUTED_VALUE"""),93)</f>
        <v>93</v>
      </c>
      <c r="K9" s="419">
        <f ca="1">IFERROR(__xludf.DUMMYFUNCTION("""COMPUTED_VALUE"""),4801)</f>
        <v>4801</v>
      </c>
      <c r="L9" s="419">
        <f ca="1">IFERROR(__xludf.DUMMYFUNCTION("""COMPUTED_VALUE"""),17941963)</f>
        <v>17941963</v>
      </c>
      <c r="M9" s="419">
        <f ca="1">IFERROR(__xludf.DUMMYFUNCTION("""COMPUTED_VALUE"""),950593)</f>
        <v>950593</v>
      </c>
      <c r="N9" s="419">
        <f ca="1">IFERROR(__xludf.DUMMYFUNCTION("""COMPUTED_VALUE"""),367988)</f>
        <v>367988</v>
      </c>
      <c r="O9" s="419">
        <f ca="1">IFERROR(__xludf.DUMMYFUNCTION("""COMPUTED_VALUE"""),19260544)</f>
        <v>19260544</v>
      </c>
      <c r="P9" s="422">
        <f ca="1">IFERROR(__xludf.DUMMYFUNCTION("""COMPUTED_VALUE"""),0.6918)</f>
        <v>0.69179999999999997</v>
      </c>
      <c r="Q9" s="422">
        <f ca="1">IFERROR(__xludf.DUMMYFUNCTION("""COMPUTED_VALUE"""),0.7426)</f>
        <v>0.74260000000000004</v>
      </c>
      <c r="R9" s="422">
        <f t="shared" ca="1" si="0"/>
        <v>3.6652635912803967E-2</v>
      </c>
      <c r="S9" s="427">
        <f t="shared" ca="1" si="1"/>
        <v>1.4188753950724345E-2</v>
      </c>
      <c r="T9" s="529">
        <v>46247</v>
      </c>
      <c r="U9" s="419">
        <f ca="1">IFERROR(__xludf.DUMMYFUNCTION("""COMPUTED_VALUE"""),369)</f>
        <v>369</v>
      </c>
      <c r="V9" s="419">
        <f ca="1">IFERROR(__xludf.DUMMYFUNCTION("""COMPUTED_VALUE"""),955)</f>
        <v>955</v>
      </c>
      <c r="W9" s="419">
        <f ca="1">IFERROR(__xludf.DUMMYFUNCTION("""COMPUTED_VALUE"""),55)</f>
        <v>55</v>
      </c>
      <c r="X9" s="419">
        <f ca="1">IFERROR(__xludf.DUMMYFUNCTION("""COMPUTED_VALUE"""),27963)</f>
        <v>27963</v>
      </c>
      <c r="Y9" s="419">
        <f ca="1">IFERROR(__xludf.DUMMYFUNCTION("""COMPUTED_VALUE"""),-641)</f>
        <v>-641</v>
      </c>
      <c r="Z9" s="419">
        <f ca="1">IFERROR(__xludf.DUMMYFUNCTION("""COMPUTED_VALUE"""),6483092)</f>
        <v>6483092</v>
      </c>
      <c r="AA9" s="701">
        <f ca="1">IFERROR(__xludf.DUMMYFUNCTION("""COMPUTED_VALUE"""),0.0043)</f>
        <v>4.3E-3</v>
      </c>
      <c r="AB9" s="419">
        <f ca="1">IFERROR(__xludf.DUMMYFUNCTION("""COMPUTED_VALUE"""),3)</f>
        <v>3</v>
      </c>
      <c r="AC9" s="419">
        <f ca="1">IFERROR(__xludf.DUMMYFUNCTION("""COMPUTED_VALUE"""),2)</f>
        <v>2</v>
      </c>
      <c r="AD9" s="419">
        <f ca="1">IFERROR(__xludf.DUMMYFUNCTION("""COMPUTED_VALUE"""),2)</f>
        <v>2</v>
      </c>
      <c r="AE9" s="419">
        <f ca="1">IFERROR(__xludf.DUMMYFUNCTION("""COMPUTED_VALUE"""),38)</f>
        <v>38</v>
      </c>
      <c r="AF9" s="419">
        <f ca="1">IFERROR(__xludf.DUMMYFUNCTION("""COMPUTED_VALUE"""),-1)</f>
        <v>-1</v>
      </c>
      <c r="AG9" s="701">
        <f ca="1">IFERROR(__xludf.DUMMYFUNCTION("""COMPUTED_VALUE"""),0.0014)</f>
        <v>1.4E-3</v>
      </c>
      <c r="AH9" s="543">
        <f ca="1">IFERROR(__xludf.DUMMYFUNCTION("""COMPUTED_VALUE"""),0)</f>
        <v>0</v>
      </c>
    </row>
    <row r="10" spans="1:34" ht="15.75" customHeight="1">
      <c r="A10" s="529">
        <f ca="1">IFERROR(__xludf.DUMMYFUNCTION("""COMPUTED_VALUE"""),46191)</f>
        <v>46191</v>
      </c>
      <c r="B10" s="701">
        <f ca="1">IFERROR(__xludf.DUMMYFUNCTION("""COMPUTED_VALUE"""),0.8792)</f>
        <v>0.87919999999999998</v>
      </c>
      <c r="C10" s="701">
        <f ca="1">IFERROR(__xludf.DUMMYFUNCTION("""COMPUTED_VALUE"""),0.6998)</f>
        <v>0.69979999999999998</v>
      </c>
      <c r="D10" s="701">
        <f ca="1">IFERROR(__xludf.DUMMYFUNCTION("""COMPUTED_VALUE"""),0.1794)</f>
        <v>0.1794</v>
      </c>
      <c r="E10" s="702">
        <f ca="1">IFERROR(__xludf.DUMMYFUNCTION("""COMPUTED_VALUE"""),0.0652)</f>
        <v>6.5199999999999994E-2</v>
      </c>
      <c r="G10" s="529">
        <v>46246</v>
      </c>
      <c r="H10" s="419">
        <f ca="1">IFERROR(__xludf.DUMMYFUNCTION("""COMPUTED_VALUE"""),2627)</f>
        <v>2627</v>
      </c>
      <c r="I10" s="419">
        <f ca="1">IFERROR(__xludf.DUMMYFUNCTION("""COMPUTED_VALUE"""),587)</f>
        <v>587</v>
      </c>
      <c r="J10" s="419">
        <f ca="1">IFERROR(__xludf.DUMMYFUNCTION("""COMPUTED_VALUE"""),-290)</f>
        <v>-290</v>
      </c>
      <c r="K10" s="419">
        <f ca="1">IFERROR(__xludf.DUMMYFUNCTION("""COMPUTED_VALUE"""),2924)</f>
        <v>2924</v>
      </c>
      <c r="L10" s="419">
        <f ca="1">IFERROR(__xludf.DUMMYFUNCTION("""COMPUTED_VALUE"""),17937718)</f>
        <v>17937718</v>
      </c>
      <c r="M10" s="419">
        <f ca="1">IFERROR(__xludf.DUMMYFUNCTION("""COMPUTED_VALUE"""),949857)</f>
        <v>949857</v>
      </c>
      <c r="N10" s="419">
        <f ca="1">IFERROR(__xludf.DUMMYFUNCTION("""COMPUTED_VALUE"""),367895)</f>
        <v>367895</v>
      </c>
      <c r="O10" s="419">
        <f ca="1">IFERROR(__xludf.DUMMYFUNCTION("""COMPUTED_VALUE"""),19255470)</f>
        <v>19255470</v>
      </c>
      <c r="P10" s="422">
        <f ca="1">IFERROR(__xludf.DUMMYFUNCTION("""COMPUTED_VALUE"""),0.6917)</f>
        <v>0.69169999999999998</v>
      </c>
      <c r="Q10" s="422">
        <f ca="1">IFERROR(__xludf.DUMMYFUNCTION("""COMPUTED_VALUE"""),0.7425)</f>
        <v>0.74250000000000005</v>
      </c>
      <c r="R10" s="422">
        <f t="shared" ca="1" si="0"/>
        <v>3.6627629384072151E-2</v>
      </c>
      <c r="S10" s="427">
        <f t="shared" ca="1" si="1"/>
        <v>1.4186474082154708E-2</v>
      </c>
      <c r="T10" s="529">
        <v>46246</v>
      </c>
      <c r="U10" s="419">
        <f ca="1">IFERROR(__xludf.DUMMYFUNCTION("""COMPUTED_VALUE"""),257)</f>
        <v>257</v>
      </c>
      <c r="V10" s="419">
        <f ca="1">IFERROR(__xludf.DUMMYFUNCTION("""COMPUTED_VALUE"""),702)</f>
        <v>702</v>
      </c>
      <c r="W10" s="419">
        <f ca="1">IFERROR(__xludf.DUMMYFUNCTION("""COMPUTED_VALUE"""),21)</f>
        <v>21</v>
      </c>
      <c r="X10" s="419">
        <f ca="1">IFERROR(__xludf.DUMMYFUNCTION("""COMPUTED_VALUE"""),28604)</f>
        <v>28604</v>
      </c>
      <c r="Y10" s="419">
        <f ca="1">IFERROR(__xludf.DUMMYFUNCTION("""COMPUTED_VALUE"""),-466)</f>
        <v>-466</v>
      </c>
      <c r="Z10" s="419">
        <f ca="1">IFERROR(__xludf.DUMMYFUNCTION("""COMPUTED_VALUE"""),6483092)</f>
        <v>6483092</v>
      </c>
      <c r="AA10" s="701">
        <f ca="1">IFERROR(__xludf.DUMMYFUNCTION("""COMPUTED_VALUE"""),0.0044)</f>
        <v>4.4000000000000003E-3</v>
      </c>
      <c r="AB10" s="419">
        <f ca="1">IFERROR(__xludf.DUMMYFUNCTION("""COMPUTED_VALUE"""),9)</f>
        <v>9</v>
      </c>
      <c r="AC10" s="419">
        <f ca="1">IFERROR(__xludf.DUMMYFUNCTION("""COMPUTED_VALUE"""),0)</f>
        <v>0</v>
      </c>
      <c r="AD10" s="419">
        <f ca="1">IFERROR(__xludf.DUMMYFUNCTION("""COMPUTED_VALUE"""),0)</f>
        <v>0</v>
      </c>
      <c r="AE10" s="419">
        <f ca="1">IFERROR(__xludf.DUMMYFUNCTION("""COMPUTED_VALUE"""),39)</f>
        <v>39</v>
      </c>
      <c r="AF10" s="419">
        <f ca="1">IFERROR(__xludf.DUMMYFUNCTION("""COMPUTED_VALUE"""),9)</f>
        <v>9</v>
      </c>
      <c r="AG10" s="701">
        <f ca="1">IFERROR(__xludf.DUMMYFUNCTION("""COMPUTED_VALUE"""),0.0014)</f>
        <v>1.4E-3</v>
      </c>
      <c r="AH10" s="543">
        <f ca="1">IFERROR(__xludf.DUMMYFUNCTION("""COMPUTED_VALUE"""),18)</f>
        <v>18</v>
      </c>
    </row>
    <row r="11" spans="1:34" ht="15.75" customHeight="1">
      <c r="A11" s="529">
        <f ca="1">IFERROR(__xludf.DUMMYFUNCTION("""COMPUTED_VALUE"""),46185)</f>
        <v>46185</v>
      </c>
      <c r="B11" s="701">
        <f ca="1">IFERROR(__xludf.DUMMYFUNCTION("""COMPUTED_VALUE"""),0.8789)</f>
        <v>0.87890000000000001</v>
      </c>
      <c r="C11" s="701">
        <f ca="1">IFERROR(__xludf.DUMMYFUNCTION("""COMPUTED_VALUE"""),0.6999)</f>
        <v>0.69989999999999997</v>
      </c>
      <c r="D11" s="701">
        <f ca="1">IFERROR(__xludf.DUMMYFUNCTION("""COMPUTED_VALUE"""),0.179)</f>
        <v>0.17899999999999999</v>
      </c>
      <c r="E11" s="702">
        <f ca="1">IFERROR(__xludf.DUMMYFUNCTION("""COMPUTED_VALUE"""),0.0652)</f>
        <v>6.5199999999999994E-2</v>
      </c>
      <c r="G11" s="529">
        <v>46245</v>
      </c>
      <c r="H11" s="419">
        <f ca="1">IFERROR(__xludf.DUMMYFUNCTION("""COMPUTED_VALUE"""),3498)</f>
        <v>3498</v>
      </c>
      <c r="I11" s="419">
        <f ca="1">IFERROR(__xludf.DUMMYFUNCTION("""COMPUTED_VALUE"""),382)</f>
        <v>382</v>
      </c>
      <c r="J11" s="419">
        <f ca="1">IFERROR(__xludf.DUMMYFUNCTION("""COMPUTED_VALUE"""),-189)</f>
        <v>-189</v>
      </c>
      <c r="K11" s="419">
        <f ca="1">IFERROR(__xludf.DUMMYFUNCTION("""COMPUTED_VALUE"""),3691)</f>
        <v>3691</v>
      </c>
      <c r="L11" s="419">
        <f ca="1">IFERROR(__xludf.DUMMYFUNCTION("""COMPUTED_VALUE"""),17934851)</f>
        <v>17934851</v>
      </c>
      <c r="M11" s="419">
        <f ca="1">IFERROR(__xludf.DUMMYFUNCTION("""COMPUTED_VALUE"""),949270)</f>
        <v>949270</v>
      </c>
      <c r="N11" s="419">
        <f ca="1">IFERROR(__xludf.DUMMYFUNCTION("""COMPUTED_VALUE"""),368186)</f>
        <v>368186</v>
      </c>
      <c r="O11" s="419">
        <f ca="1">IFERROR(__xludf.DUMMYFUNCTION("""COMPUTED_VALUE"""),19252307)</f>
        <v>19252307</v>
      </c>
      <c r="P11" s="422">
        <f ca="1">IFERROR(__xludf.DUMMYFUNCTION("""COMPUTED_VALUE"""),0.6916)</f>
        <v>0.69159999999999999</v>
      </c>
      <c r="Q11" s="422">
        <f ca="1">IFERROR(__xludf.DUMMYFUNCTION("""COMPUTED_VALUE"""),0.7424)</f>
        <v>0.74239999999999995</v>
      </c>
      <c r="R11" s="422">
        <f t="shared" ca="1" si="0"/>
        <v>3.6605552619310859E-2</v>
      </c>
      <c r="S11" s="427">
        <f t="shared" ca="1" si="1"/>
        <v>1.4197912076325585E-2</v>
      </c>
      <c r="T11" s="529">
        <v>46245</v>
      </c>
      <c r="U11" s="419">
        <f ca="1">IFERROR(__xludf.DUMMYFUNCTION("""COMPUTED_VALUE"""),179)</f>
        <v>179</v>
      </c>
      <c r="V11" s="419">
        <f ca="1">IFERROR(__xludf.DUMMYFUNCTION("""COMPUTED_VALUE"""),862)</f>
        <v>862</v>
      </c>
      <c r="W11" s="419">
        <f ca="1">IFERROR(__xludf.DUMMYFUNCTION("""COMPUTED_VALUE"""),35)</f>
        <v>35</v>
      </c>
      <c r="X11" s="419">
        <f ca="1">IFERROR(__xludf.DUMMYFUNCTION("""COMPUTED_VALUE"""),29070)</f>
        <v>29070</v>
      </c>
      <c r="Y11" s="419">
        <f ca="1">IFERROR(__xludf.DUMMYFUNCTION("""COMPUTED_VALUE"""),-718)</f>
        <v>-718</v>
      </c>
      <c r="Z11" s="419">
        <f ca="1">IFERROR(__xludf.DUMMYFUNCTION("""COMPUTED_VALUE"""),6483092)</f>
        <v>6483092</v>
      </c>
      <c r="AA11" s="701">
        <f ca="1">IFERROR(__xludf.DUMMYFUNCTION("""COMPUTED_VALUE"""),0.0045)</f>
        <v>4.4999999999999997E-3</v>
      </c>
      <c r="AB11" s="419">
        <f ca="1">IFERROR(__xludf.DUMMYFUNCTION("""COMPUTED_VALUE"""),0)</f>
        <v>0</v>
      </c>
      <c r="AC11" s="419">
        <f ca="1">IFERROR(__xludf.DUMMYFUNCTION("""COMPUTED_VALUE"""),2)</f>
        <v>2</v>
      </c>
      <c r="AD11" s="419">
        <f ca="1">IFERROR(__xludf.DUMMYFUNCTION("""COMPUTED_VALUE"""),0)</f>
        <v>0</v>
      </c>
      <c r="AE11" s="419">
        <f ca="1">IFERROR(__xludf.DUMMYFUNCTION("""COMPUTED_VALUE"""),30)</f>
        <v>30</v>
      </c>
      <c r="AF11" s="419">
        <f ca="1">IFERROR(__xludf.DUMMYFUNCTION("""COMPUTED_VALUE"""),-2)</f>
        <v>-2</v>
      </c>
      <c r="AG11" s="701">
        <f ca="1">IFERROR(__xludf.DUMMYFUNCTION("""COMPUTED_VALUE"""),0.001)</f>
        <v>1E-3</v>
      </c>
      <c r="AH11" s="543">
        <f ca="1">IFERROR(__xludf.DUMMYFUNCTION("""COMPUTED_VALUE"""),1)</f>
        <v>1</v>
      </c>
    </row>
    <row r="12" spans="1:34" ht="15.75" customHeight="1">
      <c r="A12" s="529">
        <f ca="1">IFERROR(__xludf.DUMMYFUNCTION("""COMPUTED_VALUE"""),46178)</f>
        <v>46178</v>
      </c>
      <c r="B12" s="701">
        <f ca="1">IFERROR(__xludf.DUMMYFUNCTION("""COMPUTED_VALUE"""),0.8812)</f>
        <v>0.88119999999999998</v>
      </c>
      <c r="C12" s="701">
        <f ca="1">IFERROR(__xludf.DUMMYFUNCTION("""COMPUTED_VALUE"""),0.7022)</f>
        <v>0.70220000000000005</v>
      </c>
      <c r="D12" s="701">
        <f ca="1">IFERROR(__xludf.DUMMYFUNCTION("""COMPUTED_VALUE"""),0.179)</f>
        <v>0.17899999999999999</v>
      </c>
      <c r="E12" s="702">
        <f ca="1">IFERROR(__xludf.DUMMYFUNCTION("""COMPUTED_VALUE"""),0.0652)</f>
        <v>6.5199999999999994E-2</v>
      </c>
      <c r="G12" s="529">
        <v>46244</v>
      </c>
      <c r="H12" s="419">
        <f ca="1">IFERROR(__xludf.DUMMYFUNCTION("""COMPUTED_VALUE"""),119)</f>
        <v>119</v>
      </c>
      <c r="I12" s="419">
        <f ca="1">IFERROR(__xludf.DUMMYFUNCTION("""COMPUTED_VALUE"""),153)</f>
        <v>153</v>
      </c>
      <c r="J12" s="419">
        <f ca="1">IFERROR(__xludf.DUMMYFUNCTION("""COMPUTED_VALUE"""),448)</f>
        <v>448</v>
      </c>
      <c r="K12" s="419">
        <f ca="1">IFERROR(__xludf.DUMMYFUNCTION("""COMPUTED_VALUE"""),720)</f>
        <v>720</v>
      </c>
      <c r="L12" s="419">
        <f ca="1">IFERROR(__xludf.DUMMYFUNCTION("""COMPUTED_VALUE"""),17931403)</f>
        <v>17931403</v>
      </c>
      <c r="M12" s="419">
        <f ca="1">IFERROR(__xludf.DUMMYFUNCTION("""COMPUTED_VALUE"""),948888)</f>
        <v>948888</v>
      </c>
      <c r="N12" s="419">
        <f ca="1">IFERROR(__xludf.DUMMYFUNCTION("""COMPUTED_VALUE"""),368375)</f>
        <v>368375</v>
      </c>
      <c r="O12" s="419">
        <f ca="1">IFERROR(__xludf.DUMMYFUNCTION("""COMPUTED_VALUE"""),19248666)</f>
        <v>19248666</v>
      </c>
      <c r="P12" s="422">
        <f ca="1">IFERROR(__xludf.DUMMYFUNCTION("""COMPUTED_VALUE"""),0.6914)</f>
        <v>0.69140000000000001</v>
      </c>
      <c r="Q12" s="422">
        <f ca="1">IFERROR(__xludf.DUMMYFUNCTION("""COMPUTED_VALUE"""),0.7422)</f>
        <v>0.74219999999999997</v>
      </c>
      <c r="R12" s="422">
        <f t="shared" ca="1" si="0"/>
        <v>3.6587274470380259E-2</v>
      </c>
      <c r="S12" s="427">
        <f t="shared" ca="1" si="1"/>
        <v>1.4203823036044642E-2</v>
      </c>
      <c r="T12" s="529">
        <v>46244</v>
      </c>
      <c r="U12" s="419">
        <f ca="1">IFERROR(__xludf.DUMMYFUNCTION("""COMPUTED_VALUE"""),804)</f>
        <v>804</v>
      </c>
      <c r="V12" s="419">
        <f ca="1">IFERROR(__xludf.DUMMYFUNCTION("""COMPUTED_VALUE"""),662)</f>
        <v>662</v>
      </c>
      <c r="W12" s="419">
        <f ca="1">IFERROR(__xludf.DUMMYFUNCTION("""COMPUTED_VALUE"""),11)</f>
        <v>11</v>
      </c>
      <c r="X12" s="419">
        <f ca="1">IFERROR(__xludf.DUMMYFUNCTION("""COMPUTED_VALUE"""),29788)</f>
        <v>29788</v>
      </c>
      <c r="Y12" s="419">
        <f ca="1">IFERROR(__xludf.DUMMYFUNCTION("""COMPUTED_VALUE"""),131)</f>
        <v>131</v>
      </c>
      <c r="Z12" s="419">
        <f ca="1">IFERROR(__xludf.DUMMYFUNCTION("""COMPUTED_VALUE"""),6483092)</f>
        <v>6483092</v>
      </c>
      <c r="AA12" s="701">
        <f ca="1">IFERROR(__xludf.DUMMYFUNCTION("""COMPUTED_VALUE"""),0.0046)</f>
        <v>4.5999999999999999E-3</v>
      </c>
      <c r="AB12" s="419">
        <f ca="1">IFERROR(__xludf.DUMMYFUNCTION("""COMPUTED_VALUE"""),3)</f>
        <v>3</v>
      </c>
      <c r="AC12" s="419">
        <f ca="1">IFERROR(__xludf.DUMMYFUNCTION("""COMPUTED_VALUE"""),4)</f>
        <v>4</v>
      </c>
      <c r="AD12" s="419">
        <f ca="1">IFERROR(__xludf.DUMMYFUNCTION("""COMPUTED_VALUE"""),0)</f>
        <v>0</v>
      </c>
      <c r="AE12" s="419">
        <f ca="1">IFERROR(__xludf.DUMMYFUNCTION("""COMPUTED_VALUE"""),32)</f>
        <v>32</v>
      </c>
      <c r="AF12" s="419">
        <f ca="1">IFERROR(__xludf.DUMMYFUNCTION("""COMPUTED_VALUE"""),-1)</f>
        <v>-1</v>
      </c>
      <c r="AG12" s="701">
        <f ca="1">IFERROR(__xludf.DUMMYFUNCTION("""COMPUTED_VALUE"""),0.0011)</f>
        <v>1.1000000000000001E-3</v>
      </c>
      <c r="AH12" s="543">
        <f ca="1">IFERROR(__xludf.DUMMYFUNCTION("""COMPUTED_VALUE"""),14)</f>
        <v>14</v>
      </c>
    </row>
    <row r="13" spans="1:34" ht="15.75" customHeight="1">
      <c r="A13" s="529">
        <f ca="1">IFERROR(__xludf.DUMMYFUNCTION("""COMPUTED_VALUE"""),46171)</f>
        <v>46171</v>
      </c>
      <c r="B13" s="701">
        <f ca="1">IFERROR(__xludf.DUMMYFUNCTION("""COMPUTED_VALUE"""),0.8812)</f>
        <v>0.88119999999999998</v>
      </c>
      <c r="C13" s="701">
        <f ca="1">IFERROR(__xludf.DUMMYFUNCTION("""COMPUTED_VALUE"""),0.7039)</f>
        <v>0.70389999999999997</v>
      </c>
      <c r="D13" s="701">
        <f ca="1">IFERROR(__xludf.DUMMYFUNCTION("""COMPUTED_VALUE"""),0.1773)</f>
        <v>0.17730000000000001</v>
      </c>
      <c r="E13" s="702">
        <f ca="1">IFERROR(__xludf.DUMMYFUNCTION("""COMPUTED_VALUE"""),0.0652)</f>
        <v>6.5199999999999994E-2</v>
      </c>
      <c r="G13" s="529">
        <v>46241</v>
      </c>
      <c r="H13" s="419">
        <f ca="1">IFERROR(__xludf.DUMMYFUNCTION("""COMPUTED_VALUE"""),642)</f>
        <v>642</v>
      </c>
      <c r="I13" s="419">
        <f ca="1">IFERROR(__xludf.DUMMYFUNCTION("""COMPUTED_VALUE"""),61)</f>
        <v>61</v>
      </c>
      <c r="J13" s="419">
        <f ca="1">IFERROR(__xludf.DUMMYFUNCTION("""COMPUTED_VALUE"""),1243)</f>
        <v>1243</v>
      </c>
      <c r="K13" s="419">
        <f ca="1">IFERROR(__xludf.DUMMYFUNCTION("""COMPUTED_VALUE"""),1946)</f>
        <v>1946</v>
      </c>
      <c r="L13" s="419">
        <f ca="1">IFERROR(__xludf.DUMMYFUNCTION("""COMPUTED_VALUE"""),17931084)</f>
        <v>17931084</v>
      </c>
      <c r="M13" s="419">
        <f ca="1">IFERROR(__xludf.DUMMYFUNCTION("""COMPUTED_VALUE"""),948736)</f>
        <v>948736</v>
      </c>
      <c r="N13" s="419">
        <f ca="1">IFERROR(__xludf.DUMMYFUNCTION("""COMPUTED_VALUE"""),367926)</f>
        <v>367926</v>
      </c>
      <c r="O13" s="419">
        <f ca="1">IFERROR(__xludf.DUMMYFUNCTION("""COMPUTED_VALUE"""),19247746)</f>
        <v>19247746</v>
      </c>
      <c r="P13" s="422">
        <f ca="1">IFERROR(__xludf.DUMMYFUNCTION("""COMPUTED_VALUE"""),0.6914)</f>
        <v>0.69140000000000001</v>
      </c>
      <c r="Q13" s="422">
        <f ca="1">IFERROR(__xludf.DUMMYFUNCTION("""COMPUTED_VALUE"""),0.7422)</f>
        <v>0.74219999999999997</v>
      </c>
      <c r="R13" s="422">
        <f t="shared" ca="1" si="0"/>
        <v>3.6582064441837425E-2</v>
      </c>
      <c r="S13" s="427">
        <f t="shared" ca="1" si="1"/>
        <v>1.4186762852708739E-2</v>
      </c>
      <c r="T13" s="529">
        <v>46241</v>
      </c>
      <c r="U13" s="419">
        <f ca="1">IFERROR(__xludf.DUMMYFUNCTION("""COMPUTED_VALUE"""),262)</f>
        <v>262</v>
      </c>
      <c r="V13" s="419">
        <f ca="1">IFERROR(__xludf.DUMMYFUNCTION("""COMPUTED_VALUE"""),513)</f>
        <v>513</v>
      </c>
      <c r="W13" s="419">
        <f ca="1">IFERROR(__xludf.DUMMYFUNCTION("""COMPUTED_VALUE"""),41)</f>
        <v>41</v>
      </c>
      <c r="X13" s="419">
        <f ca="1">IFERROR(__xludf.DUMMYFUNCTION("""COMPUTED_VALUE"""),29657)</f>
        <v>29657</v>
      </c>
      <c r="Y13" s="419">
        <f ca="1">IFERROR(__xludf.DUMMYFUNCTION("""COMPUTED_VALUE"""),-292)</f>
        <v>-292</v>
      </c>
      <c r="Z13" s="419">
        <f ca="1">IFERROR(__xludf.DUMMYFUNCTION("""COMPUTED_VALUE"""),6483092)</f>
        <v>6483092</v>
      </c>
      <c r="AA13" s="701">
        <f ca="1">IFERROR(__xludf.DUMMYFUNCTION("""COMPUTED_VALUE"""),0.0046)</f>
        <v>4.5999999999999999E-3</v>
      </c>
      <c r="AB13" s="419">
        <f ca="1">IFERROR(__xludf.DUMMYFUNCTION("""COMPUTED_VALUE"""),3)</f>
        <v>3</v>
      </c>
      <c r="AC13" s="419">
        <f ca="1">IFERROR(__xludf.DUMMYFUNCTION("""COMPUTED_VALUE"""),8)</f>
        <v>8</v>
      </c>
      <c r="AD13" s="419">
        <f ca="1">IFERROR(__xludf.DUMMYFUNCTION("""COMPUTED_VALUE"""),0)</f>
        <v>0</v>
      </c>
      <c r="AE13" s="419">
        <f ca="1">IFERROR(__xludf.DUMMYFUNCTION("""COMPUTED_VALUE"""),33)</f>
        <v>33</v>
      </c>
      <c r="AF13" s="419">
        <f ca="1">IFERROR(__xludf.DUMMYFUNCTION("""COMPUTED_VALUE"""),-5)</f>
        <v>-5</v>
      </c>
      <c r="AG13" s="701">
        <f ca="1">IFERROR(__xludf.DUMMYFUNCTION("""COMPUTED_VALUE"""),0.0011)</f>
        <v>1.1000000000000001E-3</v>
      </c>
      <c r="AH13" s="543">
        <f ca="1">IFERROR(__xludf.DUMMYFUNCTION("""COMPUTED_VALUE"""),0)</f>
        <v>0</v>
      </c>
    </row>
    <row r="14" spans="1:34" ht="15.75" customHeight="1">
      <c r="A14" s="529">
        <f ca="1">IFERROR(__xludf.DUMMYFUNCTION("""COMPUTED_VALUE"""),46164)</f>
        <v>46164</v>
      </c>
      <c r="B14" s="701">
        <f ca="1">IFERROR(__xludf.DUMMYFUNCTION("""COMPUTED_VALUE"""),0.881)</f>
        <v>0.88100000000000001</v>
      </c>
      <c r="C14" s="701">
        <f ca="1">IFERROR(__xludf.DUMMYFUNCTION("""COMPUTED_VALUE"""),0.7037)</f>
        <v>0.70369999999999999</v>
      </c>
      <c r="D14" s="701">
        <f ca="1">IFERROR(__xludf.DUMMYFUNCTION("""COMPUTED_VALUE"""),0.1773)</f>
        <v>0.17730000000000001</v>
      </c>
      <c r="E14" s="702">
        <f ca="1">IFERROR(__xludf.DUMMYFUNCTION("""COMPUTED_VALUE"""),0.0652)</f>
        <v>6.5199999999999994E-2</v>
      </c>
      <c r="G14" s="529">
        <v>46240</v>
      </c>
      <c r="H14" s="419">
        <f ca="1">IFERROR(__xludf.DUMMYFUNCTION("""COMPUTED_VALUE"""),-4011)</f>
        <v>-4011</v>
      </c>
      <c r="I14" s="419">
        <f ca="1">IFERROR(__xludf.DUMMYFUNCTION("""COMPUTED_VALUE"""),-82)</f>
        <v>-82</v>
      </c>
      <c r="J14" s="419">
        <f ca="1">IFERROR(__xludf.DUMMYFUNCTION("""COMPUTED_VALUE"""),-583)</f>
        <v>-583</v>
      </c>
      <c r="K14" s="419">
        <f ca="1">IFERROR(__xludf.DUMMYFUNCTION("""COMPUTED_VALUE"""),-4676)</f>
        <v>-4676</v>
      </c>
      <c r="L14" s="419">
        <f ca="1">IFERROR(__xludf.DUMMYFUNCTION("""COMPUTED_VALUE"""),17930242)</f>
        <v>17930242</v>
      </c>
      <c r="M14" s="419">
        <f ca="1">IFERROR(__xludf.DUMMYFUNCTION("""COMPUTED_VALUE"""),948675)</f>
        <v>948675</v>
      </c>
      <c r="N14" s="419">
        <f ca="1">IFERROR(__xludf.DUMMYFUNCTION("""COMPUTED_VALUE"""),366683)</f>
        <v>366683</v>
      </c>
      <c r="O14" s="419">
        <f ca="1">IFERROR(__xludf.DUMMYFUNCTION("""COMPUTED_VALUE"""),19245600)</f>
        <v>19245600</v>
      </c>
      <c r="P14" s="422">
        <f ca="1">IFERROR(__xludf.DUMMYFUNCTION("""COMPUTED_VALUE"""),0.6914)</f>
        <v>0.69140000000000001</v>
      </c>
      <c r="Q14" s="422">
        <f ca="1">IFERROR(__xludf.DUMMYFUNCTION("""COMPUTED_VALUE"""),0.7421)</f>
        <v>0.74209999999999998</v>
      </c>
      <c r="R14" s="422">
        <f t="shared" ca="1" si="0"/>
        <v>3.6581430133514094E-2</v>
      </c>
      <c r="S14" s="427">
        <f t="shared" ca="1" si="1"/>
        <v>1.4139498295672752E-2</v>
      </c>
      <c r="T14" s="529">
        <v>46240</v>
      </c>
      <c r="U14" s="419">
        <f ca="1">IFERROR(__xludf.DUMMYFUNCTION("""COMPUTED_VALUE"""),1073)</f>
        <v>1073</v>
      </c>
      <c r="V14" s="419">
        <f ca="1">IFERROR(__xludf.DUMMYFUNCTION("""COMPUTED_VALUE"""),331)</f>
        <v>331</v>
      </c>
      <c r="W14" s="419">
        <f ca="1">IFERROR(__xludf.DUMMYFUNCTION("""COMPUTED_VALUE"""),19)</f>
        <v>19</v>
      </c>
      <c r="X14" s="419">
        <f ca="1">IFERROR(__xludf.DUMMYFUNCTION("""COMPUTED_VALUE"""),29949)</f>
        <v>29949</v>
      </c>
      <c r="Y14" s="419">
        <f ca="1">IFERROR(__xludf.DUMMYFUNCTION("""COMPUTED_VALUE"""),723)</f>
        <v>723</v>
      </c>
      <c r="Z14" s="419">
        <f ca="1">IFERROR(__xludf.DUMMYFUNCTION("""COMPUTED_VALUE"""),6483092)</f>
        <v>6483092</v>
      </c>
      <c r="AA14" s="701">
        <f ca="1">IFERROR(__xludf.DUMMYFUNCTION("""COMPUTED_VALUE"""),0.0046)</f>
        <v>4.5999999999999999E-3</v>
      </c>
      <c r="AB14" s="419">
        <f ca="1">IFERROR(__xludf.DUMMYFUNCTION("""COMPUTED_VALUE"""),3)</f>
        <v>3</v>
      </c>
      <c r="AC14" s="419">
        <f ca="1">IFERROR(__xludf.DUMMYFUNCTION("""COMPUTED_VALUE"""),27)</f>
        <v>27</v>
      </c>
      <c r="AD14" s="419">
        <f ca="1">IFERROR(__xludf.DUMMYFUNCTION("""COMPUTED_VALUE"""),0)</f>
        <v>0</v>
      </c>
      <c r="AE14" s="419">
        <f ca="1">IFERROR(__xludf.DUMMYFUNCTION("""COMPUTED_VALUE"""),38)</f>
        <v>38</v>
      </c>
      <c r="AF14" s="419">
        <f ca="1">IFERROR(__xludf.DUMMYFUNCTION("""COMPUTED_VALUE"""),-24)</f>
        <v>-24</v>
      </c>
      <c r="AG14" s="701">
        <f ca="1">IFERROR(__xludf.DUMMYFUNCTION("""COMPUTED_VALUE"""),0.0013)</f>
        <v>1.2999999999999999E-3</v>
      </c>
      <c r="AH14" s="543">
        <f ca="1">IFERROR(__xludf.DUMMYFUNCTION("""COMPUTED_VALUE"""),0)</f>
        <v>0</v>
      </c>
    </row>
    <row r="15" spans="1:34" ht="15.75" customHeight="1">
      <c r="A15" s="529">
        <f ca="1">IFERROR(__xludf.DUMMYFUNCTION("""COMPUTED_VALUE"""),46157)</f>
        <v>46157</v>
      </c>
      <c r="B15" s="701">
        <f ca="1">IFERROR(__xludf.DUMMYFUNCTION("""COMPUTED_VALUE"""),0.8818)</f>
        <v>0.88180000000000003</v>
      </c>
      <c r="C15" s="701">
        <f ca="1">IFERROR(__xludf.DUMMYFUNCTION("""COMPUTED_VALUE"""),0.7051)</f>
        <v>0.70509999999999995</v>
      </c>
      <c r="D15" s="701">
        <f ca="1">IFERROR(__xludf.DUMMYFUNCTION("""COMPUTED_VALUE"""),0.1767)</f>
        <v>0.1767</v>
      </c>
      <c r="E15" s="702">
        <f ca="1">IFERROR(__xludf.DUMMYFUNCTION("""COMPUTED_VALUE"""),0.0652)</f>
        <v>6.5199999999999994E-2</v>
      </c>
      <c r="G15" s="529">
        <v>46239</v>
      </c>
      <c r="H15" s="419">
        <f ca="1">IFERROR(__xludf.DUMMYFUNCTION("""COMPUTED_VALUE"""),12251)</f>
        <v>12251</v>
      </c>
      <c r="I15" s="419">
        <f ca="1">IFERROR(__xludf.DUMMYFUNCTION("""COMPUTED_VALUE"""),-1205)</f>
        <v>-1205</v>
      </c>
      <c r="J15" s="419">
        <f ca="1">IFERROR(__xludf.DUMMYFUNCTION("""COMPUTED_VALUE"""),-1099)</f>
        <v>-1099</v>
      </c>
      <c r="K15" s="419">
        <f ca="1">IFERROR(__xludf.DUMMYFUNCTION("""COMPUTED_VALUE"""),9947)</f>
        <v>9947</v>
      </c>
      <c r="L15" s="419">
        <f ca="1">IFERROR(__xludf.DUMMYFUNCTION("""COMPUTED_VALUE"""),17933430)</f>
        <v>17933430</v>
      </c>
      <c r="M15" s="419">
        <f ca="1">IFERROR(__xludf.DUMMYFUNCTION("""COMPUTED_VALUE"""),948757)</f>
        <v>948757</v>
      </c>
      <c r="N15" s="419">
        <f ca="1">IFERROR(__xludf.DUMMYFUNCTION("""COMPUTED_VALUE"""),367267)</f>
        <v>367267</v>
      </c>
      <c r="O15" s="419">
        <f ca="1">IFERROR(__xludf.DUMMYFUNCTION("""COMPUTED_VALUE"""),19249454)</f>
        <v>19249454</v>
      </c>
      <c r="P15" s="422">
        <f ca="1">IFERROR(__xludf.DUMMYFUNCTION("""COMPUTED_VALUE"""),0.6915)</f>
        <v>0.6915</v>
      </c>
      <c r="Q15" s="422">
        <f ca="1">IFERROR(__xludf.DUMMYFUNCTION("""COMPUTED_VALUE"""),0.7422)</f>
        <v>0.74219999999999997</v>
      </c>
      <c r="R15" s="422">
        <f t="shared" ca="1" si="0"/>
        <v>3.658337894647036E-2</v>
      </c>
      <c r="S15" s="427">
        <f t="shared" ca="1" si="1"/>
        <v>1.416154804184141E-2</v>
      </c>
      <c r="T15" s="529">
        <v>46239</v>
      </c>
      <c r="U15" s="419">
        <f ca="1">IFERROR(__xludf.DUMMYFUNCTION("""COMPUTED_VALUE"""),362)</f>
        <v>362</v>
      </c>
      <c r="V15" s="419">
        <f ca="1">IFERROR(__xludf.DUMMYFUNCTION("""COMPUTED_VALUE"""),1882)</f>
        <v>1882</v>
      </c>
      <c r="W15" s="419">
        <f ca="1">IFERROR(__xludf.DUMMYFUNCTION("""COMPUTED_VALUE"""),19)</f>
        <v>19</v>
      </c>
      <c r="X15" s="419">
        <f ca="1">IFERROR(__xludf.DUMMYFUNCTION("""COMPUTED_VALUE"""),29226)</f>
        <v>29226</v>
      </c>
      <c r="Y15" s="419">
        <f ca="1">IFERROR(__xludf.DUMMYFUNCTION("""COMPUTED_VALUE"""),-1539)</f>
        <v>-1539</v>
      </c>
      <c r="Z15" s="419">
        <f ca="1">IFERROR(__xludf.DUMMYFUNCTION("""COMPUTED_VALUE"""),6483092)</f>
        <v>6483092</v>
      </c>
      <c r="AA15" s="701">
        <f ca="1">IFERROR(__xludf.DUMMYFUNCTION("""COMPUTED_VALUE"""),0.0045)</f>
        <v>4.4999999999999997E-3</v>
      </c>
      <c r="AB15" s="419">
        <f ca="1">IFERROR(__xludf.DUMMYFUNCTION("""COMPUTED_VALUE"""),24)</f>
        <v>24</v>
      </c>
      <c r="AC15" s="419">
        <f ca="1">IFERROR(__xludf.DUMMYFUNCTION("""COMPUTED_VALUE"""),9)</f>
        <v>9</v>
      </c>
      <c r="AD15" s="419">
        <f ca="1">IFERROR(__xludf.DUMMYFUNCTION("""COMPUTED_VALUE"""),0)</f>
        <v>0</v>
      </c>
      <c r="AE15" s="419">
        <f ca="1">IFERROR(__xludf.DUMMYFUNCTION("""COMPUTED_VALUE"""),62)</f>
        <v>62</v>
      </c>
      <c r="AF15" s="419">
        <f ca="1">IFERROR(__xludf.DUMMYFUNCTION("""COMPUTED_VALUE"""),15)</f>
        <v>15</v>
      </c>
      <c r="AG15" s="701">
        <f ca="1">IFERROR(__xludf.DUMMYFUNCTION("""COMPUTED_VALUE"""),0.0021)</f>
        <v>2.0999999999999999E-3</v>
      </c>
      <c r="AH15" s="543">
        <f ca="1">IFERROR(__xludf.DUMMYFUNCTION("""COMPUTED_VALUE"""),4)</f>
        <v>4</v>
      </c>
    </row>
    <row r="16" spans="1:34" ht="15.75" customHeight="1">
      <c r="A16" s="529">
        <f ca="1">IFERROR(__xludf.DUMMYFUNCTION("""COMPUTED_VALUE"""),46150)</f>
        <v>46150</v>
      </c>
      <c r="B16" s="701">
        <f ca="1">IFERROR(__xludf.DUMMYFUNCTION("""COMPUTED_VALUE"""),0.8828)</f>
        <v>0.88280000000000003</v>
      </c>
      <c r="C16" s="701">
        <f ca="1">IFERROR(__xludf.DUMMYFUNCTION("""COMPUTED_VALUE"""),0.7066)</f>
        <v>0.70660000000000001</v>
      </c>
      <c r="D16" s="701">
        <f ca="1">IFERROR(__xludf.DUMMYFUNCTION("""COMPUTED_VALUE"""),0.1762)</f>
        <v>0.1762</v>
      </c>
      <c r="E16" s="702">
        <f ca="1">IFERROR(__xludf.DUMMYFUNCTION("""COMPUTED_VALUE"""),0.0652)</f>
        <v>6.5199999999999994E-2</v>
      </c>
      <c r="G16" s="529">
        <v>46238</v>
      </c>
      <c r="H16" s="419">
        <f ca="1">IFERROR(__xludf.DUMMYFUNCTION("""COMPUTED_VALUE"""),-12430)</f>
        <v>-12430</v>
      </c>
      <c r="I16" s="419">
        <f ca="1">IFERROR(__xludf.DUMMYFUNCTION("""COMPUTED_VALUE"""),434)</f>
        <v>434</v>
      </c>
      <c r="J16" s="419">
        <f ca="1">IFERROR(__xludf.DUMMYFUNCTION("""COMPUTED_VALUE"""),-2327)</f>
        <v>-2327</v>
      </c>
      <c r="K16" s="419">
        <f ca="1">IFERROR(__xludf.DUMMYFUNCTION("""COMPUTED_VALUE"""),-14323)</f>
        <v>-14323</v>
      </c>
      <c r="L16" s="419">
        <f ca="1">IFERROR(__xludf.DUMMYFUNCTION("""COMPUTED_VALUE"""),17920527)</f>
        <v>17920527</v>
      </c>
      <c r="M16" s="419">
        <f ca="1">IFERROR(__xludf.DUMMYFUNCTION("""COMPUTED_VALUE"""),949962)</f>
        <v>949962</v>
      </c>
      <c r="N16" s="419">
        <f ca="1">IFERROR(__xludf.DUMMYFUNCTION("""COMPUTED_VALUE"""),368366)</f>
        <v>368366</v>
      </c>
      <c r="O16" s="419">
        <f ca="1">IFERROR(__xludf.DUMMYFUNCTION("""COMPUTED_VALUE"""),19238855)</f>
        <v>19238855</v>
      </c>
      <c r="P16" s="422">
        <f ca="1">IFERROR(__xludf.DUMMYFUNCTION("""COMPUTED_VALUE"""),0.691)</f>
        <v>0.69099999999999995</v>
      </c>
      <c r="Q16" s="422">
        <f ca="1">IFERROR(__xludf.DUMMYFUNCTION("""COMPUTED_VALUE"""),0.7418)</f>
        <v>0.74180000000000001</v>
      </c>
      <c r="R16" s="422">
        <f t="shared" ca="1" si="0"/>
        <v>3.662971194987736E-2</v>
      </c>
      <c r="S16" s="427">
        <f t="shared" ca="1" si="1"/>
        <v>1.4203873915091892E-2</v>
      </c>
      <c r="T16" s="529">
        <v>46238</v>
      </c>
      <c r="U16" s="419">
        <f ca="1">IFERROR(__xludf.DUMMYFUNCTION("""COMPUTED_VALUE"""),1391)</f>
        <v>1391</v>
      </c>
      <c r="V16" s="419">
        <f ca="1">IFERROR(__xludf.DUMMYFUNCTION("""COMPUTED_VALUE"""),594)</f>
        <v>594</v>
      </c>
      <c r="W16" s="419">
        <f ca="1">IFERROR(__xludf.DUMMYFUNCTION("""COMPUTED_VALUE"""),35)</f>
        <v>35</v>
      </c>
      <c r="X16" s="419">
        <f ca="1">IFERROR(__xludf.DUMMYFUNCTION("""COMPUTED_VALUE"""),30765)</f>
        <v>30765</v>
      </c>
      <c r="Y16" s="419">
        <f ca="1">IFERROR(__xludf.DUMMYFUNCTION("""COMPUTED_VALUE"""),762)</f>
        <v>762</v>
      </c>
      <c r="Z16" s="419">
        <f ca="1">IFERROR(__xludf.DUMMYFUNCTION("""COMPUTED_VALUE"""),6483092)</f>
        <v>6483092</v>
      </c>
      <c r="AA16" s="701">
        <f ca="1">IFERROR(__xludf.DUMMYFUNCTION("""COMPUTED_VALUE"""),0.0047)</f>
        <v>4.7000000000000002E-3</v>
      </c>
      <c r="AB16" s="419">
        <f ca="1">IFERROR(__xludf.DUMMYFUNCTION("""COMPUTED_VALUE"""),4)</f>
        <v>4</v>
      </c>
      <c r="AC16" s="419">
        <f ca="1">IFERROR(__xludf.DUMMYFUNCTION("""COMPUTED_VALUE"""),51)</f>
        <v>51</v>
      </c>
      <c r="AD16" s="419">
        <f ca="1">IFERROR(__xludf.DUMMYFUNCTION("""COMPUTED_VALUE"""),7)</f>
        <v>7</v>
      </c>
      <c r="AE16" s="419">
        <f ca="1">IFERROR(__xludf.DUMMYFUNCTION("""COMPUTED_VALUE"""),47)</f>
        <v>47</v>
      </c>
      <c r="AF16" s="419">
        <f ca="1">IFERROR(__xludf.DUMMYFUNCTION("""COMPUTED_VALUE"""),-54)</f>
        <v>-54</v>
      </c>
      <c r="AG16" s="701">
        <f ca="1">IFERROR(__xludf.DUMMYFUNCTION("""COMPUTED_VALUE"""),0.0015)</f>
        <v>1.5E-3</v>
      </c>
      <c r="AH16" s="543">
        <f ca="1">IFERROR(__xludf.DUMMYFUNCTION("""COMPUTED_VALUE"""),1)</f>
        <v>1</v>
      </c>
    </row>
    <row r="17" spans="1:34" ht="15.75" customHeight="1">
      <c r="A17" s="529">
        <f ca="1">IFERROR(__xludf.DUMMYFUNCTION("""COMPUTED_VALUE"""),46142)</f>
        <v>46142</v>
      </c>
      <c r="B17" s="701">
        <f ca="1">IFERROR(__xludf.DUMMYFUNCTION("""COMPUTED_VALUE"""),0.8832)</f>
        <v>0.88319999999999999</v>
      </c>
      <c r="C17" s="701">
        <f ca="1">IFERROR(__xludf.DUMMYFUNCTION("""COMPUTED_VALUE"""),0.7067)</f>
        <v>0.70669999999999999</v>
      </c>
      <c r="D17" s="701">
        <f ca="1">IFERROR(__xludf.DUMMYFUNCTION("""COMPUTED_VALUE"""),0.1765)</f>
        <v>0.17649999999999999</v>
      </c>
      <c r="E17" s="702">
        <f ca="1">IFERROR(__xludf.DUMMYFUNCTION("""COMPUTED_VALUE"""),0.0652)</f>
        <v>6.5199999999999994E-2</v>
      </c>
      <c r="G17" s="529">
        <v>46237</v>
      </c>
      <c r="H17" s="419">
        <f ca="1">IFERROR(__xludf.DUMMYFUNCTION("""COMPUTED_VALUE"""),-9717)</f>
        <v>-9717</v>
      </c>
      <c r="I17" s="419">
        <f ca="1">IFERROR(__xludf.DUMMYFUNCTION("""COMPUTED_VALUE"""),387)</f>
        <v>387</v>
      </c>
      <c r="J17" s="419">
        <f ca="1">IFERROR(__xludf.DUMMYFUNCTION("""COMPUTED_VALUE"""),-1587)</f>
        <v>-1587</v>
      </c>
      <c r="K17" s="419">
        <f ca="1">IFERROR(__xludf.DUMMYFUNCTION("""COMPUTED_VALUE"""),-10917)</f>
        <v>-10917</v>
      </c>
      <c r="L17" s="419">
        <f ca="1">IFERROR(__xludf.DUMMYFUNCTION("""COMPUTED_VALUE"""),17932607)</f>
        <v>17932607</v>
      </c>
      <c r="M17" s="419">
        <f ca="1">IFERROR(__xludf.DUMMYFUNCTION("""COMPUTED_VALUE"""),949528)</f>
        <v>949528</v>
      </c>
      <c r="N17" s="419">
        <f ca="1">IFERROR(__xludf.DUMMYFUNCTION("""COMPUTED_VALUE"""),370693)</f>
        <v>370693</v>
      </c>
      <c r="O17" s="419">
        <f ca="1">IFERROR(__xludf.DUMMYFUNCTION("""COMPUTED_VALUE"""),19252828)</f>
        <v>19252828</v>
      </c>
      <c r="P17" s="422">
        <f ca="1">IFERROR(__xludf.DUMMYFUNCTION("""COMPUTED_VALUE"""),0.6915)</f>
        <v>0.6915</v>
      </c>
      <c r="Q17" s="422">
        <f ca="1">IFERROR(__xludf.DUMMYFUNCTION("""COMPUTED_VALUE"""),0.7424)</f>
        <v>0.74239999999999995</v>
      </c>
      <c r="R17" s="422">
        <f t="shared" ca="1" si="0"/>
        <v>3.6614788468848955E-2</v>
      </c>
      <c r="S17" s="427">
        <f t="shared" ca="1" si="1"/>
        <v>1.4294308100322502E-2</v>
      </c>
      <c r="T17" s="529">
        <v>46237</v>
      </c>
      <c r="U17" s="419">
        <f ca="1">IFERROR(__xludf.DUMMYFUNCTION("""COMPUTED_VALUE"""),1460)</f>
        <v>1460</v>
      </c>
      <c r="V17" s="419">
        <f ca="1">IFERROR(__xludf.DUMMYFUNCTION("""COMPUTED_VALUE"""),722)</f>
        <v>722</v>
      </c>
      <c r="W17" s="419">
        <f ca="1">IFERROR(__xludf.DUMMYFUNCTION("""COMPUTED_VALUE"""),24)</f>
        <v>24</v>
      </c>
      <c r="X17" s="419">
        <f ca="1">IFERROR(__xludf.DUMMYFUNCTION("""COMPUTED_VALUE"""),30003)</f>
        <v>30003</v>
      </c>
      <c r="Y17" s="419">
        <f ca="1">IFERROR(__xludf.DUMMYFUNCTION("""COMPUTED_VALUE"""),714)</f>
        <v>714</v>
      </c>
      <c r="Z17" s="419">
        <f ca="1">IFERROR(__xludf.DUMMYFUNCTION("""COMPUTED_VALUE"""),6483092)</f>
        <v>6483092</v>
      </c>
      <c r="AA17" s="701">
        <f ca="1">IFERROR(__xludf.DUMMYFUNCTION("""COMPUTED_VALUE"""),0.0046)</f>
        <v>4.5999999999999999E-3</v>
      </c>
      <c r="AB17" s="419">
        <f ca="1">IFERROR(__xludf.DUMMYFUNCTION("""COMPUTED_VALUE"""),14)</f>
        <v>14</v>
      </c>
      <c r="AC17" s="419">
        <f ca="1">IFERROR(__xludf.DUMMYFUNCTION("""COMPUTED_VALUE"""),37)</f>
        <v>37</v>
      </c>
      <c r="AD17" s="419">
        <f ca="1">IFERROR(__xludf.DUMMYFUNCTION("""COMPUTED_VALUE"""),0)</f>
        <v>0</v>
      </c>
      <c r="AE17" s="419">
        <f ca="1">IFERROR(__xludf.DUMMYFUNCTION("""COMPUTED_VALUE"""),101)</f>
        <v>101</v>
      </c>
      <c r="AF17" s="419">
        <f ca="1">IFERROR(__xludf.DUMMYFUNCTION("""COMPUTED_VALUE"""),-23)</f>
        <v>-23</v>
      </c>
      <c r="AG17" s="701">
        <f ca="1">IFERROR(__xludf.DUMMYFUNCTION("""COMPUTED_VALUE"""),0.0034)</f>
        <v>3.3999999999999998E-3</v>
      </c>
      <c r="AH17" s="543">
        <f ca="1">IFERROR(__xludf.DUMMYFUNCTION("""COMPUTED_VALUE"""),0)</f>
        <v>0</v>
      </c>
    </row>
    <row r="18" spans="1:34" ht="15.75" customHeight="1">
      <c r="A18" s="529">
        <f ca="1">IFERROR(__xludf.DUMMYFUNCTION("""COMPUTED_VALUE"""),46136)</f>
        <v>46136</v>
      </c>
      <c r="B18" s="701">
        <f ca="1">IFERROR(__xludf.DUMMYFUNCTION("""COMPUTED_VALUE"""),0.884)</f>
        <v>0.88400000000000001</v>
      </c>
      <c r="C18" s="701">
        <f ca="1">IFERROR(__xludf.DUMMYFUNCTION("""COMPUTED_VALUE"""),0.7098)</f>
        <v>0.70979999999999999</v>
      </c>
      <c r="D18" s="701">
        <f ca="1">IFERROR(__xludf.DUMMYFUNCTION("""COMPUTED_VALUE"""),0.1742)</f>
        <v>0.17419999999999999</v>
      </c>
      <c r="E18" s="702">
        <f ca="1">IFERROR(__xludf.DUMMYFUNCTION("""COMPUTED_VALUE"""),0.0652)</f>
        <v>6.5199999999999994E-2</v>
      </c>
      <c r="G18" s="529">
        <v>46234</v>
      </c>
      <c r="H18" s="419">
        <f ca="1">IFERROR(__xludf.DUMMYFUNCTION("""COMPUTED_VALUE"""),13780)</f>
        <v>13780</v>
      </c>
      <c r="I18" s="419">
        <f ca="1">IFERROR(__xludf.DUMMYFUNCTION("""COMPUTED_VALUE"""),7064)</f>
        <v>7064</v>
      </c>
      <c r="J18" s="419">
        <f ca="1">IFERROR(__xludf.DUMMYFUNCTION("""COMPUTED_VALUE"""),2725)</f>
        <v>2725</v>
      </c>
      <c r="K18" s="419">
        <f ca="1">IFERROR(__xludf.DUMMYFUNCTION("""COMPUTED_VALUE"""),23569)</f>
        <v>23569</v>
      </c>
      <c r="L18" s="419">
        <f ca="1">IFERROR(__xludf.DUMMYFUNCTION("""COMPUTED_VALUE"""),17941743)</f>
        <v>17941743</v>
      </c>
      <c r="M18" s="419">
        <f ca="1">IFERROR(__xludf.DUMMYFUNCTION("""COMPUTED_VALUE"""),949141)</f>
        <v>949141</v>
      </c>
      <c r="N18" s="419">
        <f ca="1">IFERROR(__xludf.DUMMYFUNCTION("""COMPUTED_VALUE"""),372280)</f>
        <v>372280</v>
      </c>
      <c r="O18" s="419">
        <f ca="1">IFERROR(__xludf.DUMMYFUNCTION("""COMPUTED_VALUE"""),19263164)</f>
        <v>19263164</v>
      </c>
      <c r="P18" s="422">
        <f ca="1">IFERROR(__xludf.DUMMYFUNCTION("""COMPUTED_VALUE"""),0.6918)</f>
        <v>0.69179999999999997</v>
      </c>
      <c r="Q18" s="422">
        <f ca="1">IFERROR(__xludf.DUMMYFUNCTION("""COMPUTED_VALUE"""),0.7428)</f>
        <v>0.74280000000000002</v>
      </c>
      <c r="R18" s="422">
        <f t="shared" ca="1" si="0"/>
        <v>3.6597098944065799E-2</v>
      </c>
      <c r="S18" s="427">
        <f t="shared" ca="1" si="1"/>
        <v>1.4354419411759493E-2</v>
      </c>
      <c r="T18" s="529">
        <v>46234</v>
      </c>
      <c r="U18" s="419">
        <f ca="1">IFERROR(__xludf.DUMMYFUNCTION("""COMPUTED_VALUE"""),1340)</f>
        <v>1340</v>
      </c>
      <c r="V18" s="419">
        <f ca="1">IFERROR(__xludf.DUMMYFUNCTION("""COMPUTED_VALUE"""),2674)</f>
        <v>2674</v>
      </c>
      <c r="W18" s="419">
        <f ca="1">IFERROR(__xludf.DUMMYFUNCTION("""COMPUTED_VALUE"""),41)</f>
        <v>41</v>
      </c>
      <c r="X18" s="419">
        <f ca="1">IFERROR(__xludf.DUMMYFUNCTION("""COMPUTED_VALUE"""),29289)</f>
        <v>29289</v>
      </c>
      <c r="Y18" s="419">
        <f ca="1">IFERROR(__xludf.DUMMYFUNCTION("""COMPUTED_VALUE"""),-1375)</f>
        <v>-1375</v>
      </c>
      <c r="Z18" s="419">
        <f ca="1">IFERROR(__xludf.DUMMYFUNCTION("""COMPUTED_VALUE"""),6483092)</f>
        <v>6483092</v>
      </c>
      <c r="AA18" s="701">
        <f ca="1">IFERROR(__xludf.DUMMYFUNCTION("""COMPUTED_VALUE"""),0.0045)</f>
        <v>4.4999999999999997E-3</v>
      </c>
      <c r="AB18" s="419">
        <f ca="1">IFERROR(__xludf.DUMMYFUNCTION("""COMPUTED_VALUE"""),25)</f>
        <v>25</v>
      </c>
      <c r="AC18" s="419">
        <f ca="1">IFERROR(__xludf.DUMMYFUNCTION("""COMPUTED_VALUE"""),7)</f>
        <v>7</v>
      </c>
      <c r="AD18" s="419">
        <f ca="1">IFERROR(__xludf.DUMMYFUNCTION("""COMPUTED_VALUE"""),24)</f>
        <v>24</v>
      </c>
      <c r="AE18" s="419">
        <f ca="1">IFERROR(__xludf.DUMMYFUNCTION("""COMPUTED_VALUE"""),124)</f>
        <v>124</v>
      </c>
      <c r="AF18" s="419">
        <f ca="1">IFERROR(__xludf.DUMMYFUNCTION("""COMPUTED_VALUE"""),-6)</f>
        <v>-6</v>
      </c>
      <c r="AG18" s="701">
        <f ca="1">IFERROR(__xludf.DUMMYFUNCTION("""COMPUTED_VALUE"""),0.0042)</f>
        <v>4.1999999999999997E-3</v>
      </c>
      <c r="AH18" s="543">
        <f ca="1">IFERROR(__xludf.DUMMYFUNCTION("""COMPUTED_VALUE"""),15)</f>
        <v>15</v>
      </c>
    </row>
    <row r="19" spans="1:34" ht="15.75" customHeight="1">
      <c r="A19" s="529">
        <f ca="1">IFERROR(__xludf.DUMMYFUNCTION("""COMPUTED_VALUE"""),46129)</f>
        <v>46129</v>
      </c>
      <c r="B19" s="701">
        <f ca="1">IFERROR(__xludf.DUMMYFUNCTION("""COMPUTED_VALUE"""),0.8842)</f>
        <v>0.88419999999999999</v>
      </c>
      <c r="C19" s="701">
        <f ca="1">IFERROR(__xludf.DUMMYFUNCTION("""COMPUTED_VALUE"""),0.7093)</f>
        <v>0.70930000000000004</v>
      </c>
      <c r="D19" s="701">
        <f ca="1">IFERROR(__xludf.DUMMYFUNCTION("""COMPUTED_VALUE"""),0.1749)</f>
        <v>0.1749</v>
      </c>
      <c r="E19" s="702">
        <f ca="1">IFERROR(__xludf.DUMMYFUNCTION("""COMPUTED_VALUE"""),0.0652)</f>
        <v>6.5199999999999994E-2</v>
      </c>
      <c r="G19" s="529">
        <v>46233</v>
      </c>
      <c r="H19" s="419">
        <f ca="1">IFERROR(__xludf.DUMMYFUNCTION("""COMPUTED_VALUE"""),-3957)</f>
        <v>-3957</v>
      </c>
      <c r="I19" s="419">
        <f ca="1">IFERROR(__xludf.DUMMYFUNCTION("""COMPUTED_VALUE"""),939)</f>
        <v>939</v>
      </c>
      <c r="J19" s="419">
        <f ca="1">IFERROR(__xludf.DUMMYFUNCTION("""COMPUTED_VALUE"""),1638)</f>
        <v>1638</v>
      </c>
      <c r="K19" s="419">
        <f ca="1">IFERROR(__xludf.DUMMYFUNCTION("""COMPUTED_VALUE"""),-1380)</f>
        <v>-1380</v>
      </c>
      <c r="L19" s="419">
        <f ca="1">IFERROR(__xludf.DUMMYFUNCTION("""COMPUTED_VALUE"""),17928533)</f>
        <v>17928533</v>
      </c>
      <c r="M19" s="419">
        <f ca="1">IFERROR(__xludf.DUMMYFUNCTION("""COMPUTED_VALUE"""),942077)</f>
        <v>942077</v>
      </c>
      <c r="N19" s="419">
        <f ca="1">IFERROR(__xludf.DUMMYFUNCTION("""COMPUTED_VALUE"""),369555)</f>
        <v>369555</v>
      </c>
      <c r="O19" s="419">
        <f ca="1">IFERROR(__xludf.DUMMYFUNCTION("""COMPUTED_VALUE"""),19240165)</f>
        <v>19240165</v>
      </c>
      <c r="P19" s="422">
        <f ca="1">IFERROR(__xludf.DUMMYFUNCTION("""COMPUTED_VALUE"""),0.6913)</f>
        <v>0.69130000000000003</v>
      </c>
      <c r="Q19" s="422">
        <f ca="1">IFERROR(__xludf.DUMMYFUNCTION("""COMPUTED_VALUE"""),0.7419)</f>
        <v>0.7419</v>
      </c>
      <c r="R19" s="422">
        <f t="shared" ca="1" si="0"/>
        <v>3.6325215794287241E-2</v>
      </c>
      <c r="S19" s="427">
        <f t="shared" ca="1" si="1"/>
        <v>1.4249541303797695E-2</v>
      </c>
      <c r="T19" s="529">
        <v>46233</v>
      </c>
      <c r="U19" s="419">
        <f ca="1">IFERROR(__xludf.DUMMYFUNCTION("""COMPUTED_VALUE"""),1013)</f>
        <v>1013</v>
      </c>
      <c r="V19" s="419">
        <f ca="1">IFERROR(__xludf.DUMMYFUNCTION("""COMPUTED_VALUE"""),1170)</f>
        <v>1170</v>
      </c>
      <c r="W19" s="419">
        <f ca="1">IFERROR(__xludf.DUMMYFUNCTION("""COMPUTED_VALUE"""),11)</f>
        <v>11</v>
      </c>
      <c r="X19" s="419">
        <f ca="1">IFERROR(__xludf.DUMMYFUNCTION("""COMPUTED_VALUE"""),30664)</f>
        <v>30664</v>
      </c>
      <c r="Y19" s="419">
        <f ca="1">IFERROR(__xludf.DUMMYFUNCTION("""COMPUTED_VALUE"""),-168)</f>
        <v>-168</v>
      </c>
      <c r="Z19" s="419">
        <f ca="1">IFERROR(__xludf.DUMMYFUNCTION("""COMPUTED_VALUE"""),6483092)</f>
        <v>6483092</v>
      </c>
      <c r="AA19" s="701">
        <f ca="1">IFERROR(__xludf.DUMMYFUNCTION("""COMPUTED_VALUE"""),0.0047)</f>
        <v>4.7000000000000002E-3</v>
      </c>
      <c r="AB19" s="419">
        <f ca="1">IFERROR(__xludf.DUMMYFUNCTION("""COMPUTED_VALUE"""),23)</f>
        <v>23</v>
      </c>
      <c r="AC19" s="419">
        <f ca="1">IFERROR(__xludf.DUMMYFUNCTION("""COMPUTED_VALUE"""),123)</f>
        <v>123</v>
      </c>
      <c r="AD19" s="419">
        <f ca="1">IFERROR(__xludf.DUMMYFUNCTION("""COMPUTED_VALUE"""),0)</f>
        <v>0</v>
      </c>
      <c r="AE19" s="419">
        <f ca="1">IFERROR(__xludf.DUMMYFUNCTION("""COMPUTED_VALUE"""),130)</f>
        <v>130</v>
      </c>
      <c r="AF19" s="419">
        <f ca="1">IFERROR(__xludf.DUMMYFUNCTION("""COMPUTED_VALUE"""),-100)</f>
        <v>-100</v>
      </c>
      <c r="AG19" s="701">
        <f ca="1">IFERROR(__xludf.DUMMYFUNCTION("""COMPUTED_VALUE"""),0.0042)</f>
        <v>4.1999999999999997E-3</v>
      </c>
      <c r="AH19" s="543">
        <f ca="1">IFERROR(__xludf.DUMMYFUNCTION("""COMPUTED_VALUE"""),17)</f>
        <v>17</v>
      </c>
    </row>
    <row r="20" spans="1:34" ht="15.75" customHeight="1">
      <c r="A20" s="529">
        <f ca="1">IFERROR(__xludf.DUMMYFUNCTION("""COMPUTED_VALUE"""),46122)</f>
        <v>46122</v>
      </c>
      <c r="B20" s="701">
        <f ca="1">IFERROR(__xludf.DUMMYFUNCTION("""COMPUTED_VALUE"""),0.883)</f>
        <v>0.88300000000000001</v>
      </c>
      <c r="C20" s="701">
        <f ca="1">IFERROR(__xludf.DUMMYFUNCTION("""COMPUTED_VALUE"""),0.7087)</f>
        <v>0.7087</v>
      </c>
      <c r="D20" s="701">
        <f ca="1">IFERROR(__xludf.DUMMYFUNCTION("""COMPUTED_VALUE"""),0.1743)</f>
        <v>0.17430000000000001</v>
      </c>
      <c r="E20" s="702">
        <f ca="1">IFERROR(__xludf.DUMMYFUNCTION("""COMPUTED_VALUE"""),0.0652)</f>
        <v>6.5199999999999994E-2</v>
      </c>
      <c r="G20" s="529">
        <v>46232</v>
      </c>
      <c r="H20" s="419">
        <f ca="1">IFERROR(__xludf.DUMMYFUNCTION("""COMPUTED_VALUE"""),-11211)</f>
        <v>-11211</v>
      </c>
      <c r="I20" s="419">
        <f ca="1">IFERROR(__xludf.DUMMYFUNCTION("""COMPUTED_VALUE"""),1652)</f>
        <v>1652</v>
      </c>
      <c r="J20" s="419">
        <f ca="1">IFERROR(__xludf.DUMMYFUNCTION("""COMPUTED_VALUE"""),4893)</f>
        <v>4893</v>
      </c>
      <c r="K20" s="419">
        <f ca="1">IFERROR(__xludf.DUMMYFUNCTION("""COMPUTED_VALUE"""),-4666)</f>
        <v>-4666</v>
      </c>
      <c r="L20" s="419">
        <f ca="1">IFERROR(__xludf.DUMMYFUNCTION("""COMPUTED_VALUE"""),17935395)</f>
        <v>17935395</v>
      </c>
      <c r="M20" s="419">
        <f ca="1">IFERROR(__xludf.DUMMYFUNCTION("""COMPUTED_VALUE"""),941137)</f>
        <v>941137</v>
      </c>
      <c r="N20" s="419">
        <f ca="1">IFERROR(__xludf.DUMMYFUNCTION("""COMPUTED_VALUE"""),367918)</f>
        <v>367918</v>
      </c>
      <c r="O20" s="419">
        <f ca="1">IFERROR(__xludf.DUMMYFUNCTION("""COMPUTED_VALUE"""),19244450)</f>
        <v>19244450</v>
      </c>
      <c r="P20" s="422">
        <f ca="1">IFERROR(__xludf.DUMMYFUNCTION("""COMPUTED_VALUE"""),0.6916)</f>
        <v>0.69159999999999999</v>
      </c>
      <c r="Q20" s="422">
        <f ca="1">IFERROR(__xludf.DUMMYFUNCTION("""COMPUTED_VALUE"""),0.7421)</f>
        <v>0.74209999999999998</v>
      </c>
      <c r="R20" s="422">
        <f t="shared" ca="1" si="0"/>
        <v>3.6290828788549119E-2</v>
      </c>
      <c r="S20" s="427">
        <f t="shared" ca="1" si="1"/>
        <v>1.4187147191349841E-2</v>
      </c>
      <c r="T20" s="529">
        <v>46232</v>
      </c>
      <c r="U20" s="419">
        <f ca="1">IFERROR(__xludf.DUMMYFUNCTION("""COMPUTED_VALUE"""),1629)</f>
        <v>1629</v>
      </c>
      <c r="V20" s="419">
        <f ca="1">IFERROR(__xludf.DUMMYFUNCTION("""COMPUTED_VALUE"""),2207)</f>
        <v>2207</v>
      </c>
      <c r="W20" s="419">
        <f ca="1">IFERROR(__xludf.DUMMYFUNCTION("""COMPUTED_VALUE"""),117)</f>
        <v>117</v>
      </c>
      <c r="X20" s="419">
        <f ca="1">IFERROR(__xludf.DUMMYFUNCTION("""COMPUTED_VALUE"""),30832)</f>
        <v>30832</v>
      </c>
      <c r="Y20" s="419">
        <f ca="1">IFERROR(__xludf.DUMMYFUNCTION("""COMPUTED_VALUE"""),-695)</f>
        <v>-695</v>
      </c>
      <c r="Z20" s="419">
        <f ca="1">IFERROR(__xludf.DUMMYFUNCTION("""COMPUTED_VALUE"""),6483092)</f>
        <v>6483092</v>
      </c>
      <c r="AA20" s="701">
        <f ca="1">IFERROR(__xludf.DUMMYFUNCTION("""COMPUTED_VALUE"""),0.0048)</f>
        <v>4.7999999999999996E-3</v>
      </c>
      <c r="AB20" s="419">
        <f ca="1">IFERROR(__xludf.DUMMYFUNCTION("""COMPUTED_VALUE"""),151)</f>
        <v>151</v>
      </c>
      <c r="AC20" s="419">
        <f ca="1">IFERROR(__xludf.DUMMYFUNCTION("""COMPUTED_VALUE"""),34)</f>
        <v>34</v>
      </c>
      <c r="AD20" s="419">
        <f ca="1">IFERROR(__xludf.DUMMYFUNCTION("""COMPUTED_VALUE"""),0)</f>
        <v>0</v>
      </c>
      <c r="AE20" s="419">
        <f ca="1">IFERROR(__xludf.DUMMYFUNCTION("""COMPUTED_VALUE"""),230)</f>
        <v>230</v>
      </c>
      <c r="AF20" s="419">
        <f ca="1">IFERROR(__xludf.DUMMYFUNCTION("""COMPUTED_VALUE"""),117)</f>
        <v>117</v>
      </c>
      <c r="AG20" s="701">
        <f ca="1">IFERROR(__xludf.DUMMYFUNCTION("""COMPUTED_VALUE"""),0.0075)</f>
        <v>7.4999999999999997E-3</v>
      </c>
      <c r="AH20" s="543">
        <f ca="1">IFERROR(__xludf.DUMMYFUNCTION("""COMPUTED_VALUE"""),8)</f>
        <v>8</v>
      </c>
    </row>
    <row r="21" spans="1:34" ht="15.75" customHeight="1">
      <c r="A21" s="529">
        <f ca="1">IFERROR(__xludf.DUMMYFUNCTION("""COMPUTED_VALUE"""),46114)</f>
        <v>46114</v>
      </c>
      <c r="B21" s="701">
        <f ca="1">IFERROR(__xludf.DUMMYFUNCTION("""COMPUTED_VALUE"""),0.8822)</f>
        <v>0.88219999999999998</v>
      </c>
      <c r="C21" s="701">
        <f ca="1">IFERROR(__xludf.DUMMYFUNCTION("""COMPUTED_VALUE"""),0.7074)</f>
        <v>0.70740000000000003</v>
      </c>
      <c r="D21" s="701">
        <f ca="1">IFERROR(__xludf.DUMMYFUNCTION("""COMPUTED_VALUE"""),0.1748)</f>
        <v>0.17480000000000001</v>
      </c>
      <c r="E21" s="702">
        <f ca="1">IFERROR(__xludf.DUMMYFUNCTION("""COMPUTED_VALUE"""),0.0652)</f>
        <v>6.5199999999999994E-2</v>
      </c>
      <c r="G21" s="529">
        <v>46231</v>
      </c>
      <c r="H21" s="419">
        <f ca="1">IFERROR(__xludf.DUMMYFUNCTION("""COMPUTED_VALUE"""),-14659)</f>
        <v>-14659</v>
      </c>
      <c r="I21" s="419">
        <f ca="1">IFERROR(__xludf.DUMMYFUNCTION("""COMPUTED_VALUE"""),284)</f>
        <v>284</v>
      </c>
      <c r="J21" s="419">
        <f ca="1">IFERROR(__xludf.DUMMYFUNCTION("""COMPUTED_VALUE"""),5123)</f>
        <v>5123</v>
      </c>
      <c r="K21" s="419">
        <f ca="1">IFERROR(__xludf.DUMMYFUNCTION("""COMPUTED_VALUE"""),-9252)</f>
        <v>-9252</v>
      </c>
      <c r="L21" s="419">
        <f ca="1">IFERROR(__xludf.DUMMYFUNCTION("""COMPUTED_VALUE"""),17949687)</f>
        <v>17949687</v>
      </c>
      <c r="M21" s="419">
        <f ca="1">IFERROR(__xludf.DUMMYFUNCTION("""COMPUTED_VALUE"""),939485)</f>
        <v>939485</v>
      </c>
      <c r="N21" s="419">
        <f ca="1">IFERROR(__xludf.DUMMYFUNCTION("""COMPUTED_VALUE"""),363025)</f>
        <v>363025</v>
      </c>
      <c r="O21" s="419">
        <f ca="1">IFERROR(__xludf.DUMMYFUNCTION("""COMPUTED_VALUE"""),19252197)</f>
        <v>19252197</v>
      </c>
      <c r="P21" s="422">
        <f ca="1">IFERROR(__xludf.DUMMYFUNCTION("""COMPUTED_VALUE"""),0.6921)</f>
        <v>0.69210000000000005</v>
      </c>
      <c r="Q21" s="422">
        <f ca="1">IFERROR(__xludf.DUMMYFUNCTION("""COMPUTED_VALUE"""),0.7423)</f>
        <v>0.74229999999999996</v>
      </c>
      <c r="R21" s="422">
        <f t="shared" ca="1" si="0"/>
        <v>3.6224451629713661E-2</v>
      </c>
      <c r="S21" s="427">
        <f t="shared" ca="1" si="1"/>
        <v>1.3997436417693524E-2</v>
      </c>
      <c r="T21" s="529">
        <v>46231</v>
      </c>
      <c r="U21" s="419">
        <f ca="1">IFERROR(__xludf.DUMMYFUNCTION("""COMPUTED_VALUE"""),809)</f>
        <v>809</v>
      </c>
      <c r="V21" s="419">
        <f ca="1">IFERROR(__xludf.DUMMYFUNCTION("""COMPUTED_VALUE"""),1152)</f>
        <v>1152</v>
      </c>
      <c r="W21" s="419">
        <f ca="1">IFERROR(__xludf.DUMMYFUNCTION("""COMPUTED_VALUE"""),36)</f>
        <v>36</v>
      </c>
      <c r="X21" s="419">
        <f ca="1">IFERROR(__xludf.DUMMYFUNCTION("""COMPUTED_VALUE"""),31527)</f>
        <v>31527</v>
      </c>
      <c r="Y21" s="419">
        <f ca="1">IFERROR(__xludf.DUMMYFUNCTION("""COMPUTED_VALUE"""),-379)</f>
        <v>-379</v>
      </c>
      <c r="Z21" s="419">
        <f ca="1">IFERROR(__xludf.DUMMYFUNCTION("""COMPUTED_VALUE"""),6483092)</f>
        <v>6483092</v>
      </c>
      <c r="AA21" s="701">
        <f ca="1">IFERROR(__xludf.DUMMYFUNCTION("""COMPUTED_VALUE"""),0.0049)</f>
        <v>4.8999999999999998E-3</v>
      </c>
      <c r="AB21" s="419">
        <f ca="1">IFERROR(__xludf.DUMMYFUNCTION("""COMPUTED_VALUE"""),54)</f>
        <v>54</v>
      </c>
      <c r="AC21" s="419">
        <f ca="1">IFERROR(__xludf.DUMMYFUNCTION("""COMPUTED_VALUE"""),5)</f>
        <v>5</v>
      </c>
      <c r="AD21" s="419">
        <f ca="1">IFERROR(__xludf.DUMMYFUNCTION("""COMPUTED_VALUE"""),0)</f>
        <v>0</v>
      </c>
      <c r="AE21" s="419">
        <f ca="1">IFERROR(__xludf.DUMMYFUNCTION("""COMPUTED_VALUE"""),113)</f>
        <v>113</v>
      </c>
      <c r="AF21" s="419">
        <f ca="1">IFERROR(__xludf.DUMMYFUNCTION("""COMPUTED_VALUE"""),49)</f>
        <v>49</v>
      </c>
      <c r="AG21" s="701">
        <f ca="1">IFERROR(__xludf.DUMMYFUNCTION("""COMPUTED_VALUE"""),0.0036)</f>
        <v>3.5999999999999999E-3</v>
      </c>
      <c r="AH21" s="543">
        <f ca="1">IFERROR(__xludf.DUMMYFUNCTION("""COMPUTED_VALUE"""),3)</f>
        <v>3</v>
      </c>
    </row>
    <row r="22" spans="1:34" ht="15.75" customHeight="1">
      <c r="A22" s="529">
        <f ca="1">IFERROR(__xludf.DUMMYFUNCTION("""COMPUTED_VALUE"""),46108)</f>
        <v>46108</v>
      </c>
      <c r="B22" s="701">
        <f ca="1">IFERROR(__xludf.DUMMYFUNCTION("""COMPUTED_VALUE"""),0.8832)</f>
        <v>0.88319999999999999</v>
      </c>
      <c r="C22" s="701">
        <f ca="1">IFERROR(__xludf.DUMMYFUNCTION("""COMPUTED_VALUE"""),0.7092)</f>
        <v>0.70920000000000005</v>
      </c>
      <c r="D22" s="701">
        <f ca="1">IFERROR(__xludf.DUMMYFUNCTION("""COMPUTED_VALUE"""),0.174)</f>
        <v>0.17399999999999999</v>
      </c>
      <c r="E22" s="702">
        <f ca="1">IFERROR(__xludf.DUMMYFUNCTION("""COMPUTED_VALUE"""),0.0652)</f>
        <v>6.5199999999999994E-2</v>
      </c>
      <c r="G22" s="529">
        <v>46230</v>
      </c>
      <c r="H22" s="419">
        <f ca="1">IFERROR(__xludf.DUMMYFUNCTION("""COMPUTED_VALUE"""),-2662)</f>
        <v>-2662</v>
      </c>
      <c r="I22" s="419">
        <f ca="1">IFERROR(__xludf.DUMMYFUNCTION("""COMPUTED_VALUE"""),567)</f>
        <v>567</v>
      </c>
      <c r="J22" s="419">
        <f ca="1">IFERROR(__xludf.DUMMYFUNCTION("""COMPUTED_VALUE"""),1410)</f>
        <v>1410</v>
      </c>
      <c r="K22" s="419">
        <f ca="1">IFERROR(__xludf.DUMMYFUNCTION("""COMPUTED_VALUE"""),-685)</f>
        <v>-685</v>
      </c>
      <c r="L22" s="419">
        <f ca="1">IFERROR(__xludf.DUMMYFUNCTION("""COMPUTED_VALUE"""),17964368)</f>
        <v>17964368</v>
      </c>
      <c r="M22" s="419">
        <f ca="1">IFERROR(__xludf.DUMMYFUNCTION("""COMPUTED_VALUE"""),939201)</f>
        <v>939201</v>
      </c>
      <c r="N22" s="419">
        <f ca="1">IFERROR(__xludf.DUMMYFUNCTION("""COMPUTED_VALUE"""),357901)</f>
        <v>357901</v>
      </c>
      <c r="O22" s="419">
        <f ca="1">IFERROR(__xludf.DUMMYFUNCTION("""COMPUTED_VALUE"""),19261470)</f>
        <v>19261470</v>
      </c>
      <c r="P22" s="422">
        <f ca="1">IFERROR(__xludf.DUMMYFUNCTION("""COMPUTED_VALUE"""),0.6927)</f>
        <v>0.69269999999999998</v>
      </c>
      <c r="Q22" s="422">
        <f ca="1">IFERROR(__xludf.DUMMYFUNCTION("""COMPUTED_VALUE"""),0.7427)</f>
        <v>0.74270000000000003</v>
      </c>
      <c r="R22" s="422">
        <f t="shared" ca="1" si="0"/>
        <v>3.6215275299414929E-2</v>
      </c>
      <c r="S22" s="427">
        <f t="shared" ca="1" si="1"/>
        <v>1.3800542423757963E-2</v>
      </c>
      <c r="T22" s="529">
        <v>46230</v>
      </c>
      <c r="U22" s="419">
        <f ca="1">IFERROR(__xludf.DUMMYFUNCTION("""COMPUTED_VALUE"""),504)</f>
        <v>504</v>
      </c>
      <c r="V22" s="419">
        <f ca="1">IFERROR(__xludf.DUMMYFUNCTION("""COMPUTED_VALUE"""),490)</f>
        <v>490</v>
      </c>
      <c r="W22" s="419">
        <f ca="1">IFERROR(__xludf.DUMMYFUNCTION("""COMPUTED_VALUE"""),23)</f>
        <v>23</v>
      </c>
      <c r="X22" s="419">
        <f ca="1">IFERROR(__xludf.DUMMYFUNCTION("""COMPUTED_VALUE"""),31906)</f>
        <v>31906</v>
      </c>
      <c r="Y22" s="419">
        <f ca="1">IFERROR(__xludf.DUMMYFUNCTION("""COMPUTED_VALUE"""),-9)</f>
        <v>-9</v>
      </c>
      <c r="Z22" s="419">
        <f ca="1">IFERROR(__xludf.DUMMYFUNCTION("""COMPUTED_VALUE"""),6483092)</f>
        <v>6483092</v>
      </c>
      <c r="AA22" s="701">
        <f ca="1">IFERROR(__xludf.DUMMYFUNCTION("""COMPUTED_VALUE"""),0.0049)</f>
        <v>4.8999999999999998E-3</v>
      </c>
      <c r="AB22" s="419">
        <f ca="1">IFERROR(__xludf.DUMMYFUNCTION("""COMPUTED_VALUE"""),2)</f>
        <v>2</v>
      </c>
      <c r="AC22" s="419">
        <f ca="1">IFERROR(__xludf.DUMMYFUNCTION("""COMPUTED_VALUE"""),4)</f>
        <v>4</v>
      </c>
      <c r="AD22" s="419">
        <f ca="1">IFERROR(__xludf.DUMMYFUNCTION("""COMPUTED_VALUE"""),1)</f>
        <v>1</v>
      </c>
      <c r="AE22" s="419">
        <f ca="1">IFERROR(__xludf.DUMMYFUNCTION("""COMPUTED_VALUE"""),64)</f>
        <v>64</v>
      </c>
      <c r="AF22" s="419">
        <f ca="1">IFERROR(__xludf.DUMMYFUNCTION("""COMPUTED_VALUE"""),-3)</f>
        <v>-3</v>
      </c>
      <c r="AG22" s="701">
        <f ca="1">IFERROR(__xludf.DUMMYFUNCTION("""COMPUTED_VALUE"""),0.002)</f>
        <v>2E-3</v>
      </c>
      <c r="AH22" s="543">
        <f ca="1">IFERROR(__xludf.DUMMYFUNCTION("""COMPUTED_VALUE"""),5)</f>
        <v>5</v>
      </c>
    </row>
    <row r="23" spans="1:34" ht="15.75" customHeight="1">
      <c r="A23" s="529">
        <f ca="1">IFERROR(__xludf.DUMMYFUNCTION("""COMPUTED_VALUE"""),46101)</f>
        <v>46101</v>
      </c>
      <c r="B23" s="701">
        <f ca="1">IFERROR(__xludf.DUMMYFUNCTION("""COMPUTED_VALUE"""),0.884)</f>
        <v>0.88400000000000001</v>
      </c>
      <c r="C23" s="701">
        <f ca="1">IFERROR(__xludf.DUMMYFUNCTION("""COMPUTED_VALUE"""),0.711)</f>
        <v>0.71099999999999997</v>
      </c>
      <c r="D23" s="701">
        <f ca="1">IFERROR(__xludf.DUMMYFUNCTION("""COMPUTED_VALUE"""),0.173)</f>
        <v>0.17299999999999999</v>
      </c>
      <c r="E23" s="702">
        <f ca="1">IFERROR(__xludf.DUMMYFUNCTION("""COMPUTED_VALUE"""),0.0652)</f>
        <v>6.5199999999999994E-2</v>
      </c>
      <c r="G23" s="529">
        <v>46227</v>
      </c>
      <c r="H23" s="419">
        <f ca="1">IFERROR(__xludf.DUMMYFUNCTION("""COMPUTED_VALUE"""),-9637)</f>
        <v>-9637</v>
      </c>
      <c r="I23" s="419">
        <f ca="1">IFERROR(__xludf.DUMMYFUNCTION("""COMPUTED_VALUE"""),550)</f>
        <v>550</v>
      </c>
      <c r="J23" s="419">
        <f ca="1">IFERROR(__xludf.DUMMYFUNCTION("""COMPUTED_VALUE"""),305)</f>
        <v>305</v>
      </c>
      <c r="K23" s="419">
        <f ca="1">IFERROR(__xludf.DUMMYFUNCTION("""COMPUTED_VALUE"""),-8782)</f>
        <v>-8782</v>
      </c>
      <c r="L23" s="419">
        <f ca="1">IFERROR(__xludf.DUMMYFUNCTION("""COMPUTED_VALUE"""),17966449)</f>
        <v>17966449</v>
      </c>
      <c r="M23" s="419">
        <f ca="1">IFERROR(__xludf.DUMMYFUNCTION("""COMPUTED_VALUE"""),938634)</f>
        <v>938634</v>
      </c>
      <c r="N23" s="419">
        <f ca="1">IFERROR(__xludf.DUMMYFUNCTION("""COMPUTED_VALUE"""),356491)</f>
        <v>356491</v>
      </c>
      <c r="O23" s="419">
        <f ca="1">IFERROR(__xludf.DUMMYFUNCTION("""COMPUTED_VALUE"""),19261574)</f>
        <v>19261574</v>
      </c>
      <c r="P23" s="422">
        <f ca="1">IFERROR(__xludf.DUMMYFUNCTION("""COMPUTED_VALUE"""),0.6928)</f>
        <v>0.69279999999999997</v>
      </c>
      <c r="Q23" s="422">
        <f ca="1">IFERROR(__xludf.DUMMYFUNCTION("""COMPUTED_VALUE"""),0.7427)</f>
        <v>0.74270000000000003</v>
      </c>
      <c r="R23" s="422">
        <f t="shared" ca="1" si="0"/>
        <v>3.6194444166457153E-2</v>
      </c>
      <c r="S23" s="427">
        <f t="shared" ca="1" si="1"/>
        <v>1.3746565322952799E-2</v>
      </c>
      <c r="T23" s="529">
        <v>46227</v>
      </c>
      <c r="U23" s="419">
        <f ca="1">IFERROR(__xludf.DUMMYFUNCTION("""COMPUTED_VALUE"""),797)</f>
        <v>797</v>
      </c>
      <c r="V23" s="419">
        <f ca="1">IFERROR(__xludf.DUMMYFUNCTION("""COMPUTED_VALUE"""),454)</f>
        <v>454</v>
      </c>
      <c r="W23" s="419">
        <f ca="1">IFERROR(__xludf.DUMMYFUNCTION("""COMPUTED_VALUE"""),360)</f>
        <v>360</v>
      </c>
      <c r="X23" s="419">
        <f ca="1">IFERROR(__xludf.DUMMYFUNCTION("""COMPUTED_VALUE"""),31915)</f>
        <v>31915</v>
      </c>
      <c r="Y23" s="419">
        <f ca="1">IFERROR(__xludf.DUMMYFUNCTION("""COMPUTED_VALUE"""),-17)</f>
        <v>-17</v>
      </c>
      <c r="Z23" s="419">
        <f ca="1">IFERROR(__xludf.DUMMYFUNCTION("""COMPUTED_VALUE"""),6483092)</f>
        <v>6483092</v>
      </c>
      <c r="AA23" s="701">
        <f ca="1">IFERROR(__xludf.DUMMYFUNCTION("""COMPUTED_VALUE"""),0.0049)</f>
        <v>4.8999999999999998E-3</v>
      </c>
      <c r="AB23" s="419">
        <f ca="1">IFERROR(__xludf.DUMMYFUNCTION("""COMPUTED_VALUE"""),5)</f>
        <v>5</v>
      </c>
      <c r="AC23" s="419">
        <f ca="1">IFERROR(__xludf.DUMMYFUNCTION("""COMPUTED_VALUE"""),20)</f>
        <v>20</v>
      </c>
      <c r="AD23" s="419">
        <f ca="1">IFERROR(__xludf.DUMMYFUNCTION("""COMPUTED_VALUE"""),0)</f>
        <v>0</v>
      </c>
      <c r="AE23" s="419">
        <f ca="1">IFERROR(__xludf.DUMMYFUNCTION("""COMPUTED_VALUE"""),67)</f>
        <v>67</v>
      </c>
      <c r="AF23" s="419">
        <f ca="1">IFERROR(__xludf.DUMMYFUNCTION("""COMPUTED_VALUE"""),-15)</f>
        <v>-15</v>
      </c>
      <c r="AG23" s="701">
        <f ca="1">IFERROR(__xludf.DUMMYFUNCTION("""COMPUTED_VALUE"""),0.0021)</f>
        <v>2.0999999999999999E-3</v>
      </c>
      <c r="AH23" s="543">
        <f ca="1">IFERROR(__xludf.DUMMYFUNCTION("""COMPUTED_VALUE"""),0)</f>
        <v>0</v>
      </c>
    </row>
    <row r="24" spans="1:34" ht="15.75" customHeight="1">
      <c r="A24" s="529">
        <f ca="1">IFERROR(__xludf.DUMMYFUNCTION("""COMPUTED_VALUE"""),46094)</f>
        <v>46094</v>
      </c>
      <c r="B24" s="701">
        <f ca="1">IFERROR(__xludf.DUMMYFUNCTION("""COMPUTED_VALUE"""),0.8855)</f>
        <v>0.88549999999999995</v>
      </c>
      <c r="C24" s="701">
        <f ca="1">IFERROR(__xludf.DUMMYFUNCTION("""COMPUTED_VALUE"""),0.7127)</f>
        <v>0.7127</v>
      </c>
      <c r="D24" s="701">
        <f ca="1">IFERROR(__xludf.DUMMYFUNCTION("""COMPUTED_VALUE"""),0.1728)</f>
        <v>0.17280000000000001</v>
      </c>
      <c r="E24" s="702">
        <f ca="1">IFERROR(__xludf.DUMMYFUNCTION("""COMPUTED_VALUE"""),0.0652)</f>
        <v>6.5199999999999994E-2</v>
      </c>
      <c r="G24" s="529">
        <v>46226</v>
      </c>
      <c r="H24" s="419">
        <f ca="1">IFERROR(__xludf.DUMMYFUNCTION("""COMPUTED_VALUE"""),-4614)</f>
        <v>-4614</v>
      </c>
      <c r="I24" s="419">
        <f ca="1">IFERROR(__xludf.DUMMYFUNCTION("""COMPUTED_VALUE"""),-943)</f>
        <v>-943</v>
      </c>
      <c r="J24" s="419">
        <f ca="1">IFERROR(__xludf.DUMMYFUNCTION("""COMPUTED_VALUE"""),38)</f>
        <v>38</v>
      </c>
      <c r="K24" s="419">
        <f ca="1">IFERROR(__xludf.DUMMYFUNCTION("""COMPUTED_VALUE"""),-5519)</f>
        <v>-5519</v>
      </c>
      <c r="L24" s="419">
        <f ca="1">IFERROR(__xludf.DUMMYFUNCTION("""COMPUTED_VALUE"""),17976689)</f>
        <v>17976689</v>
      </c>
      <c r="M24" s="419">
        <f ca="1">IFERROR(__xludf.DUMMYFUNCTION("""COMPUTED_VALUE"""),938084)</f>
        <v>938084</v>
      </c>
      <c r="N24" s="419">
        <f ca="1">IFERROR(__xludf.DUMMYFUNCTION("""COMPUTED_VALUE"""),356185)</f>
        <v>356185</v>
      </c>
      <c r="O24" s="419">
        <f ca="1">IFERROR(__xludf.DUMMYFUNCTION("""COMPUTED_VALUE"""),19270958)</f>
        <v>19270958</v>
      </c>
      <c r="P24" s="422">
        <f ca="1">IFERROR(__xludf.DUMMYFUNCTION("""COMPUTED_VALUE"""),0.6932)</f>
        <v>0.69320000000000004</v>
      </c>
      <c r="Q24" s="422">
        <f ca="1">IFERROR(__xludf.DUMMYFUNCTION("""COMPUTED_VALUE"""),0.7431)</f>
        <v>0.74309999999999998</v>
      </c>
      <c r="R24" s="422">
        <f t="shared" ca="1" si="0"/>
        <v>3.6173503852683885E-2</v>
      </c>
      <c r="S24" s="427">
        <f t="shared" ca="1" si="1"/>
        <v>1.373486752760756E-2</v>
      </c>
      <c r="T24" s="529">
        <v>46226</v>
      </c>
      <c r="U24" s="419">
        <f ca="1">IFERROR(__xludf.DUMMYFUNCTION("""COMPUTED_VALUE"""),551)</f>
        <v>551</v>
      </c>
      <c r="V24" s="419">
        <f ca="1">IFERROR(__xludf.DUMMYFUNCTION("""COMPUTED_VALUE"""),477)</f>
        <v>477</v>
      </c>
      <c r="W24" s="419">
        <f ca="1">IFERROR(__xludf.DUMMYFUNCTION("""COMPUTED_VALUE"""),70)</f>
        <v>70</v>
      </c>
      <c r="X24" s="419">
        <f ca="1">IFERROR(__xludf.DUMMYFUNCTION("""COMPUTED_VALUE"""),31932)</f>
        <v>31932</v>
      </c>
      <c r="Y24" s="419">
        <f ca="1">IFERROR(__xludf.DUMMYFUNCTION("""COMPUTED_VALUE"""),4)</f>
        <v>4</v>
      </c>
      <c r="Z24" s="419">
        <f ca="1">IFERROR(__xludf.DUMMYFUNCTION("""COMPUTED_VALUE"""),6483092)</f>
        <v>6483092</v>
      </c>
      <c r="AA24" s="701">
        <f ca="1">IFERROR(__xludf.DUMMYFUNCTION("""COMPUTED_VALUE"""),0.0049)</f>
        <v>4.8999999999999998E-3</v>
      </c>
      <c r="AB24" s="419">
        <f ca="1">IFERROR(__xludf.DUMMYFUNCTION("""COMPUTED_VALUE"""),13)</f>
        <v>13</v>
      </c>
      <c r="AC24" s="419">
        <f ca="1">IFERROR(__xludf.DUMMYFUNCTION("""COMPUTED_VALUE"""),30)</f>
        <v>30</v>
      </c>
      <c r="AD24" s="419">
        <f ca="1">IFERROR(__xludf.DUMMYFUNCTION("""COMPUTED_VALUE"""),0)</f>
        <v>0</v>
      </c>
      <c r="AE24" s="419">
        <f ca="1">IFERROR(__xludf.DUMMYFUNCTION("""COMPUTED_VALUE"""),82)</f>
        <v>82</v>
      </c>
      <c r="AF24" s="419">
        <f ca="1">IFERROR(__xludf.DUMMYFUNCTION("""COMPUTED_VALUE"""),-17)</f>
        <v>-17</v>
      </c>
      <c r="AG24" s="701">
        <f ca="1">IFERROR(__xludf.DUMMYFUNCTION("""COMPUTED_VALUE"""),0.0026)</f>
        <v>2.5999999999999999E-3</v>
      </c>
      <c r="AH24" s="543">
        <f ca="1">IFERROR(__xludf.DUMMYFUNCTION("""COMPUTED_VALUE"""),0)</f>
        <v>0</v>
      </c>
    </row>
    <row r="25" spans="1:34" ht="15.75" customHeight="1">
      <c r="A25" s="529">
        <f ca="1">IFERROR(__xludf.DUMMYFUNCTION("""COMPUTED_VALUE"""),46087)</f>
        <v>46087</v>
      </c>
      <c r="B25" s="701">
        <f ca="1">IFERROR(__xludf.DUMMYFUNCTION("""COMPUTED_VALUE"""),0.8875)</f>
        <v>0.88749999999999996</v>
      </c>
      <c r="C25" s="701">
        <f ca="1">IFERROR(__xludf.DUMMYFUNCTION("""COMPUTED_VALUE"""),0.7156)</f>
        <v>0.71560000000000001</v>
      </c>
      <c r="D25" s="701">
        <f ca="1">IFERROR(__xludf.DUMMYFUNCTION("""COMPUTED_VALUE"""),0.1719)</f>
        <v>0.1719</v>
      </c>
      <c r="E25" s="702">
        <f ca="1">IFERROR(__xludf.DUMMYFUNCTION("""COMPUTED_VALUE"""),0.0652)</f>
        <v>6.5199999999999994E-2</v>
      </c>
      <c r="G25" s="529">
        <v>46225</v>
      </c>
      <c r="H25" s="419">
        <f ca="1">IFERROR(__xludf.DUMMYFUNCTION("""COMPUTED_VALUE"""),-3539)</f>
        <v>-3539</v>
      </c>
      <c r="I25" s="419">
        <f ca="1">IFERROR(__xludf.DUMMYFUNCTION("""COMPUTED_VALUE"""),1562)</f>
        <v>1562</v>
      </c>
      <c r="J25" s="419">
        <f ca="1">IFERROR(__xludf.DUMMYFUNCTION("""COMPUTED_VALUE"""),-1059)</f>
        <v>-1059</v>
      </c>
      <c r="K25" s="419">
        <f ca="1">IFERROR(__xludf.DUMMYFUNCTION("""COMPUTED_VALUE"""),-3036)</f>
        <v>-3036</v>
      </c>
      <c r="L25" s="419">
        <f ca="1">IFERROR(__xludf.DUMMYFUNCTION("""COMPUTED_VALUE"""),17980933)</f>
        <v>17980933</v>
      </c>
      <c r="M25" s="419">
        <f ca="1">IFERROR(__xludf.DUMMYFUNCTION("""COMPUTED_VALUE"""),939027)</f>
        <v>939027</v>
      </c>
      <c r="N25" s="419">
        <f ca="1">IFERROR(__xludf.DUMMYFUNCTION("""COMPUTED_VALUE"""),356147)</f>
        <v>356147</v>
      </c>
      <c r="O25" s="419">
        <f ca="1">IFERROR(__xludf.DUMMYFUNCTION("""COMPUTED_VALUE"""),19276107)</f>
        <v>19276107</v>
      </c>
      <c r="P25" s="422">
        <f ca="1">IFERROR(__xludf.DUMMYFUNCTION("""COMPUTED_VALUE"""),0.6933)</f>
        <v>0.69330000000000003</v>
      </c>
      <c r="Q25" s="422">
        <f ca="1">IFERROR(__xludf.DUMMYFUNCTION("""COMPUTED_VALUE"""),0.7432)</f>
        <v>0.74319999999999997</v>
      </c>
      <c r="R25" s="422">
        <f t="shared" ca="1" si="0"/>
        <v>3.6206542736130547E-2</v>
      </c>
      <c r="S25" s="427">
        <f t="shared" ca="1" si="1"/>
        <v>1.3732141435597364E-2</v>
      </c>
      <c r="T25" s="529">
        <v>46225</v>
      </c>
      <c r="U25" s="419">
        <f ca="1">IFERROR(__xludf.DUMMYFUNCTION("""COMPUTED_VALUE"""),855)</f>
        <v>855</v>
      </c>
      <c r="V25" s="419">
        <f ca="1">IFERROR(__xludf.DUMMYFUNCTION("""COMPUTED_VALUE"""),662)</f>
        <v>662</v>
      </c>
      <c r="W25" s="419">
        <f ca="1">IFERROR(__xludf.DUMMYFUNCTION("""COMPUTED_VALUE"""),88)</f>
        <v>88</v>
      </c>
      <c r="X25" s="419">
        <f ca="1">IFERROR(__xludf.DUMMYFUNCTION("""COMPUTED_VALUE"""),31928)</f>
        <v>31928</v>
      </c>
      <c r="Y25" s="419">
        <f ca="1">IFERROR(__xludf.DUMMYFUNCTION("""COMPUTED_VALUE"""),105)</f>
        <v>105</v>
      </c>
      <c r="Z25" s="419">
        <f ca="1">IFERROR(__xludf.DUMMYFUNCTION("""COMPUTED_VALUE"""),6483092)</f>
        <v>6483092</v>
      </c>
      <c r="AA25" s="701">
        <f ca="1">IFERROR(__xludf.DUMMYFUNCTION("""COMPUTED_VALUE"""),0.0049)</f>
        <v>4.8999999999999998E-3</v>
      </c>
      <c r="AB25" s="419">
        <f ca="1">IFERROR(__xludf.DUMMYFUNCTION("""COMPUTED_VALUE"""),5)</f>
        <v>5</v>
      </c>
      <c r="AC25" s="419">
        <f ca="1">IFERROR(__xludf.DUMMYFUNCTION("""COMPUTED_VALUE"""),4)</f>
        <v>4</v>
      </c>
      <c r="AD25" s="419">
        <f ca="1">IFERROR(__xludf.DUMMYFUNCTION("""COMPUTED_VALUE"""),0)</f>
        <v>0</v>
      </c>
      <c r="AE25" s="419">
        <f ca="1">IFERROR(__xludf.DUMMYFUNCTION("""COMPUTED_VALUE"""),99)</f>
        <v>99</v>
      </c>
      <c r="AF25" s="419">
        <f ca="1">IFERROR(__xludf.DUMMYFUNCTION("""COMPUTED_VALUE"""),1)</f>
        <v>1</v>
      </c>
      <c r="AG25" s="701">
        <f ca="1">IFERROR(__xludf.DUMMYFUNCTION("""COMPUTED_VALUE"""),0.0031)</f>
        <v>3.0999999999999999E-3</v>
      </c>
      <c r="AH25" s="543">
        <f ca="1">IFERROR(__xludf.DUMMYFUNCTION("""COMPUTED_VALUE"""),3)</f>
        <v>3</v>
      </c>
    </row>
    <row r="26" spans="1:34" ht="15.75" customHeight="1">
      <c r="A26" s="529">
        <f ca="1">IFERROR(__xludf.DUMMYFUNCTION("""COMPUTED_VALUE"""),46079)</f>
        <v>46079</v>
      </c>
      <c r="B26" s="701">
        <f ca="1">IFERROR(__xludf.DUMMYFUNCTION("""COMPUTED_VALUE"""),0.8905)</f>
        <v>0.89049999999999996</v>
      </c>
      <c r="C26" s="701">
        <f ca="1">IFERROR(__xludf.DUMMYFUNCTION("""COMPUTED_VALUE"""),0.7197)</f>
        <v>0.71970000000000001</v>
      </c>
      <c r="D26" s="701">
        <f ca="1">IFERROR(__xludf.DUMMYFUNCTION("""COMPUTED_VALUE"""),0.1708)</f>
        <v>0.17080000000000001</v>
      </c>
      <c r="E26" s="702">
        <f ca="1">IFERROR(__xludf.DUMMYFUNCTION("""COMPUTED_VALUE"""),0.0652)</f>
        <v>6.5199999999999994E-2</v>
      </c>
      <c r="G26" s="529">
        <v>46224</v>
      </c>
      <c r="H26" s="419">
        <f ca="1">IFERROR(__xludf.DUMMYFUNCTION("""COMPUTED_VALUE"""),4976)</f>
        <v>4976</v>
      </c>
      <c r="I26" s="419">
        <f ca="1">IFERROR(__xludf.DUMMYFUNCTION("""COMPUTED_VALUE"""),974)</f>
        <v>974</v>
      </c>
      <c r="J26" s="419">
        <f ca="1">IFERROR(__xludf.DUMMYFUNCTION("""COMPUTED_VALUE"""),214)</f>
        <v>214</v>
      </c>
      <c r="K26" s="419">
        <f ca="1">IFERROR(__xludf.DUMMYFUNCTION("""COMPUTED_VALUE"""),6164)</f>
        <v>6164</v>
      </c>
      <c r="L26" s="419">
        <f ca="1">IFERROR(__xludf.DUMMYFUNCTION("""COMPUTED_VALUE"""),17985305)</f>
        <v>17985305</v>
      </c>
      <c r="M26" s="419">
        <f ca="1">IFERROR(__xludf.DUMMYFUNCTION("""COMPUTED_VALUE"""),937465)</f>
        <v>937465</v>
      </c>
      <c r="N26" s="419">
        <f ca="1">IFERROR(__xludf.DUMMYFUNCTION("""COMPUTED_VALUE"""),357206)</f>
        <v>357206</v>
      </c>
      <c r="O26" s="419">
        <f ca="1">IFERROR(__xludf.DUMMYFUNCTION("""COMPUTED_VALUE"""),19279976)</f>
        <v>19279976</v>
      </c>
      <c r="P26" s="422">
        <f ca="1">IFERROR(__xludf.DUMMYFUNCTION("""COMPUTED_VALUE"""),0.6935)</f>
        <v>0.69350000000000001</v>
      </c>
      <c r="Q26" s="422">
        <f ca="1">IFERROR(__xludf.DUMMYFUNCTION("""COMPUTED_VALUE"""),0.7434)</f>
        <v>0.74339999999999995</v>
      </c>
      <c r="R26" s="422">
        <f t="shared" ca="1" si="0"/>
        <v>3.6147953982431771E-2</v>
      </c>
      <c r="S26" s="427">
        <f t="shared" ca="1" si="1"/>
        <v>1.3773598001257138E-2</v>
      </c>
      <c r="T26" s="529">
        <v>46224</v>
      </c>
      <c r="U26" s="419">
        <f ca="1">IFERROR(__xludf.DUMMYFUNCTION("""COMPUTED_VALUE"""),602)</f>
        <v>602</v>
      </c>
      <c r="V26" s="419">
        <f ca="1">IFERROR(__xludf.DUMMYFUNCTION("""COMPUTED_VALUE"""),1267)</f>
        <v>1267</v>
      </c>
      <c r="W26" s="419">
        <f ca="1">IFERROR(__xludf.DUMMYFUNCTION("""COMPUTED_VALUE"""),60)</f>
        <v>60</v>
      </c>
      <c r="X26" s="419">
        <f ca="1">IFERROR(__xludf.DUMMYFUNCTION("""COMPUTED_VALUE"""),31823)</f>
        <v>31823</v>
      </c>
      <c r="Y26" s="419">
        <f ca="1">IFERROR(__xludf.DUMMYFUNCTION("""COMPUTED_VALUE"""),-725)</f>
        <v>-725</v>
      </c>
      <c r="Z26" s="419">
        <f ca="1">IFERROR(__xludf.DUMMYFUNCTION("""COMPUTED_VALUE"""),6483092)</f>
        <v>6483092</v>
      </c>
      <c r="AA26" s="701">
        <f ca="1">IFERROR(__xludf.DUMMYFUNCTION("""COMPUTED_VALUE"""),0.0049)</f>
        <v>4.8999999999999998E-3</v>
      </c>
      <c r="AB26" s="419">
        <f ca="1">IFERROR(__xludf.DUMMYFUNCTION("""COMPUTED_VALUE"""),12)</f>
        <v>12</v>
      </c>
      <c r="AC26" s="419">
        <f ca="1">IFERROR(__xludf.DUMMYFUNCTION("""COMPUTED_VALUE"""),35)</f>
        <v>35</v>
      </c>
      <c r="AD26" s="419">
        <f ca="1">IFERROR(__xludf.DUMMYFUNCTION("""COMPUTED_VALUE"""),2)</f>
        <v>2</v>
      </c>
      <c r="AE26" s="419">
        <f ca="1">IFERROR(__xludf.DUMMYFUNCTION("""COMPUTED_VALUE"""),98)</f>
        <v>98</v>
      </c>
      <c r="AF26" s="419">
        <f ca="1">IFERROR(__xludf.DUMMYFUNCTION("""COMPUTED_VALUE"""),-25)</f>
        <v>-25</v>
      </c>
      <c r="AG26" s="701">
        <f ca="1">IFERROR(__xludf.DUMMYFUNCTION("""COMPUTED_VALUE"""),0.0031)</f>
        <v>3.0999999999999999E-3</v>
      </c>
      <c r="AH26" s="543">
        <f ca="1">IFERROR(__xludf.DUMMYFUNCTION("""COMPUTED_VALUE"""),1)</f>
        <v>1</v>
      </c>
    </row>
    <row r="27" spans="1:34" ht="15.75" customHeight="1">
      <c r="A27" s="529">
        <f ca="1">IFERROR(__xludf.DUMMYFUNCTION("""COMPUTED_VALUE"""),46066)</f>
        <v>46066</v>
      </c>
      <c r="B27" s="701">
        <f ca="1">IFERROR(__xludf.DUMMYFUNCTION("""COMPUTED_VALUE"""),0.8906)</f>
        <v>0.89059999999999995</v>
      </c>
      <c r="C27" s="701">
        <f ca="1">IFERROR(__xludf.DUMMYFUNCTION("""COMPUTED_VALUE"""),0.721)</f>
        <v>0.72099999999999997</v>
      </c>
      <c r="D27" s="701">
        <f ca="1">IFERROR(__xludf.DUMMYFUNCTION("""COMPUTED_VALUE"""),0.1696)</f>
        <v>0.1696</v>
      </c>
      <c r="E27" s="702">
        <f ca="1">IFERROR(__xludf.DUMMYFUNCTION("""COMPUTED_VALUE"""),0.0652)</f>
        <v>6.5199999999999994E-2</v>
      </c>
      <c r="G27" s="529">
        <v>46223</v>
      </c>
      <c r="H27" s="419">
        <f ca="1">IFERROR(__xludf.DUMMYFUNCTION("""COMPUTED_VALUE"""),-1672)</f>
        <v>-1672</v>
      </c>
      <c r="I27" s="419">
        <f ca="1">IFERROR(__xludf.DUMMYFUNCTION("""COMPUTED_VALUE"""),1049)</f>
        <v>1049</v>
      </c>
      <c r="J27" s="419">
        <f ca="1">IFERROR(__xludf.DUMMYFUNCTION("""COMPUTED_VALUE"""),4626)</f>
        <v>4626</v>
      </c>
      <c r="K27" s="419">
        <f ca="1">IFERROR(__xludf.DUMMYFUNCTION("""COMPUTED_VALUE"""),4003)</f>
        <v>4003</v>
      </c>
      <c r="L27" s="419">
        <f ca="1">IFERROR(__xludf.DUMMYFUNCTION("""COMPUTED_VALUE"""),17980473)</f>
        <v>17980473</v>
      </c>
      <c r="M27" s="419">
        <f ca="1">IFERROR(__xludf.DUMMYFUNCTION("""COMPUTED_VALUE"""),936491)</f>
        <v>936491</v>
      </c>
      <c r="N27" s="419">
        <f ca="1">IFERROR(__xludf.DUMMYFUNCTION("""COMPUTED_VALUE"""),356992)</f>
        <v>356992</v>
      </c>
      <c r="O27" s="419">
        <f ca="1">IFERROR(__xludf.DUMMYFUNCTION("""COMPUTED_VALUE"""),19273956)</f>
        <v>19273956</v>
      </c>
      <c r="P27" s="422">
        <f ca="1">IFERROR(__xludf.DUMMYFUNCTION("""COMPUTED_VALUE"""),0.6933)</f>
        <v>0.69330000000000003</v>
      </c>
      <c r="Q27" s="422">
        <f ca="1">IFERROR(__xludf.DUMMYFUNCTION("""COMPUTED_VALUE"""),0.7432)</f>
        <v>0.74319999999999997</v>
      </c>
      <c r="R27" s="422">
        <f t="shared" ca="1" si="0"/>
        <v>3.6109684672922679E-2</v>
      </c>
      <c r="S27" s="427">
        <f t="shared" ca="1" si="1"/>
        <v>1.3765074678513742E-2</v>
      </c>
      <c r="T27" s="529">
        <v>46223</v>
      </c>
      <c r="U27" s="419">
        <f ca="1">IFERROR(__xludf.DUMMYFUNCTION("""COMPUTED_VALUE"""),931)</f>
        <v>931</v>
      </c>
      <c r="V27" s="419">
        <f ca="1">IFERROR(__xludf.DUMMYFUNCTION("""COMPUTED_VALUE"""),1667)</f>
        <v>1667</v>
      </c>
      <c r="W27" s="419">
        <f ca="1">IFERROR(__xludf.DUMMYFUNCTION("""COMPUTED_VALUE"""),89)</f>
        <v>89</v>
      </c>
      <c r="X27" s="419">
        <f ca="1">IFERROR(__xludf.DUMMYFUNCTION("""COMPUTED_VALUE"""),32548)</f>
        <v>32548</v>
      </c>
      <c r="Y27" s="419">
        <f ca="1">IFERROR(__xludf.DUMMYFUNCTION("""COMPUTED_VALUE"""),-825)</f>
        <v>-825</v>
      </c>
      <c r="Z27" s="419">
        <f ca="1">IFERROR(__xludf.DUMMYFUNCTION("""COMPUTED_VALUE"""),6483092)</f>
        <v>6483092</v>
      </c>
      <c r="AA27" s="701">
        <f ca="1">IFERROR(__xludf.DUMMYFUNCTION("""COMPUTED_VALUE"""),0.005)</f>
        <v>5.0000000000000001E-3</v>
      </c>
      <c r="AB27" s="419">
        <f ca="1">IFERROR(__xludf.DUMMYFUNCTION("""COMPUTED_VALUE"""),51)</f>
        <v>51</v>
      </c>
      <c r="AC27" s="419">
        <f ca="1">IFERROR(__xludf.DUMMYFUNCTION("""COMPUTED_VALUE"""),9)</f>
        <v>9</v>
      </c>
      <c r="AD27" s="419">
        <f ca="1">IFERROR(__xludf.DUMMYFUNCTION("""COMPUTED_VALUE"""),0)</f>
        <v>0</v>
      </c>
      <c r="AE27" s="419">
        <f ca="1">IFERROR(__xludf.DUMMYFUNCTION("""COMPUTED_VALUE"""),123)</f>
        <v>123</v>
      </c>
      <c r="AF27" s="419">
        <f ca="1">IFERROR(__xludf.DUMMYFUNCTION("""COMPUTED_VALUE"""),42)</f>
        <v>42</v>
      </c>
      <c r="AG27" s="701">
        <f ca="1">IFERROR(__xludf.DUMMYFUNCTION("""COMPUTED_VALUE"""),0.0038)</f>
        <v>3.8E-3</v>
      </c>
      <c r="AH27" s="543">
        <f ca="1">IFERROR(__xludf.DUMMYFUNCTION("""COMPUTED_VALUE"""),6)</f>
        <v>6</v>
      </c>
    </row>
    <row r="28" spans="1:34" ht="15.75" customHeight="1">
      <c r="A28" s="529">
        <f ca="1">IFERROR(__xludf.DUMMYFUNCTION("""COMPUTED_VALUE"""),46059)</f>
        <v>46059</v>
      </c>
      <c r="B28" s="701">
        <f ca="1">IFERROR(__xludf.DUMMYFUNCTION("""COMPUTED_VALUE"""),0.8902)</f>
        <v>0.89019999999999999</v>
      </c>
      <c r="C28" s="701">
        <f ca="1">IFERROR(__xludf.DUMMYFUNCTION("""COMPUTED_VALUE"""),0.7207)</f>
        <v>0.72070000000000001</v>
      </c>
      <c r="D28" s="701">
        <f ca="1">IFERROR(__xludf.DUMMYFUNCTION("""COMPUTED_VALUE"""),0.1695)</f>
        <v>0.16950000000000001</v>
      </c>
      <c r="E28" s="702">
        <f ca="1">IFERROR(__xludf.DUMMYFUNCTION("""COMPUTED_VALUE"""),0.0652)</f>
        <v>6.5199999999999994E-2</v>
      </c>
      <c r="G28" s="529">
        <v>46220</v>
      </c>
      <c r="H28" s="419">
        <f ca="1">IFERROR(__xludf.DUMMYFUNCTION("""COMPUTED_VALUE"""),-44184)</f>
        <v>-44184</v>
      </c>
      <c r="I28" s="419">
        <f ca="1">IFERROR(__xludf.DUMMYFUNCTION("""COMPUTED_VALUE"""),1489)</f>
        <v>1489</v>
      </c>
      <c r="J28" s="419">
        <f ca="1">IFERROR(__xludf.DUMMYFUNCTION("""COMPUTED_VALUE"""),2759)</f>
        <v>2759</v>
      </c>
      <c r="K28" s="419">
        <f ca="1">IFERROR(__xludf.DUMMYFUNCTION("""COMPUTED_VALUE"""),-39936)</f>
        <v>-39936</v>
      </c>
      <c r="L28" s="419">
        <f ca="1">IFERROR(__xludf.DUMMYFUNCTION("""COMPUTED_VALUE"""),17982371)</f>
        <v>17982371</v>
      </c>
      <c r="M28" s="419">
        <f ca="1">IFERROR(__xludf.DUMMYFUNCTION("""COMPUTED_VALUE"""),874572)</f>
        <v>874572</v>
      </c>
      <c r="N28" s="419">
        <f ca="1">IFERROR(__xludf.DUMMYFUNCTION("""COMPUTED_VALUE"""),352367)</f>
        <v>352367</v>
      </c>
      <c r="O28" s="419">
        <f ca="1">IFERROR(__xludf.DUMMYFUNCTION("""COMPUTED_VALUE"""),19209310)</f>
        <v>19209310</v>
      </c>
      <c r="P28" s="422">
        <f ca="1">IFERROR(__xludf.DUMMYFUNCTION("""COMPUTED_VALUE"""),0.6934)</f>
        <v>0.69340000000000002</v>
      </c>
      <c r="Q28" s="422">
        <f ca="1">IFERROR(__xludf.DUMMYFUNCTION("""COMPUTED_VALUE"""),0.7407)</f>
        <v>0.74070000000000003</v>
      </c>
      <c r="R28" s="422">
        <f t="shared" ca="1" si="0"/>
        <v>3.3723485340170105E-2</v>
      </c>
      <c r="S28" s="427">
        <f t="shared" ca="1" si="1"/>
        <v>1.3587267096202164E-2</v>
      </c>
      <c r="T28" s="529">
        <v>46220</v>
      </c>
      <c r="U28" s="419">
        <f ca="1">IFERROR(__xludf.DUMMYFUNCTION("""COMPUTED_VALUE"""),2867)</f>
        <v>2867</v>
      </c>
      <c r="V28" s="419">
        <f ca="1">IFERROR(__xludf.DUMMYFUNCTION("""COMPUTED_VALUE"""),2228)</f>
        <v>2228</v>
      </c>
      <c r="W28" s="419">
        <f ca="1">IFERROR(__xludf.DUMMYFUNCTION("""COMPUTED_VALUE"""),184)</f>
        <v>184</v>
      </c>
      <c r="X28" s="419">
        <f ca="1">IFERROR(__xludf.DUMMYFUNCTION("""COMPUTED_VALUE"""),33373)</f>
        <v>33373</v>
      </c>
      <c r="Y28" s="419">
        <f ca="1">IFERROR(__xludf.DUMMYFUNCTION("""COMPUTED_VALUE"""),455)</f>
        <v>455</v>
      </c>
      <c r="Z28" s="419">
        <f ca="1">IFERROR(__xludf.DUMMYFUNCTION("""COMPUTED_VALUE"""),6483092)</f>
        <v>6483092</v>
      </c>
      <c r="AA28" s="701">
        <f ca="1">IFERROR(__xludf.DUMMYFUNCTION("""COMPUTED_VALUE"""),0.0051)</f>
        <v>5.1000000000000004E-3</v>
      </c>
      <c r="AB28" s="419">
        <f ca="1">IFERROR(__xludf.DUMMYFUNCTION("""COMPUTED_VALUE"""),64)</f>
        <v>64</v>
      </c>
      <c r="AC28" s="419">
        <f ca="1">IFERROR(__xludf.DUMMYFUNCTION("""COMPUTED_VALUE"""),21)</f>
        <v>21</v>
      </c>
      <c r="AD28" s="419">
        <f ca="1">IFERROR(__xludf.DUMMYFUNCTION("""COMPUTED_VALUE"""),0)</f>
        <v>0</v>
      </c>
      <c r="AE28" s="419">
        <f ca="1">IFERROR(__xludf.DUMMYFUNCTION("""COMPUTED_VALUE"""),81)</f>
        <v>81</v>
      </c>
      <c r="AF28" s="419">
        <f ca="1">IFERROR(__xludf.DUMMYFUNCTION("""COMPUTED_VALUE"""),43)</f>
        <v>43</v>
      </c>
      <c r="AG28" s="701">
        <f ca="1">IFERROR(__xludf.DUMMYFUNCTION("""COMPUTED_VALUE"""),0.0024)</f>
        <v>2.3999999999999998E-3</v>
      </c>
      <c r="AH28" s="543">
        <f ca="1">IFERROR(__xludf.DUMMYFUNCTION("""COMPUTED_VALUE"""),2)</f>
        <v>2</v>
      </c>
    </row>
    <row r="29" spans="1:34" ht="15.75" customHeight="1">
      <c r="A29" s="529">
        <f ca="1">IFERROR(__xludf.DUMMYFUNCTION("""COMPUTED_VALUE"""),46052)</f>
        <v>46052</v>
      </c>
      <c r="B29" s="701">
        <f ca="1">IFERROR(__xludf.DUMMYFUNCTION("""COMPUTED_VALUE"""),0.891)</f>
        <v>0.89100000000000001</v>
      </c>
      <c r="C29" s="701">
        <f ca="1">IFERROR(__xludf.DUMMYFUNCTION("""COMPUTED_VALUE"""),0.7223)</f>
        <v>0.72230000000000005</v>
      </c>
      <c r="D29" s="701">
        <f ca="1">IFERROR(__xludf.DUMMYFUNCTION("""COMPUTED_VALUE"""),0.1687)</f>
        <v>0.16869999999999999</v>
      </c>
      <c r="E29" s="702">
        <f ca="1">IFERROR(__xludf.DUMMYFUNCTION("""COMPUTED_VALUE"""),0.0652)</f>
        <v>6.5199999999999994E-2</v>
      </c>
      <c r="G29" s="529">
        <v>46219</v>
      </c>
      <c r="H29" s="419">
        <f ca="1">IFERROR(__xludf.DUMMYFUNCTION("""COMPUTED_VALUE"""),-4215)</f>
        <v>-4215</v>
      </c>
      <c r="I29" s="419">
        <f ca="1">IFERROR(__xludf.DUMMYFUNCTION("""COMPUTED_VALUE"""),528)</f>
        <v>528</v>
      </c>
      <c r="J29" s="419">
        <f ca="1">IFERROR(__xludf.DUMMYFUNCTION("""COMPUTED_VALUE"""),1061)</f>
        <v>1061</v>
      </c>
      <c r="K29" s="419">
        <f ca="1">IFERROR(__xludf.DUMMYFUNCTION("""COMPUTED_VALUE"""),-2626)</f>
        <v>-2626</v>
      </c>
      <c r="L29" s="419">
        <f ca="1">IFERROR(__xludf.DUMMYFUNCTION("""COMPUTED_VALUE"""),18025846)</f>
        <v>18025846</v>
      </c>
      <c r="M29" s="419">
        <f ca="1">IFERROR(__xludf.DUMMYFUNCTION("""COMPUTED_VALUE"""),873083)</f>
        <v>873083</v>
      </c>
      <c r="N29" s="419">
        <f ca="1">IFERROR(__xludf.DUMMYFUNCTION("""COMPUTED_VALUE"""),349607)</f>
        <v>349607</v>
      </c>
      <c r="O29" s="419">
        <f ca="1">IFERROR(__xludf.DUMMYFUNCTION("""COMPUTED_VALUE"""),19248536)</f>
        <v>19248536</v>
      </c>
      <c r="P29" s="422">
        <f ca="1">IFERROR(__xludf.DUMMYFUNCTION("""COMPUTED_VALUE"""),0.6951)</f>
        <v>0.69510000000000005</v>
      </c>
      <c r="Q29" s="422">
        <f ca="1">IFERROR(__xludf.DUMMYFUNCTION("""COMPUTED_VALUE"""),0.7422)</f>
        <v>0.74219999999999997</v>
      </c>
      <c r="R29" s="422">
        <f t="shared" ca="1" si="0"/>
        <v>3.3667212806544562E-2</v>
      </c>
      <c r="S29" s="427">
        <f t="shared" ca="1" si="1"/>
        <v>1.3481299335409834E-2</v>
      </c>
      <c r="T29" s="529">
        <v>46219</v>
      </c>
      <c r="U29" s="419">
        <f ca="1">IFERROR(__xludf.DUMMYFUNCTION("""COMPUTED_VALUE"""),1069)</f>
        <v>1069</v>
      </c>
      <c r="V29" s="419">
        <f ca="1">IFERROR(__xludf.DUMMYFUNCTION("""COMPUTED_VALUE"""),867)</f>
        <v>867</v>
      </c>
      <c r="W29" s="419">
        <f ca="1">IFERROR(__xludf.DUMMYFUNCTION("""COMPUTED_VALUE"""),577)</f>
        <v>577</v>
      </c>
      <c r="X29" s="419">
        <f ca="1">IFERROR(__xludf.DUMMYFUNCTION("""COMPUTED_VALUE"""),32918)</f>
        <v>32918</v>
      </c>
      <c r="Y29" s="419">
        <f ca="1">IFERROR(__xludf.DUMMYFUNCTION("""COMPUTED_VALUE"""),-375)</f>
        <v>-375</v>
      </c>
      <c r="Z29" s="419">
        <f ca="1">IFERROR(__xludf.DUMMYFUNCTION("""COMPUTED_VALUE"""),6483092)</f>
        <v>6483092</v>
      </c>
      <c r="AA29" s="701">
        <f ca="1">IFERROR(__xludf.DUMMYFUNCTION("""COMPUTED_VALUE"""),0.0051)</f>
        <v>5.1000000000000004E-3</v>
      </c>
      <c r="AB29" s="419">
        <f ca="1">IFERROR(__xludf.DUMMYFUNCTION("""COMPUTED_VALUE"""),19)</f>
        <v>19</v>
      </c>
      <c r="AC29" s="419">
        <f ca="1">IFERROR(__xludf.DUMMYFUNCTION("""COMPUTED_VALUE"""),0)</f>
        <v>0</v>
      </c>
      <c r="AD29" s="419">
        <f ca="1">IFERROR(__xludf.DUMMYFUNCTION("""COMPUTED_VALUE"""),0)</f>
        <v>0</v>
      </c>
      <c r="AE29" s="419">
        <f ca="1">IFERROR(__xludf.DUMMYFUNCTION("""COMPUTED_VALUE"""),38)</f>
        <v>38</v>
      </c>
      <c r="AF29" s="419">
        <f ca="1">IFERROR(__xludf.DUMMYFUNCTION("""COMPUTED_VALUE"""),19)</f>
        <v>19</v>
      </c>
      <c r="AG29" s="701">
        <f ca="1">IFERROR(__xludf.DUMMYFUNCTION("""COMPUTED_VALUE"""),0.0012)</f>
        <v>1.1999999999999999E-3</v>
      </c>
      <c r="AH29" s="543">
        <f ca="1">IFERROR(__xludf.DUMMYFUNCTION("""COMPUTED_VALUE"""),5)</f>
        <v>5</v>
      </c>
    </row>
    <row r="30" spans="1:34" ht="15.75" customHeight="1">
      <c r="A30" s="529">
        <f ca="1">IFERROR(__xludf.DUMMYFUNCTION("""COMPUTED_VALUE"""),46045)</f>
        <v>46045</v>
      </c>
      <c r="B30" s="701">
        <f ca="1">IFERROR(__xludf.DUMMYFUNCTION("""COMPUTED_VALUE"""),0.891)</f>
        <v>0.89100000000000001</v>
      </c>
      <c r="C30" s="701">
        <f ca="1">IFERROR(__xludf.DUMMYFUNCTION("""COMPUTED_VALUE"""),0.7228)</f>
        <v>0.7228</v>
      </c>
      <c r="D30" s="701">
        <f ca="1">IFERROR(__xludf.DUMMYFUNCTION("""COMPUTED_VALUE"""),0.1682)</f>
        <v>0.16819999999999999</v>
      </c>
      <c r="E30" s="702">
        <f ca="1">IFERROR(__xludf.DUMMYFUNCTION("""COMPUTED_VALUE"""),0.0652)</f>
        <v>6.5199999999999994E-2</v>
      </c>
      <c r="G30" s="529">
        <v>46218</v>
      </c>
      <c r="H30" s="419">
        <f ca="1">IFERROR(__xludf.DUMMYFUNCTION("""COMPUTED_VALUE"""),-3427)</f>
        <v>-3427</v>
      </c>
      <c r="I30" s="419">
        <f ca="1">IFERROR(__xludf.DUMMYFUNCTION("""COMPUTED_VALUE"""),-596)</f>
        <v>-596</v>
      </c>
      <c r="J30" s="419">
        <f ca="1">IFERROR(__xludf.DUMMYFUNCTION("""COMPUTED_VALUE"""),456)</f>
        <v>456</v>
      </c>
      <c r="K30" s="419">
        <f ca="1">IFERROR(__xludf.DUMMYFUNCTION("""COMPUTED_VALUE"""),-3567)</f>
        <v>-3567</v>
      </c>
      <c r="L30" s="419">
        <f ca="1">IFERROR(__xludf.DUMMYFUNCTION("""COMPUTED_VALUE"""),18030066)</f>
        <v>18030066</v>
      </c>
      <c r="M30" s="419">
        <f ca="1">IFERROR(__xludf.DUMMYFUNCTION("""COMPUTED_VALUE"""),872555)</f>
        <v>872555</v>
      </c>
      <c r="N30" s="419">
        <f ca="1">IFERROR(__xludf.DUMMYFUNCTION("""COMPUTED_VALUE"""),348546)</f>
        <v>348546</v>
      </c>
      <c r="O30" s="419">
        <f ca="1">IFERROR(__xludf.DUMMYFUNCTION("""COMPUTED_VALUE"""),19251167)</f>
        <v>19251167</v>
      </c>
      <c r="P30" s="422">
        <f ca="1">IFERROR(__xludf.DUMMYFUNCTION("""COMPUTED_VALUE"""),0.6952)</f>
        <v>0.69520000000000004</v>
      </c>
      <c r="Q30" s="422">
        <f ca="1">IFERROR(__xludf.DUMMYFUNCTION("""COMPUTED_VALUE"""),0.7423)</f>
        <v>0.74229999999999996</v>
      </c>
      <c r="R30" s="422">
        <f t="shared" ca="1" si="0"/>
        <v>3.364381672257883E-2</v>
      </c>
      <c r="S30" s="427">
        <f t="shared" ca="1" si="1"/>
        <v>1.3439173167752132E-2</v>
      </c>
      <c r="T30" s="529">
        <v>46218</v>
      </c>
      <c r="U30" s="419">
        <f ca="1">IFERROR(__xludf.DUMMYFUNCTION("""COMPUTED_VALUE"""),744)</f>
        <v>744</v>
      </c>
      <c r="V30" s="419">
        <f ca="1">IFERROR(__xludf.DUMMYFUNCTION("""COMPUTED_VALUE"""),524)</f>
        <v>524</v>
      </c>
      <c r="W30" s="419">
        <f ca="1">IFERROR(__xludf.DUMMYFUNCTION("""COMPUTED_VALUE"""),114)</f>
        <v>114</v>
      </c>
      <c r="X30" s="419">
        <f ca="1">IFERROR(__xludf.DUMMYFUNCTION("""COMPUTED_VALUE"""),33293)</f>
        <v>33293</v>
      </c>
      <c r="Y30" s="419">
        <f ca="1">IFERROR(__xludf.DUMMYFUNCTION("""COMPUTED_VALUE"""),106)</f>
        <v>106</v>
      </c>
      <c r="Z30" s="419">
        <f ca="1">IFERROR(__xludf.DUMMYFUNCTION("""COMPUTED_VALUE"""),6483092)</f>
        <v>6483092</v>
      </c>
      <c r="AA30" s="701">
        <f ca="1">IFERROR(__xludf.DUMMYFUNCTION("""COMPUTED_VALUE"""),0.0051)</f>
        <v>5.1000000000000004E-3</v>
      </c>
      <c r="AB30" s="419">
        <f ca="1">IFERROR(__xludf.DUMMYFUNCTION("""COMPUTED_VALUE"""),0)</f>
        <v>0</v>
      </c>
      <c r="AC30" s="419">
        <f ca="1">IFERROR(__xludf.DUMMYFUNCTION("""COMPUTED_VALUE"""),41)</f>
        <v>41</v>
      </c>
      <c r="AD30" s="419">
        <f ca="1">IFERROR(__xludf.DUMMYFUNCTION("""COMPUTED_VALUE"""),0)</f>
        <v>0</v>
      </c>
      <c r="AE30" s="419">
        <f ca="1">IFERROR(__xludf.DUMMYFUNCTION("""COMPUTED_VALUE"""),19)</f>
        <v>19</v>
      </c>
      <c r="AF30" s="419">
        <f ca="1">IFERROR(__xludf.DUMMYFUNCTION("""COMPUTED_VALUE"""),-41)</f>
        <v>-41</v>
      </c>
      <c r="AG30" s="701">
        <f ca="1">IFERROR(__xludf.DUMMYFUNCTION("""COMPUTED_VALUE"""),0.0006)</f>
        <v>5.9999999999999995E-4</v>
      </c>
      <c r="AH30" s="543">
        <f ca="1">IFERROR(__xludf.DUMMYFUNCTION("""COMPUTED_VALUE"""),0)</f>
        <v>0</v>
      </c>
    </row>
    <row r="31" spans="1:34" ht="15.75" customHeight="1">
      <c r="A31" s="529">
        <f ca="1">IFERROR(__xludf.DUMMYFUNCTION("""COMPUTED_VALUE"""),46038)</f>
        <v>46038</v>
      </c>
      <c r="B31" s="701">
        <f ca="1">IFERROR(__xludf.DUMMYFUNCTION("""COMPUTED_VALUE"""),0.8916)</f>
        <v>0.89159999999999995</v>
      </c>
      <c r="C31" s="701">
        <f ca="1">IFERROR(__xludf.DUMMYFUNCTION("""COMPUTED_VALUE"""),0.7245)</f>
        <v>0.72450000000000003</v>
      </c>
      <c r="D31" s="701">
        <f ca="1">IFERROR(__xludf.DUMMYFUNCTION("""COMPUTED_VALUE"""),0.1671)</f>
        <v>0.1671</v>
      </c>
      <c r="E31" s="702">
        <f ca="1">IFERROR(__xludf.DUMMYFUNCTION("""COMPUTED_VALUE"""),0.0652)</f>
        <v>6.5199999999999994E-2</v>
      </c>
      <c r="G31" s="529">
        <v>46217</v>
      </c>
      <c r="H31" s="419">
        <f ca="1">IFERROR(__xludf.DUMMYFUNCTION("""COMPUTED_VALUE"""),-12416)</f>
        <v>-12416</v>
      </c>
      <c r="I31" s="419">
        <f ca="1">IFERROR(__xludf.DUMMYFUNCTION("""COMPUTED_VALUE"""),1841)</f>
        <v>1841</v>
      </c>
      <c r="J31" s="419">
        <f ca="1">IFERROR(__xludf.DUMMYFUNCTION("""COMPUTED_VALUE"""),2570)</f>
        <v>2570</v>
      </c>
      <c r="K31" s="419">
        <f ca="1">IFERROR(__xludf.DUMMYFUNCTION("""COMPUTED_VALUE"""),-8005)</f>
        <v>-8005</v>
      </c>
      <c r="L31" s="419">
        <f ca="1">IFERROR(__xludf.DUMMYFUNCTION("""COMPUTED_VALUE"""),18033707)</f>
        <v>18033707</v>
      </c>
      <c r="M31" s="419">
        <f ca="1">IFERROR(__xludf.DUMMYFUNCTION("""COMPUTED_VALUE"""),873151)</f>
        <v>873151</v>
      </c>
      <c r="N31" s="419">
        <f ca="1">IFERROR(__xludf.DUMMYFUNCTION("""COMPUTED_VALUE"""),348090)</f>
        <v>348090</v>
      </c>
      <c r="O31" s="419">
        <f ca="1">IFERROR(__xludf.DUMMYFUNCTION("""COMPUTED_VALUE"""),19254948)</f>
        <v>19254948</v>
      </c>
      <c r="P31" s="422">
        <f ca="1">IFERROR(__xludf.DUMMYFUNCTION("""COMPUTED_VALUE"""),0.6954)</f>
        <v>0.69540000000000002</v>
      </c>
      <c r="Q31" s="422">
        <f ca="1">IFERROR(__xludf.DUMMYFUNCTION("""COMPUTED_VALUE"""),0.7425)</f>
        <v>0.74250000000000005</v>
      </c>
      <c r="R31" s="422">
        <f t="shared" ca="1" si="0"/>
        <v>3.3669683410072038E-2</v>
      </c>
      <c r="S31" s="427">
        <f t="shared" ca="1" si="1"/>
        <v>1.3422741425265478E-2</v>
      </c>
      <c r="T31" s="529">
        <v>46217</v>
      </c>
      <c r="U31" s="419">
        <f ca="1">IFERROR(__xludf.DUMMYFUNCTION("""COMPUTED_VALUE"""),1099)</f>
        <v>1099</v>
      </c>
      <c r="V31" s="419">
        <f ca="1">IFERROR(__xludf.DUMMYFUNCTION("""COMPUTED_VALUE"""),760)</f>
        <v>760</v>
      </c>
      <c r="W31" s="419">
        <f ca="1">IFERROR(__xludf.DUMMYFUNCTION("""COMPUTED_VALUE"""),27)</f>
        <v>27</v>
      </c>
      <c r="X31" s="419">
        <f ca="1">IFERROR(__xludf.DUMMYFUNCTION("""COMPUTED_VALUE"""),33187)</f>
        <v>33187</v>
      </c>
      <c r="Y31" s="419">
        <f ca="1">IFERROR(__xludf.DUMMYFUNCTION("""COMPUTED_VALUE"""),312)</f>
        <v>312</v>
      </c>
      <c r="Z31" s="419">
        <f ca="1">IFERROR(__xludf.DUMMYFUNCTION("""COMPUTED_VALUE"""),6483092)</f>
        <v>6483092</v>
      </c>
      <c r="AA31" s="701">
        <f ca="1">IFERROR(__xludf.DUMMYFUNCTION("""COMPUTED_VALUE"""),0.0051)</f>
        <v>5.1000000000000004E-3</v>
      </c>
      <c r="AB31" s="419">
        <f ca="1">IFERROR(__xludf.DUMMYFUNCTION("""COMPUTED_VALUE"""),14)</f>
        <v>14</v>
      </c>
      <c r="AC31" s="419">
        <f ca="1">IFERROR(__xludf.DUMMYFUNCTION("""COMPUTED_VALUE"""),2)</f>
        <v>2</v>
      </c>
      <c r="AD31" s="419">
        <f ca="1">IFERROR(__xludf.DUMMYFUNCTION("""COMPUTED_VALUE"""),0)</f>
        <v>0</v>
      </c>
      <c r="AE31" s="419">
        <f ca="1">IFERROR(__xludf.DUMMYFUNCTION("""COMPUTED_VALUE"""),60)</f>
        <v>60</v>
      </c>
      <c r="AF31" s="419">
        <f ca="1">IFERROR(__xludf.DUMMYFUNCTION("""COMPUTED_VALUE"""),12)</f>
        <v>12</v>
      </c>
      <c r="AG31" s="701">
        <f ca="1">IFERROR(__xludf.DUMMYFUNCTION("""COMPUTED_VALUE"""),0.0018)</f>
        <v>1.8E-3</v>
      </c>
      <c r="AH31" s="543">
        <f ca="1">IFERROR(__xludf.DUMMYFUNCTION("""COMPUTED_VALUE"""),1)</f>
        <v>1</v>
      </c>
    </row>
    <row r="32" spans="1:34" ht="15.75" customHeight="1">
      <c r="A32" s="529">
        <f ca="1">IFERROR(__xludf.DUMMYFUNCTION("""COMPUTED_VALUE"""),46031)</f>
        <v>46031</v>
      </c>
      <c r="B32" s="701">
        <f ca="1">IFERROR(__xludf.DUMMYFUNCTION("""COMPUTED_VALUE"""),0.8923)</f>
        <v>0.89229999999999998</v>
      </c>
      <c r="C32" s="701">
        <f ca="1">IFERROR(__xludf.DUMMYFUNCTION("""COMPUTED_VALUE"""),0.7252)</f>
        <v>0.72519999999999996</v>
      </c>
      <c r="D32" s="701">
        <f ca="1">IFERROR(__xludf.DUMMYFUNCTION("""COMPUTED_VALUE"""),0.1671)</f>
        <v>0.1671</v>
      </c>
      <c r="E32" s="702">
        <f ca="1">IFERROR(__xludf.DUMMYFUNCTION("""COMPUTED_VALUE"""),0.0652)</f>
        <v>6.5199999999999994E-2</v>
      </c>
      <c r="G32" s="529">
        <v>46216</v>
      </c>
      <c r="H32" s="419">
        <f ca="1">IFERROR(__xludf.DUMMYFUNCTION("""COMPUTED_VALUE"""),-2045)</f>
        <v>-2045</v>
      </c>
      <c r="I32" s="419">
        <f ca="1">IFERROR(__xludf.DUMMYFUNCTION("""COMPUTED_VALUE"""),530)</f>
        <v>530</v>
      </c>
      <c r="J32" s="419">
        <f ca="1">IFERROR(__xludf.DUMMYFUNCTION("""COMPUTED_VALUE"""),623)</f>
        <v>623</v>
      </c>
      <c r="K32" s="419">
        <f ca="1">IFERROR(__xludf.DUMMYFUNCTION("""COMPUTED_VALUE"""),-892)</f>
        <v>-892</v>
      </c>
      <c r="L32" s="419">
        <f ca="1">IFERROR(__xludf.DUMMYFUNCTION("""COMPUTED_VALUE"""),18045379)</f>
        <v>18045379</v>
      </c>
      <c r="M32" s="419">
        <f ca="1">IFERROR(__xludf.DUMMYFUNCTION("""COMPUTED_VALUE"""),871310)</f>
        <v>871310</v>
      </c>
      <c r="N32" s="419">
        <f ca="1">IFERROR(__xludf.DUMMYFUNCTION("""COMPUTED_VALUE"""),345520)</f>
        <v>345520</v>
      </c>
      <c r="O32" s="419">
        <f ca="1">IFERROR(__xludf.DUMMYFUNCTION("""COMPUTED_VALUE"""),19262209)</f>
        <v>19262209</v>
      </c>
      <c r="P32" s="422">
        <f ca="1">IFERROR(__xludf.DUMMYFUNCTION("""COMPUTED_VALUE"""),0.6958)</f>
        <v>0.69579999999999997</v>
      </c>
      <c r="Q32" s="422">
        <f ca="1">IFERROR(__xludf.DUMMYFUNCTION("""COMPUTED_VALUE"""),0.7427)</f>
        <v>0.74270000000000003</v>
      </c>
      <c r="R32" s="422">
        <f t="shared" ca="1" si="0"/>
        <v>3.3596274037802146E-2</v>
      </c>
      <c r="S32" s="427">
        <f t="shared" ca="1" si="1"/>
        <v>1.332268033827386E-2</v>
      </c>
      <c r="T32" s="529">
        <v>46216</v>
      </c>
      <c r="U32" s="419">
        <f ca="1">IFERROR(__xludf.DUMMYFUNCTION("""COMPUTED_VALUE"""),860)</f>
        <v>860</v>
      </c>
      <c r="V32" s="419">
        <f ca="1">IFERROR(__xludf.DUMMYFUNCTION("""COMPUTED_VALUE"""),1019)</f>
        <v>1019</v>
      </c>
      <c r="W32" s="419">
        <f ca="1">IFERROR(__xludf.DUMMYFUNCTION("""COMPUTED_VALUE"""),27)</f>
        <v>27</v>
      </c>
      <c r="X32" s="419">
        <f ca="1">IFERROR(__xludf.DUMMYFUNCTION("""COMPUTED_VALUE"""),32875)</f>
        <v>32875</v>
      </c>
      <c r="Y32" s="419">
        <f ca="1">IFERROR(__xludf.DUMMYFUNCTION("""COMPUTED_VALUE"""),-186)</f>
        <v>-186</v>
      </c>
      <c r="Z32" s="419">
        <f ca="1">IFERROR(__xludf.DUMMYFUNCTION("""COMPUTED_VALUE"""),6483092)</f>
        <v>6483092</v>
      </c>
      <c r="AA32" s="701">
        <f ca="1">IFERROR(__xludf.DUMMYFUNCTION("""COMPUTED_VALUE"""),0.0051)</f>
        <v>5.1000000000000004E-3</v>
      </c>
      <c r="AB32" s="419">
        <f ca="1">IFERROR(__xludf.DUMMYFUNCTION("""COMPUTED_VALUE"""),1)</f>
        <v>1</v>
      </c>
      <c r="AC32" s="419">
        <f ca="1">IFERROR(__xludf.DUMMYFUNCTION("""COMPUTED_VALUE"""),24)</f>
        <v>24</v>
      </c>
      <c r="AD32" s="419">
        <f ca="1">IFERROR(__xludf.DUMMYFUNCTION("""COMPUTED_VALUE"""),0)</f>
        <v>0</v>
      </c>
      <c r="AE32" s="419">
        <f ca="1">IFERROR(__xludf.DUMMYFUNCTION("""COMPUTED_VALUE"""),48)</f>
        <v>48</v>
      </c>
      <c r="AF32" s="419">
        <f ca="1">IFERROR(__xludf.DUMMYFUNCTION("""COMPUTED_VALUE"""),-23)</f>
        <v>-23</v>
      </c>
      <c r="AG32" s="701">
        <f ca="1">IFERROR(__xludf.DUMMYFUNCTION("""COMPUTED_VALUE"""),0.0015)</f>
        <v>1.5E-3</v>
      </c>
      <c r="AH32" s="543">
        <f ca="1">IFERROR(__xludf.DUMMYFUNCTION("""COMPUTED_VALUE"""),0)</f>
        <v>0</v>
      </c>
    </row>
    <row r="33" spans="1:34" ht="15.75" customHeight="1">
      <c r="A33" s="529">
        <f ca="1">IFERROR(__xludf.DUMMYFUNCTION("""COMPUTED_VALUE"""),46024)</f>
        <v>46024</v>
      </c>
      <c r="B33" s="701">
        <f ca="1">IFERROR(__xludf.DUMMYFUNCTION("""COMPUTED_VALUE"""),0.8923)</f>
        <v>0.89229999999999998</v>
      </c>
      <c r="C33" s="701">
        <f ca="1">IFERROR(__xludf.DUMMYFUNCTION("""COMPUTED_VALUE"""),0.7274)</f>
        <v>0.72740000000000005</v>
      </c>
      <c r="D33" s="701">
        <f ca="1">IFERROR(__xludf.DUMMYFUNCTION("""COMPUTED_VALUE"""),0.1649)</f>
        <v>0.16489999999999999</v>
      </c>
      <c r="E33" s="702">
        <f ca="1">IFERROR(__xludf.DUMMYFUNCTION("""COMPUTED_VALUE"""),0.0652)</f>
        <v>6.5199999999999994E-2</v>
      </c>
      <c r="G33" s="529">
        <v>46212</v>
      </c>
      <c r="H33" s="419">
        <f ca="1">IFERROR(__xludf.DUMMYFUNCTION("""COMPUTED_VALUE"""),-12749)</f>
        <v>-12749</v>
      </c>
      <c r="I33" s="419">
        <f ca="1">IFERROR(__xludf.DUMMYFUNCTION("""COMPUTED_VALUE"""),43)</f>
        <v>43</v>
      </c>
      <c r="J33" s="419">
        <f ca="1">IFERROR(__xludf.DUMMYFUNCTION("""COMPUTED_VALUE"""),90)</f>
        <v>90</v>
      </c>
      <c r="K33" s="419">
        <f ca="1">IFERROR(__xludf.DUMMYFUNCTION("""COMPUTED_VALUE"""),-12616)</f>
        <v>-12616</v>
      </c>
      <c r="L33" s="419">
        <f ca="1">IFERROR(__xludf.DUMMYFUNCTION("""COMPUTED_VALUE"""),18048504)</f>
        <v>18048504</v>
      </c>
      <c r="M33" s="419">
        <f ca="1">IFERROR(__xludf.DUMMYFUNCTION("""COMPUTED_VALUE"""),870780)</f>
        <v>870780</v>
      </c>
      <c r="N33" s="419">
        <f ca="1">IFERROR(__xludf.DUMMYFUNCTION("""COMPUTED_VALUE"""),344897)</f>
        <v>344897</v>
      </c>
      <c r="O33" s="419">
        <f ca="1">IFERROR(__xludf.DUMMYFUNCTION("""COMPUTED_VALUE"""),19264181)</f>
        <v>19264181</v>
      </c>
      <c r="P33" s="422">
        <f ca="1">IFERROR(__xludf.DUMMYFUNCTION("""COMPUTED_VALUE"""),0.6959)</f>
        <v>0.69589999999999996</v>
      </c>
      <c r="Q33" s="422">
        <f ca="1">IFERROR(__xludf.DUMMYFUNCTION("""COMPUTED_VALUE"""),0.7428)</f>
        <v>0.74280000000000002</v>
      </c>
      <c r="R33" s="422">
        <f t="shared" ca="1" si="0"/>
        <v>3.3574849306069909E-2</v>
      </c>
      <c r="S33" s="427">
        <f t="shared" ca="1" si="1"/>
        <v>1.3298266842503955E-2</v>
      </c>
      <c r="T33" s="529">
        <v>46212</v>
      </c>
      <c r="U33" s="419">
        <f ca="1">IFERROR(__xludf.DUMMYFUNCTION("""COMPUTED_VALUE"""),1064)</f>
        <v>1064</v>
      </c>
      <c r="V33" s="419">
        <f ca="1">IFERROR(__xludf.DUMMYFUNCTION("""COMPUTED_VALUE"""),272)</f>
        <v>272</v>
      </c>
      <c r="W33" s="419">
        <f ca="1">IFERROR(__xludf.DUMMYFUNCTION("""COMPUTED_VALUE"""),14)</f>
        <v>14</v>
      </c>
      <c r="X33" s="419">
        <f ca="1">IFERROR(__xludf.DUMMYFUNCTION("""COMPUTED_VALUE"""),33061)</f>
        <v>33061</v>
      </c>
      <c r="Y33" s="419">
        <f ca="1">IFERROR(__xludf.DUMMYFUNCTION("""COMPUTED_VALUE"""),778)</f>
        <v>778</v>
      </c>
      <c r="Z33" s="419">
        <f ca="1">IFERROR(__xludf.DUMMYFUNCTION("""COMPUTED_VALUE"""),6483092)</f>
        <v>6483092</v>
      </c>
      <c r="AA33" s="701">
        <f ca="1">IFERROR(__xludf.DUMMYFUNCTION("""COMPUTED_VALUE"""),0.0051)</f>
        <v>5.1000000000000004E-3</v>
      </c>
      <c r="AB33" s="419">
        <f ca="1">IFERROR(__xludf.DUMMYFUNCTION("""COMPUTED_VALUE"""),0)</f>
        <v>0</v>
      </c>
      <c r="AC33" s="419">
        <f ca="1">IFERROR(__xludf.DUMMYFUNCTION("""COMPUTED_VALUE"""),14)</f>
        <v>14</v>
      </c>
      <c r="AD33" s="419">
        <f ca="1">IFERROR(__xludf.DUMMYFUNCTION("""COMPUTED_VALUE"""),0)</f>
        <v>0</v>
      </c>
      <c r="AE33" s="419">
        <f ca="1">IFERROR(__xludf.DUMMYFUNCTION("""COMPUTED_VALUE"""),71)</f>
        <v>71</v>
      </c>
      <c r="AF33" s="419">
        <f ca="1">IFERROR(__xludf.DUMMYFUNCTION("""COMPUTED_VALUE"""),-14)</f>
        <v>-14</v>
      </c>
      <c r="AG33" s="701">
        <f ca="1">IFERROR(__xludf.DUMMYFUNCTION("""COMPUTED_VALUE"""),0.0021)</f>
        <v>2.0999999999999999E-3</v>
      </c>
      <c r="AH33" s="543">
        <f ca="1">IFERROR(__xludf.DUMMYFUNCTION("""COMPUTED_VALUE"""),0)</f>
        <v>0</v>
      </c>
    </row>
    <row r="34" spans="1:34" ht="15.75" customHeight="1">
      <c r="A34" s="530">
        <f ca="1">IFERROR(__xludf.DUMMYFUNCTION("""COMPUTED_VALUE"""),46017)</f>
        <v>46017</v>
      </c>
      <c r="B34" s="701">
        <f ca="1">IFERROR(__xludf.DUMMYFUNCTION("""COMPUTED_VALUE"""),0.891)</f>
        <v>0.89100000000000001</v>
      </c>
      <c r="C34" s="701">
        <f ca="1">IFERROR(__xludf.DUMMYFUNCTION("""COMPUTED_VALUE"""),0.7275)</f>
        <v>0.72750000000000004</v>
      </c>
      <c r="D34" s="701">
        <f ca="1">IFERROR(__xludf.DUMMYFUNCTION("""COMPUTED_VALUE"""),0.1635)</f>
        <v>0.16350000000000001</v>
      </c>
      <c r="E34" s="702">
        <f ca="1">IFERROR(__xludf.DUMMYFUNCTION("""COMPUTED_VALUE"""),0.0652)</f>
        <v>6.5199999999999994E-2</v>
      </c>
      <c r="G34" s="529">
        <v>46211</v>
      </c>
      <c r="H34" s="419">
        <f ca="1">IFERROR(__xludf.DUMMYFUNCTION("""COMPUTED_VALUE"""),-4155)</f>
        <v>-4155</v>
      </c>
      <c r="I34" s="419">
        <f ca="1">IFERROR(__xludf.DUMMYFUNCTION("""COMPUTED_VALUE"""),730)</f>
        <v>730</v>
      </c>
      <c r="J34" s="419">
        <f ca="1">IFERROR(__xludf.DUMMYFUNCTION("""COMPUTED_VALUE"""),468)</f>
        <v>468</v>
      </c>
      <c r="K34" s="419">
        <f ca="1">IFERROR(__xludf.DUMMYFUNCTION("""COMPUTED_VALUE"""),-2957)</f>
        <v>-2957</v>
      </c>
      <c r="L34" s="419">
        <f ca="1">IFERROR(__xludf.DUMMYFUNCTION("""COMPUTED_VALUE"""),18061358)</f>
        <v>18061358</v>
      </c>
      <c r="M34" s="419">
        <f ca="1">IFERROR(__xludf.DUMMYFUNCTION("""COMPUTED_VALUE"""),870737)</f>
        <v>870737</v>
      </c>
      <c r="N34" s="419">
        <f ca="1">IFERROR(__xludf.DUMMYFUNCTION("""COMPUTED_VALUE"""),344808)</f>
        <v>344808</v>
      </c>
      <c r="O34" s="419">
        <f ca="1">IFERROR(__xludf.DUMMYFUNCTION("""COMPUTED_VALUE"""),19276903)</f>
        <v>19276903</v>
      </c>
      <c r="P34" s="422">
        <f ca="1">IFERROR(__xludf.DUMMYFUNCTION("""COMPUTED_VALUE"""),0.6964)</f>
        <v>0.69640000000000002</v>
      </c>
      <c r="Q34" s="422">
        <f ca="1">IFERROR(__xludf.DUMMYFUNCTION("""COMPUTED_VALUE"""),0.7433)</f>
        <v>0.74329999999999996</v>
      </c>
      <c r="R34" s="422">
        <f t="shared" ca="1" si="0"/>
        <v>3.357340277514017E-2</v>
      </c>
      <c r="S34" s="427">
        <f t="shared" ca="1" si="1"/>
        <v>1.3294918975638488E-2</v>
      </c>
      <c r="T34" s="529">
        <v>46211</v>
      </c>
      <c r="U34" s="419">
        <f ca="1">IFERROR(__xludf.DUMMYFUNCTION("""COMPUTED_VALUE"""),807)</f>
        <v>807</v>
      </c>
      <c r="V34" s="419">
        <f ca="1">IFERROR(__xludf.DUMMYFUNCTION("""COMPUTED_VALUE"""),829)</f>
        <v>829</v>
      </c>
      <c r="W34" s="419">
        <f ca="1">IFERROR(__xludf.DUMMYFUNCTION("""COMPUTED_VALUE"""),237)</f>
        <v>237</v>
      </c>
      <c r="X34" s="419">
        <f ca="1">IFERROR(__xludf.DUMMYFUNCTION("""COMPUTED_VALUE"""),32283)</f>
        <v>32283</v>
      </c>
      <c r="Y34" s="419">
        <f ca="1">IFERROR(__xludf.DUMMYFUNCTION("""COMPUTED_VALUE"""),-259)</f>
        <v>-259</v>
      </c>
      <c r="Z34" s="419">
        <f ca="1">IFERROR(__xludf.DUMMYFUNCTION("""COMPUTED_VALUE"""),6483092)</f>
        <v>6483092</v>
      </c>
      <c r="AA34" s="701">
        <f ca="1">IFERROR(__xludf.DUMMYFUNCTION("""COMPUTED_VALUE"""),0.005)</f>
        <v>5.0000000000000001E-3</v>
      </c>
      <c r="AB34" s="419">
        <f ca="1">IFERROR(__xludf.DUMMYFUNCTION("""COMPUTED_VALUE"""),4)</f>
        <v>4</v>
      </c>
      <c r="AC34" s="419">
        <f ca="1">IFERROR(__xludf.DUMMYFUNCTION("""COMPUTED_VALUE"""),8)</f>
        <v>8</v>
      </c>
      <c r="AD34" s="419">
        <f ca="1">IFERROR(__xludf.DUMMYFUNCTION("""COMPUTED_VALUE"""),0)</f>
        <v>0</v>
      </c>
      <c r="AE34" s="419">
        <f ca="1">IFERROR(__xludf.DUMMYFUNCTION("""COMPUTED_VALUE"""),85)</f>
        <v>85</v>
      </c>
      <c r="AF34" s="419">
        <f ca="1">IFERROR(__xludf.DUMMYFUNCTION("""COMPUTED_VALUE"""),-4)</f>
        <v>-4</v>
      </c>
      <c r="AG34" s="701">
        <f ca="1">IFERROR(__xludf.DUMMYFUNCTION("""COMPUTED_VALUE"""),0.0026)</f>
        <v>2.5999999999999999E-3</v>
      </c>
      <c r="AH34" s="543">
        <f ca="1">IFERROR(__xludf.DUMMYFUNCTION("""COMPUTED_VALUE"""),0)</f>
        <v>0</v>
      </c>
    </row>
    <row r="35" spans="1:34" ht="15.75" customHeight="1">
      <c r="A35" s="530">
        <f ca="1">IFERROR(__xludf.DUMMYFUNCTION("""COMPUTED_VALUE"""),46010)</f>
        <v>46010</v>
      </c>
      <c r="B35" s="701">
        <f ca="1">IFERROR(__xludf.DUMMYFUNCTION("""COMPUTED_VALUE"""),0.8907)</f>
        <v>0.89070000000000005</v>
      </c>
      <c r="C35" s="701">
        <f ca="1">IFERROR(__xludf.DUMMYFUNCTION("""COMPUTED_VALUE"""),0.7269)</f>
        <v>0.72689999999999999</v>
      </c>
      <c r="D35" s="701">
        <f ca="1">IFERROR(__xludf.DUMMYFUNCTION("""COMPUTED_VALUE"""),0.1638)</f>
        <v>0.1638</v>
      </c>
      <c r="E35" s="702">
        <f ca="1">IFERROR(__xludf.DUMMYFUNCTION("""COMPUTED_VALUE"""),0.0652)</f>
        <v>6.5199999999999994E-2</v>
      </c>
      <c r="G35" s="529">
        <v>46210</v>
      </c>
      <c r="H35" s="419">
        <f ca="1">IFERROR(__xludf.DUMMYFUNCTION("""COMPUTED_VALUE"""),83)</f>
        <v>83</v>
      </c>
      <c r="I35" s="419">
        <f ca="1">IFERROR(__xludf.DUMMYFUNCTION("""COMPUTED_VALUE"""),539)</f>
        <v>539</v>
      </c>
      <c r="J35" s="419">
        <f ca="1">IFERROR(__xludf.DUMMYFUNCTION("""COMPUTED_VALUE"""),-237)</f>
        <v>-237</v>
      </c>
      <c r="K35" s="419">
        <f ca="1">IFERROR(__xludf.DUMMYFUNCTION("""COMPUTED_VALUE"""),385)</f>
        <v>385</v>
      </c>
      <c r="L35" s="419">
        <f ca="1">IFERROR(__xludf.DUMMYFUNCTION("""COMPUTED_VALUE"""),18065708)</f>
        <v>18065708</v>
      </c>
      <c r="M35" s="419">
        <f ca="1">IFERROR(__xludf.DUMMYFUNCTION("""COMPUTED_VALUE"""),870007)</f>
        <v>870007</v>
      </c>
      <c r="N35" s="419">
        <f ca="1">IFERROR(__xludf.DUMMYFUNCTION("""COMPUTED_VALUE"""),344339)</f>
        <v>344339</v>
      </c>
      <c r="O35" s="419">
        <f ca="1">IFERROR(__xludf.DUMMYFUNCTION("""COMPUTED_VALUE"""),19280054)</f>
        <v>19280054</v>
      </c>
      <c r="P35" s="422">
        <f ca="1">IFERROR(__xludf.DUMMYFUNCTION("""COMPUTED_VALUE"""),0.6966)</f>
        <v>0.6966</v>
      </c>
      <c r="Q35" s="422">
        <f ca="1">IFERROR(__xludf.DUMMYFUNCTION("""COMPUTED_VALUE"""),0.7434)</f>
        <v>0.74339999999999995</v>
      </c>
      <c r="R35" s="422">
        <f t="shared" ca="1" si="0"/>
        <v>3.354681013331999E-2</v>
      </c>
      <c r="S35" s="427">
        <f t="shared" ca="1" si="1"/>
        <v>1.3277450703841776E-2</v>
      </c>
      <c r="T35" s="529">
        <v>46210</v>
      </c>
      <c r="U35" s="419">
        <f ca="1">IFERROR(__xludf.DUMMYFUNCTION("""COMPUTED_VALUE"""),679)</f>
        <v>679</v>
      </c>
      <c r="V35" s="419">
        <f ca="1">IFERROR(__xludf.DUMMYFUNCTION("""COMPUTED_VALUE"""),2231)</f>
        <v>2231</v>
      </c>
      <c r="W35" s="419">
        <f ca="1">IFERROR(__xludf.DUMMYFUNCTION("""COMPUTED_VALUE"""),17)</f>
        <v>17</v>
      </c>
      <c r="X35" s="419">
        <f ca="1">IFERROR(__xludf.DUMMYFUNCTION("""COMPUTED_VALUE"""),32542)</f>
        <v>32542</v>
      </c>
      <c r="Y35" s="419">
        <f ca="1">IFERROR(__xludf.DUMMYFUNCTION("""COMPUTED_VALUE"""),-1569)</f>
        <v>-1569</v>
      </c>
      <c r="Z35" s="419">
        <f ca="1">IFERROR(__xludf.DUMMYFUNCTION("""COMPUTED_VALUE"""),6483092)</f>
        <v>6483092</v>
      </c>
      <c r="AA35" s="701">
        <f ca="1">IFERROR(__xludf.DUMMYFUNCTION("""COMPUTED_VALUE"""),0.005)</f>
        <v>5.0000000000000001E-3</v>
      </c>
      <c r="AB35" s="419">
        <f ca="1">IFERROR(__xludf.DUMMYFUNCTION("""COMPUTED_VALUE"""),28)</f>
        <v>28</v>
      </c>
      <c r="AC35" s="419">
        <f ca="1">IFERROR(__xludf.DUMMYFUNCTION("""COMPUTED_VALUE"""),0)</f>
        <v>0</v>
      </c>
      <c r="AD35" s="419">
        <f ca="1">IFERROR(__xludf.DUMMYFUNCTION("""COMPUTED_VALUE"""),0)</f>
        <v>0</v>
      </c>
      <c r="AE35" s="419">
        <f ca="1">IFERROR(__xludf.DUMMYFUNCTION("""COMPUTED_VALUE"""),89)</f>
        <v>89</v>
      </c>
      <c r="AF35" s="419">
        <f ca="1">IFERROR(__xludf.DUMMYFUNCTION("""COMPUTED_VALUE"""),28)</f>
        <v>28</v>
      </c>
      <c r="AG35" s="701">
        <f ca="1">IFERROR(__xludf.DUMMYFUNCTION("""COMPUTED_VALUE"""),0.0027)</f>
        <v>2.7000000000000001E-3</v>
      </c>
      <c r="AH35" s="543">
        <f ca="1">IFERROR(__xludf.DUMMYFUNCTION("""COMPUTED_VALUE"""),0)</f>
        <v>0</v>
      </c>
    </row>
    <row r="36" spans="1:34" ht="15.75" customHeight="1">
      <c r="A36" s="530">
        <f ca="1">IFERROR(__xludf.DUMMYFUNCTION("""COMPUTED_VALUE"""),46003)</f>
        <v>46003</v>
      </c>
      <c r="B36" s="701">
        <f ca="1">IFERROR(__xludf.DUMMYFUNCTION("""COMPUTED_VALUE"""),0.8918)</f>
        <v>0.89180000000000004</v>
      </c>
      <c r="C36" s="701">
        <f ca="1">IFERROR(__xludf.DUMMYFUNCTION("""COMPUTED_VALUE"""),0.7285)</f>
        <v>0.72850000000000004</v>
      </c>
      <c r="D36" s="701">
        <f ca="1">IFERROR(__xludf.DUMMYFUNCTION("""COMPUTED_VALUE"""),0.1633)</f>
        <v>0.1633</v>
      </c>
      <c r="E36" s="702">
        <f ca="1">IFERROR(__xludf.DUMMYFUNCTION("""COMPUTED_VALUE"""),0.0652)</f>
        <v>6.5199999999999994E-2</v>
      </c>
      <c r="G36" s="529">
        <v>46209</v>
      </c>
      <c r="H36" s="419">
        <f ca="1">IFERROR(__xludf.DUMMYFUNCTION("""COMPUTED_VALUE"""),-241)</f>
        <v>-241</v>
      </c>
      <c r="I36" s="419">
        <f ca="1">IFERROR(__xludf.DUMMYFUNCTION("""COMPUTED_VALUE"""),380)</f>
        <v>380</v>
      </c>
      <c r="J36" s="419">
        <f ca="1">IFERROR(__xludf.DUMMYFUNCTION("""COMPUTED_VALUE"""),119)</f>
        <v>119</v>
      </c>
      <c r="K36" s="419">
        <f ca="1">IFERROR(__xludf.DUMMYFUNCTION("""COMPUTED_VALUE"""),258)</f>
        <v>258</v>
      </c>
      <c r="L36" s="419">
        <f ca="1">IFERROR(__xludf.DUMMYFUNCTION("""COMPUTED_VALUE"""),18066247)</f>
        <v>18066247</v>
      </c>
      <c r="M36" s="419">
        <f ca="1">IFERROR(__xludf.DUMMYFUNCTION("""COMPUTED_VALUE"""),869468)</f>
        <v>869468</v>
      </c>
      <c r="N36" s="419">
        <f ca="1">IFERROR(__xludf.DUMMYFUNCTION("""COMPUTED_VALUE"""),344577)</f>
        <v>344577</v>
      </c>
      <c r="O36" s="419">
        <f ca="1">IFERROR(__xludf.DUMMYFUNCTION("""COMPUTED_VALUE"""),19280292)</f>
        <v>19280292</v>
      </c>
      <c r="P36" s="422">
        <f ca="1">IFERROR(__xludf.DUMMYFUNCTION("""COMPUTED_VALUE"""),0.6966)</f>
        <v>0.6966</v>
      </c>
      <c r="Q36" s="422">
        <f ca="1">IFERROR(__xludf.DUMMYFUNCTION("""COMPUTED_VALUE"""),0.7434)</f>
        <v>0.74339999999999995</v>
      </c>
      <c r="R36" s="422">
        <f t="shared" ca="1" si="0"/>
        <v>3.3525026465098147E-2</v>
      </c>
      <c r="S36" s="427">
        <f t="shared" ca="1" si="1"/>
        <v>1.3286231401574439E-2</v>
      </c>
      <c r="T36" s="529">
        <v>46209</v>
      </c>
      <c r="U36" s="419">
        <f ca="1">IFERROR(__xludf.DUMMYFUNCTION("""COMPUTED_VALUE"""),710)</f>
        <v>710</v>
      </c>
      <c r="V36" s="419">
        <f ca="1">IFERROR(__xludf.DUMMYFUNCTION("""COMPUTED_VALUE"""),770)</f>
        <v>770</v>
      </c>
      <c r="W36" s="419">
        <f ca="1">IFERROR(__xludf.DUMMYFUNCTION("""COMPUTED_VALUE"""),338)</f>
        <v>338</v>
      </c>
      <c r="X36" s="419">
        <f ca="1">IFERROR(__xludf.DUMMYFUNCTION("""COMPUTED_VALUE"""),34111)</f>
        <v>34111</v>
      </c>
      <c r="Y36" s="419">
        <f ca="1">IFERROR(__xludf.DUMMYFUNCTION("""COMPUTED_VALUE"""),-398)</f>
        <v>-398</v>
      </c>
      <c r="Z36" s="419">
        <f ca="1">IFERROR(__xludf.DUMMYFUNCTION("""COMPUTED_VALUE"""),6483092)</f>
        <v>6483092</v>
      </c>
      <c r="AA36" s="701">
        <f ca="1">IFERROR(__xludf.DUMMYFUNCTION("""COMPUTED_VALUE"""),0.0053)</f>
        <v>5.3E-3</v>
      </c>
      <c r="AB36" s="419">
        <f ca="1">IFERROR(__xludf.DUMMYFUNCTION("""COMPUTED_VALUE"""),31)</f>
        <v>31</v>
      </c>
      <c r="AC36" s="419">
        <f ca="1">IFERROR(__xludf.DUMMYFUNCTION("""COMPUTED_VALUE"""),1)</f>
        <v>1</v>
      </c>
      <c r="AD36" s="419">
        <f ca="1">IFERROR(__xludf.DUMMYFUNCTION("""COMPUTED_VALUE"""),0)</f>
        <v>0</v>
      </c>
      <c r="AE36" s="419">
        <f ca="1">IFERROR(__xludf.DUMMYFUNCTION("""COMPUTED_VALUE"""),61)</f>
        <v>61</v>
      </c>
      <c r="AF36" s="419">
        <f ca="1">IFERROR(__xludf.DUMMYFUNCTION("""COMPUTED_VALUE"""),30)</f>
        <v>30</v>
      </c>
      <c r="AG36" s="701">
        <f ca="1">IFERROR(__xludf.DUMMYFUNCTION("""COMPUTED_VALUE"""),0.0018)</f>
        <v>1.8E-3</v>
      </c>
      <c r="AH36" s="543">
        <f ca="1">IFERROR(__xludf.DUMMYFUNCTION("""COMPUTED_VALUE"""),0)</f>
        <v>0</v>
      </c>
    </row>
    <row r="37" spans="1:34" ht="15.75" customHeight="1" thickBot="1">
      <c r="A37" s="531">
        <f ca="1">IFERROR(__xludf.DUMMYFUNCTION("""COMPUTED_VALUE"""),45996)</f>
        <v>45996</v>
      </c>
      <c r="B37" s="703">
        <f ca="1">IFERROR(__xludf.DUMMYFUNCTION("""COMPUTED_VALUE"""),0.8918)</f>
        <v>0.89180000000000004</v>
      </c>
      <c r="C37" s="703">
        <f ca="1">IFERROR(__xludf.DUMMYFUNCTION("""COMPUTED_VALUE"""),0.728)</f>
        <v>0.72799999999999998</v>
      </c>
      <c r="D37" s="703">
        <f ca="1">IFERROR(__xludf.DUMMYFUNCTION("""COMPUTED_VALUE"""),0.1638)</f>
        <v>0.1638</v>
      </c>
      <c r="E37" s="704">
        <f ca="1">IFERROR(__xludf.DUMMYFUNCTION("""COMPUTED_VALUE"""),0.0652)</f>
        <v>6.5199999999999994E-2</v>
      </c>
      <c r="G37" s="529">
        <v>46206</v>
      </c>
      <c r="H37" s="419">
        <f ca="1">IFERROR(__xludf.DUMMYFUNCTION("""COMPUTED_VALUE"""),-12537)</f>
        <v>-12537</v>
      </c>
      <c r="I37" s="419">
        <f ca="1">IFERROR(__xludf.DUMMYFUNCTION("""COMPUTED_VALUE"""),821)</f>
        <v>821</v>
      </c>
      <c r="J37" s="419">
        <f ca="1">IFERROR(__xludf.DUMMYFUNCTION("""COMPUTED_VALUE"""),653)</f>
        <v>653</v>
      </c>
      <c r="K37" s="419">
        <f ca="1">IFERROR(__xludf.DUMMYFUNCTION("""COMPUTED_VALUE"""),-11063)</f>
        <v>-11063</v>
      </c>
      <c r="L37" s="419">
        <f ca="1">IFERROR(__xludf.DUMMYFUNCTION("""COMPUTED_VALUE"""),18067815)</f>
        <v>18067815</v>
      </c>
      <c r="M37" s="419">
        <f ca="1">IFERROR(__xludf.DUMMYFUNCTION("""COMPUTED_VALUE"""),869088)</f>
        <v>869088</v>
      </c>
      <c r="N37" s="419">
        <f ca="1">IFERROR(__xludf.DUMMYFUNCTION("""COMPUTED_VALUE"""),344457)</f>
        <v>344457</v>
      </c>
      <c r="O37" s="419">
        <f ca="1">IFERROR(__xludf.DUMMYFUNCTION("""COMPUTED_VALUE"""),19281360)</f>
        <v>19281360</v>
      </c>
      <c r="P37" s="422">
        <f ca="1">IFERROR(__xludf.DUMMYFUNCTION("""COMPUTED_VALUE"""),0.6967)</f>
        <v>0.69669999999999999</v>
      </c>
      <c r="Q37" s="422">
        <f ca="1">IFERROR(__xludf.DUMMYFUNCTION("""COMPUTED_VALUE"""),0.7435)</f>
        <v>0.74350000000000005</v>
      </c>
      <c r="R37" s="422">
        <f t="shared" ca="1" si="0"/>
        <v>3.3512276365459795E-2</v>
      </c>
      <c r="S37" s="427">
        <f t="shared" ca="1" si="1"/>
        <v>1.3282358265235723E-2</v>
      </c>
      <c r="T37" s="529">
        <v>46206</v>
      </c>
      <c r="U37" s="419">
        <f ca="1">IFERROR(__xludf.DUMMYFUNCTION("""COMPUTED_VALUE"""),1310)</f>
        <v>1310</v>
      </c>
      <c r="V37" s="419">
        <f ca="1">IFERROR(__xludf.DUMMYFUNCTION("""COMPUTED_VALUE"""),264)</f>
        <v>264</v>
      </c>
      <c r="W37" s="419">
        <f ca="1">IFERROR(__xludf.DUMMYFUNCTION("""COMPUTED_VALUE"""),50)</f>
        <v>50</v>
      </c>
      <c r="X37" s="419">
        <f ca="1">IFERROR(__xludf.DUMMYFUNCTION("""COMPUTED_VALUE"""),34509)</f>
        <v>34509</v>
      </c>
      <c r="Y37" s="419">
        <f ca="1">IFERROR(__xludf.DUMMYFUNCTION("""COMPUTED_VALUE"""),996)</f>
        <v>996</v>
      </c>
      <c r="Z37" s="419">
        <f ca="1">IFERROR(__xludf.DUMMYFUNCTION("""COMPUTED_VALUE"""),6483092)</f>
        <v>6483092</v>
      </c>
      <c r="AA37" s="701">
        <f ca="1">IFERROR(__xludf.DUMMYFUNCTION("""COMPUTED_VALUE"""),0.0053)</f>
        <v>5.3E-3</v>
      </c>
      <c r="AB37" s="419">
        <f ca="1">IFERROR(__xludf.DUMMYFUNCTION("""COMPUTED_VALUE"""),0)</f>
        <v>0</v>
      </c>
      <c r="AC37" s="419">
        <f ca="1">IFERROR(__xludf.DUMMYFUNCTION("""COMPUTED_VALUE"""),32)</f>
        <v>32</v>
      </c>
      <c r="AD37" s="419">
        <f ca="1">IFERROR(__xludf.DUMMYFUNCTION("""COMPUTED_VALUE"""),0)</f>
        <v>0</v>
      </c>
      <c r="AE37" s="419">
        <f ca="1">IFERROR(__xludf.DUMMYFUNCTION("""COMPUTED_VALUE"""),31)</f>
        <v>31</v>
      </c>
      <c r="AF37" s="419">
        <f ca="1">IFERROR(__xludf.DUMMYFUNCTION("""COMPUTED_VALUE"""),-32)</f>
        <v>-32</v>
      </c>
      <c r="AG37" s="701">
        <f ca="1">IFERROR(__xludf.DUMMYFUNCTION("""COMPUTED_VALUE"""),0.0009)</f>
        <v>8.9999999999999998E-4</v>
      </c>
      <c r="AH37" s="543">
        <f ca="1">IFERROR(__xludf.DUMMYFUNCTION("""COMPUTED_VALUE"""),6)</f>
        <v>6</v>
      </c>
    </row>
    <row r="38" spans="1:34" ht="15.75" customHeight="1">
      <c r="G38" s="529">
        <v>46205</v>
      </c>
      <c r="H38" s="419">
        <f ca="1">IFERROR(__xludf.DUMMYFUNCTION("""COMPUTED_VALUE"""),-12254)</f>
        <v>-12254</v>
      </c>
      <c r="I38" s="419">
        <f ca="1">IFERROR(__xludf.DUMMYFUNCTION("""COMPUTED_VALUE"""),1026)</f>
        <v>1026</v>
      </c>
      <c r="J38" s="419">
        <f ca="1">IFERROR(__xludf.DUMMYFUNCTION("""COMPUTED_VALUE"""),217)</f>
        <v>217</v>
      </c>
      <c r="K38" s="419">
        <f ca="1">IFERROR(__xludf.DUMMYFUNCTION("""COMPUTED_VALUE"""),-11011)</f>
        <v>-11011</v>
      </c>
      <c r="L38" s="419">
        <f ca="1">IFERROR(__xludf.DUMMYFUNCTION("""COMPUTED_VALUE"""),18082034)</f>
        <v>18082034</v>
      </c>
      <c r="M38" s="419">
        <f ca="1">IFERROR(__xludf.DUMMYFUNCTION("""COMPUTED_VALUE"""),868267)</f>
        <v>868267</v>
      </c>
      <c r="N38" s="419">
        <f ca="1">IFERROR(__xludf.DUMMYFUNCTION("""COMPUTED_VALUE"""),343804)</f>
        <v>343804</v>
      </c>
      <c r="O38" s="419">
        <f ca="1">IFERROR(__xludf.DUMMYFUNCTION("""COMPUTED_VALUE"""),19294105)</f>
        <v>19294105</v>
      </c>
      <c r="P38" s="422">
        <f ca="1">IFERROR(__xludf.DUMMYFUNCTION("""COMPUTED_VALUE"""),0.6972)</f>
        <v>0.69720000000000004</v>
      </c>
      <c r="Q38" s="422">
        <f ca="1">IFERROR(__xludf.DUMMYFUNCTION("""COMPUTED_VALUE"""),0.7439)</f>
        <v>0.74390000000000001</v>
      </c>
      <c r="R38" s="422">
        <f t="shared" ca="1" si="0"/>
        <v>3.3478299642617643E-2</v>
      </c>
      <c r="S38" s="427">
        <f t="shared" ca="1" si="1"/>
        <v>1.3256260263640695E-2</v>
      </c>
      <c r="T38" s="529">
        <v>46205</v>
      </c>
      <c r="U38" s="419">
        <f ca="1">IFERROR(__xludf.DUMMYFUNCTION("""COMPUTED_VALUE"""),1552)</f>
        <v>1552</v>
      </c>
      <c r="V38" s="419">
        <f ca="1">IFERROR(__xludf.DUMMYFUNCTION("""COMPUTED_VALUE"""),460)</f>
        <v>460</v>
      </c>
      <c r="W38" s="419">
        <f ca="1">IFERROR(__xludf.DUMMYFUNCTION("""COMPUTED_VALUE"""),12)</f>
        <v>12</v>
      </c>
      <c r="X38" s="419">
        <f ca="1">IFERROR(__xludf.DUMMYFUNCTION("""COMPUTED_VALUE"""),33513)</f>
        <v>33513</v>
      </c>
      <c r="Y38" s="419">
        <f ca="1">IFERROR(__xludf.DUMMYFUNCTION("""COMPUTED_VALUE"""),1080)</f>
        <v>1080</v>
      </c>
      <c r="Z38" s="419">
        <f ca="1">IFERROR(__xludf.DUMMYFUNCTION("""COMPUTED_VALUE"""),6483092)</f>
        <v>6483092</v>
      </c>
      <c r="AA38" s="701">
        <f ca="1">IFERROR(__xludf.DUMMYFUNCTION("""COMPUTED_VALUE"""),0.0052)</f>
        <v>5.1999999999999998E-3</v>
      </c>
      <c r="AB38" s="419">
        <f ca="1">IFERROR(__xludf.DUMMYFUNCTION("""COMPUTED_VALUE"""),6)</f>
        <v>6</v>
      </c>
      <c r="AC38" s="419">
        <f ca="1">IFERROR(__xludf.DUMMYFUNCTION("""COMPUTED_VALUE"""),10)</f>
        <v>10</v>
      </c>
      <c r="AD38" s="419">
        <f ca="1">IFERROR(__xludf.DUMMYFUNCTION("""COMPUTED_VALUE"""),0)</f>
        <v>0</v>
      </c>
      <c r="AE38" s="419">
        <f ca="1">IFERROR(__xludf.DUMMYFUNCTION("""COMPUTED_VALUE"""),63)</f>
        <v>63</v>
      </c>
      <c r="AF38" s="419">
        <f ca="1">IFERROR(__xludf.DUMMYFUNCTION("""COMPUTED_VALUE"""),-4)</f>
        <v>-4</v>
      </c>
      <c r="AG38" s="701">
        <f ca="1">IFERROR(__xludf.DUMMYFUNCTION("""COMPUTED_VALUE"""),0.0019)</f>
        <v>1.9E-3</v>
      </c>
      <c r="AH38" s="543">
        <f ca="1">IFERROR(__xludf.DUMMYFUNCTION("""COMPUTED_VALUE"""),2)</f>
        <v>2</v>
      </c>
    </row>
    <row r="39" spans="1:34" ht="15.75" customHeight="1">
      <c r="G39" s="529">
        <v>46204</v>
      </c>
      <c r="H39" s="419">
        <f ca="1">IFERROR(__xludf.DUMMYFUNCTION("""COMPUTED_VALUE"""),7400)</f>
        <v>7400</v>
      </c>
      <c r="I39" s="419">
        <f ca="1">IFERROR(__xludf.DUMMYFUNCTION("""COMPUTED_VALUE"""),4743)</f>
        <v>4743</v>
      </c>
      <c r="J39" s="419">
        <f ca="1">IFERROR(__xludf.DUMMYFUNCTION("""COMPUTED_VALUE"""),-386)</f>
        <v>-386</v>
      </c>
      <c r="K39" s="419">
        <f ca="1">IFERROR(__xludf.DUMMYFUNCTION("""COMPUTED_VALUE"""),11757)</f>
        <v>11757</v>
      </c>
      <c r="L39" s="419">
        <f ca="1">IFERROR(__xludf.DUMMYFUNCTION("""COMPUTED_VALUE"""),18094293)</f>
        <v>18094293</v>
      </c>
      <c r="M39" s="419">
        <f ca="1">IFERROR(__xludf.DUMMYFUNCTION("""COMPUTED_VALUE"""),867241)</f>
        <v>867241</v>
      </c>
      <c r="N39" s="419">
        <f ca="1">IFERROR(__xludf.DUMMYFUNCTION("""COMPUTED_VALUE"""),343588)</f>
        <v>343588</v>
      </c>
      <c r="O39" s="419">
        <f ca="1">IFERROR(__xludf.DUMMYFUNCTION("""COMPUTED_VALUE"""),19305122)</f>
        <v>19305122</v>
      </c>
      <c r="P39" s="422">
        <f ca="1">IFERROR(__xludf.DUMMYFUNCTION("""COMPUTED_VALUE"""),0.6977)</f>
        <v>0.69769999999999999</v>
      </c>
      <c r="Q39" s="422">
        <f ca="1">IFERROR(__xludf.DUMMYFUNCTION("""COMPUTED_VALUE"""),0.7444)</f>
        <v>0.74439999999999995</v>
      </c>
      <c r="R39" s="422">
        <f t="shared" ca="1" si="0"/>
        <v>3.344004906408888E-2</v>
      </c>
      <c r="S39" s="427">
        <f t="shared" ca="1" si="1"/>
        <v>1.3248450635788864E-2</v>
      </c>
      <c r="T39" s="529">
        <v>46204</v>
      </c>
      <c r="U39" s="419">
        <f ca="1">IFERROR(__xludf.DUMMYFUNCTION("""COMPUTED_VALUE"""),1483)</f>
        <v>1483</v>
      </c>
      <c r="V39" s="419">
        <f ca="1">IFERROR(__xludf.DUMMYFUNCTION("""COMPUTED_VALUE"""),2192)</f>
        <v>2192</v>
      </c>
      <c r="W39" s="419">
        <f ca="1">IFERROR(__xludf.DUMMYFUNCTION("""COMPUTED_VALUE"""),163)</f>
        <v>163</v>
      </c>
      <c r="X39" s="419">
        <f ca="1">IFERROR(__xludf.DUMMYFUNCTION("""COMPUTED_VALUE"""),32433)</f>
        <v>32433</v>
      </c>
      <c r="Y39" s="419">
        <f ca="1">IFERROR(__xludf.DUMMYFUNCTION("""COMPUTED_VALUE"""),-872)</f>
        <v>-872</v>
      </c>
      <c r="Z39" s="419">
        <f ca="1">IFERROR(__xludf.DUMMYFUNCTION("""COMPUTED_VALUE"""),6483092)</f>
        <v>6483092</v>
      </c>
      <c r="AA39" s="701">
        <f ca="1">IFERROR(__xludf.DUMMYFUNCTION("""COMPUTED_VALUE"""),0.005)</f>
        <v>5.0000000000000001E-3</v>
      </c>
      <c r="AB39" s="419">
        <f ca="1">IFERROR(__xludf.DUMMYFUNCTION("""COMPUTED_VALUE"""),45)</f>
        <v>45</v>
      </c>
      <c r="AC39" s="419">
        <f ca="1">IFERROR(__xludf.DUMMYFUNCTION("""COMPUTED_VALUE"""),0)</f>
        <v>0</v>
      </c>
      <c r="AD39" s="419">
        <f ca="1">IFERROR(__xludf.DUMMYFUNCTION("""COMPUTED_VALUE"""),0)</f>
        <v>0</v>
      </c>
      <c r="AE39" s="419">
        <f ca="1">IFERROR(__xludf.DUMMYFUNCTION("""COMPUTED_VALUE"""),67)</f>
        <v>67</v>
      </c>
      <c r="AF39" s="419">
        <f ca="1">IFERROR(__xludf.DUMMYFUNCTION("""COMPUTED_VALUE"""),45)</f>
        <v>45</v>
      </c>
      <c r="AG39" s="701">
        <f ca="1">IFERROR(__xludf.DUMMYFUNCTION("""COMPUTED_VALUE"""),0.0021)</f>
        <v>2.0999999999999999E-3</v>
      </c>
      <c r="AH39" s="543">
        <f ca="1">IFERROR(__xludf.DUMMYFUNCTION("""COMPUTED_VALUE"""),0)</f>
        <v>0</v>
      </c>
    </row>
    <row r="40" spans="1:34" ht="15.75" customHeight="1">
      <c r="G40" s="529">
        <v>46203</v>
      </c>
      <c r="H40" s="419">
        <f ca="1">IFERROR(__xludf.DUMMYFUNCTION("""COMPUTED_VALUE"""),-1426)</f>
        <v>-1426</v>
      </c>
      <c r="I40" s="419">
        <f ca="1">IFERROR(__xludf.DUMMYFUNCTION("""COMPUTED_VALUE"""),-90)</f>
        <v>-90</v>
      </c>
      <c r="J40" s="419">
        <f ca="1">IFERROR(__xludf.DUMMYFUNCTION("""COMPUTED_VALUE"""),652)</f>
        <v>652</v>
      </c>
      <c r="K40" s="419">
        <f ca="1">IFERROR(__xludf.DUMMYFUNCTION("""COMPUTED_VALUE"""),-864)</f>
        <v>-864</v>
      </c>
      <c r="L40" s="419">
        <f ca="1">IFERROR(__xludf.DUMMYFUNCTION("""COMPUTED_VALUE"""),18088563)</f>
        <v>18088563</v>
      </c>
      <c r="M40" s="419">
        <f ca="1">IFERROR(__xludf.DUMMYFUNCTION("""COMPUTED_VALUE"""),862499)</f>
        <v>862499</v>
      </c>
      <c r="N40" s="419">
        <f ca="1">IFERROR(__xludf.DUMMYFUNCTION("""COMPUTED_VALUE"""),343974)</f>
        <v>343974</v>
      </c>
      <c r="O40" s="419">
        <f ca="1">IFERROR(__xludf.DUMMYFUNCTION("""COMPUTED_VALUE"""),19295036)</f>
        <v>19295036</v>
      </c>
      <c r="P40" s="422">
        <f ca="1">IFERROR(__xludf.DUMMYFUNCTION("""COMPUTED_VALUE"""),0.6975)</f>
        <v>0.69750000000000001</v>
      </c>
      <c r="Q40" s="422">
        <f ca="1">IFERROR(__xludf.DUMMYFUNCTION("""COMPUTED_VALUE"""),0.744)</f>
        <v>0.74399999999999999</v>
      </c>
      <c r="R40" s="422">
        <f t="shared" ca="1" si="0"/>
        <v>3.3258200361189552E-2</v>
      </c>
      <c r="S40" s="427">
        <f t="shared" ca="1" si="1"/>
        <v>1.3263732724373959E-2</v>
      </c>
      <c r="T40" s="529">
        <v>46203</v>
      </c>
      <c r="U40" s="419">
        <f ca="1">IFERROR(__xludf.DUMMYFUNCTION("""COMPUTED_VALUE"""),3227)</f>
        <v>3227</v>
      </c>
      <c r="V40" s="419">
        <f ca="1">IFERROR(__xludf.DUMMYFUNCTION("""COMPUTED_VALUE"""),1384)</f>
        <v>1384</v>
      </c>
      <c r="W40" s="419">
        <f ca="1">IFERROR(__xludf.DUMMYFUNCTION("""COMPUTED_VALUE"""),24)</f>
        <v>24</v>
      </c>
      <c r="X40" s="419">
        <f ca="1">IFERROR(__xludf.DUMMYFUNCTION("""COMPUTED_VALUE"""),33305)</f>
        <v>33305</v>
      </c>
      <c r="Y40" s="419">
        <f ca="1">IFERROR(__xludf.DUMMYFUNCTION("""COMPUTED_VALUE"""),1819)</f>
        <v>1819</v>
      </c>
      <c r="Z40" s="419">
        <f ca="1">IFERROR(__xludf.DUMMYFUNCTION("""COMPUTED_VALUE"""),6483092)</f>
        <v>6483092</v>
      </c>
      <c r="AA40" s="701">
        <f ca="1">IFERROR(__xludf.DUMMYFUNCTION("""COMPUTED_VALUE"""),0.0051)</f>
        <v>5.1000000000000004E-3</v>
      </c>
      <c r="AB40" s="419">
        <f ca="1">IFERROR(__xludf.DUMMYFUNCTION("""COMPUTED_VALUE"""),3)</f>
        <v>3</v>
      </c>
      <c r="AC40" s="419">
        <f ca="1">IFERROR(__xludf.DUMMYFUNCTION("""COMPUTED_VALUE"""),2)</f>
        <v>2</v>
      </c>
      <c r="AD40" s="419">
        <f ca="1">IFERROR(__xludf.DUMMYFUNCTION("""COMPUTED_VALUE"""),0)</f>
        <v>0</v>
      </c>
      <c r="AE40" s="419">
        <f ca="1">IFERROR(__xludf.DUMMYFUNCTION("""COMPUTED_VALUE"""),22)</f>
        <v>22</v>
      </c>
      <c r="AF40" s="419">
        <f ca="1">IFERROR(__xludf.DUMMYFUNCTION("""COMPUTED_VALUE"""),1)</f>
        <v>1</v>
      </c>
      <c r="AG40" s="701">
        <f ca="1">IFERROR(__xludf.DUMMYFUNCTION("""COMPUTED_VALUE"""),0.0007)</f>
        <v>6.9999999999999999E-4</v>
      </c>
      <c r="AH40" s="543">
        <f ca="1">IFERROR(__xludf.DUMMYFUNCTION("""COMPUTED_VALUE"""),1)</f>
        <v>1</v>
      </c>
    </row>
    <row r="41" spans="1:34" ht="15.75" customHeight="1">
      <c r="A41" s="4"/>
      <c r="G41" s="529">
        <v>46202</v>
      </c>
      <c r="H41" s="419">
        <f ca="1">IFERROR(__xludf.DUMMYFUNCTION("""COMPUTED_VALUE"""),-1912)</f>
        <v>-1912</v>
      </c>
      <c r="I41" s="419">
        <f ca="1">IFERROR(__xludf.DUMMYFUNCTION("""COMPUTED_VALUE"""),919)</f>
        <v>919</v>
      </c>
      <c r="J41" s="419">
        <f ca="1">IFERROR(__xludf.DUMMYFUNCTION("""COMPUTED_VALUE"""),997)</f>
        <v>997</v>
      </c>
      <c r="K41" s="419">
        <f ca="1">IFERROR(__xludf.DUMMYFUNCTION("""COMPUTED_VALUE"""),4)</f>
        <v>4</v>
      </c>
      <c r="L41" s="419">
        <f ca="1">IFERROR(__xludf.DUMMYFUNCTION("""COMPUTED_VALUE"""),18095877)</f>
        <v>18095877</v>
      </c>
      <c r="M41" s="419">
        <f ca="1">IFERROR(__xludf.DUMMYFUNCTION("""COMPUTED_VALUE"""),862588)</f>
        <v>862588</v>
      </c>
      <c r="N41" s="419">
        <f ca="1">IFERROR(__xludf.DUMMYFUNCTION("""COMPUTED_VALUE"""),343321)</f>
        <v>343321</v>
      </c>
      <c r="O41" s="419">
        <f ca="1">IFERROR(__xludf.DUMMYFUNCTION("""COMPUTED_VALUE"""),19301786)</f>
        <v>19301786</v>
      </c>
      <c r="P41" s="422">
        <f ca="1">IFERROR(__xludf.DUMMYFUNCTION("""COMPUTED_VALUE"""),0.6978)</f>
        <v>0.69779999999999998</v>
      </c>
      <c r="Q41" s="422">
        <f ca="1">IFERROR(__xludf.DUMMYFUNCTION("""COMPUTED_VALUE"""),0.7443)</f>
        <v>0.74429999999999996</v>
      </c>
      <c r="R41" s="422">
        <f t="shared" ca="1" si="0"/>
        <v>3.3262488819967108E-2</v>
      </c>
      <c r="S41" s="427">
        <f t="shared" ca="1" si="1"/>
        <v>1.3238893798847106E-2</v>
      </c>
      <c r="T41" s="529">
        <v>46202</v>
      </c>
      <c r="U41" s="419">
        <f ca="1">IFERROR(__xludf.DUMMYFUNCTION("""COMPUTED_VALUE"""),925)</f>
        <v>925</v>
      </c>
      <c r="V41" s="419">
        <f ca="1">IFERROR(__xludf.DUMMYFUNCTION("""COMPUTED_VALUE"""),479)</f>
        <v>479</v>
      </c>
      <c r="W41" s="419">
        <f ca="1">IFERROR(__xludf.DUMMYFUNCTION("""COMPUTED_VALUE"""),175)</f>
        <v>175</v>
      </c>
      <c r="X41" s="419">
        <f ca="1">IFERROR(__xludf.DUMMYFUNCTION("""COMPUTED_VALUE"""),31486)</f>
        <v>31486</v>
      </c>
      <c r="Y41" s="419">
        <f ca="1">IFERROR(__xludf.DUMMYFUNCTION("""COMPUTED_VALUE"""),271)</f>
        <v>271</v>
      </c>
      <c r="Z41" s="419">
        <f ca="1">IFERROR(__xludf.DUMMYFUNCTION("""COMPUTED_VALUE"""),6483092)</f>
        <v>6483092</v>
      </c>
      <c r="AA41" s="701">
        <f ca="1">IFERROR(__xludf.DUMMYFUNCTION("""COMPUTED_VALUE"""),0.0049)</f>
        <v>4.8999999999999998E-3</v>
      </c>
      <c r="AB41" s="419">
        <f ca="1">IFERROR(__xludf.DUMMYFUNCTION("""COMPUTED_VALUE"""),4)</f>
        <v>4</v>
      </c>
      <c r="AC41" s="419">
        <f ca="1">IFERROR(__xludf.DUMMYFUNCTION("""COMPUTED_VALUE"""),26)</f>
        <v>26</v>
      </c>
      <c r="AD41" s="419">
        <f ca="1">IFERROR(__xludf.DUMMYFUNCTION("""COMPUTED_VALUE"""),0)</f>
        <v>0</v>
      </c>
      <c r="AE41" s="419">
        <f ca="1">IFERROR(__xludf.DUMMYFUNCTION("""COMPUTED_VALUE"""),21)</f>
        <v>21</v>
      </c>
      <c r="AF41" s="419">
        <f ca="1">IFERROR(__xludf.DUMMYFUNCTION("""COMPUTED_VALUE"""),-22)</f>
        <v>-22</v>
      </c>
      <c r="AG41" s="701">
        <f ca="1">IFERROR(__xludf.DUMMYFUNCTION("""COMPUTED_VALUE"""),0.0007)</f>
        <v>6.9999999999999999E-4</v>
      </c>
      <c r="AH41" s="543">
        <f ca="1">IFERROR(__xludf.DUMMYFUNCTION("""COMPUTED_VALUE"""),1)</f>
        <v>1</v>
      </c>
    </row>
    <row r="42" spans="1:34" ht="15.75" customHeight="1">
      <c r="G42" s="529">
        <v>46199</v>
      </c>
      <c r="H42" s="419">
        <f ca="1">IFERROR(__xludf.DUMMYFUNCTION("""COMPUTED_VALUE"""),-14281)</f>
        <v>-14281</v>
      </c>
      <c r="I42" s="419">
        <f ca="1">IFERROR(__xludf.DUMMYFUNCTION("""COMPUTED_VALUE"""),734)</f>
        <v>734</v>
      </c>
      <c r="J42" s="419">
        <f ca="1">IFERROR(__xludf.DUMMYFUNCTION("""COMPUTED_VALUE"""),1009)</f>
        <v>1009</v>
      </c>
      <c r="K42" s="419">
        <f ca="1">IFERROR(__xludf.DUMMYFUNCTION("""COMPUTED_VALUE"""),-12538)</f>
        <v>-12538</v>
      </c>
      <c r="L42" s="419">
        <f ca="1">IFERROR(__xludf.DUMMYFUNCTION("""COMPUTED_VALUE"""),18099621)</f>
        <v>18099621</v>
      </c>
      <c r="M42" s="419">
        <f ca="1">IFERROR(__xludf.DUMMYFUNCTION("""COMPUTED_VALUE"""),861669)</f>
        <v>861669</v>
      </c>
      <c r="N42" s="419">
        <f ca="1">IFERROR(__xludf.DUMMYFUNCTION("""COMPUTED_VALUE"""),342324)</f>
        <v>342324</v>
      </c>
      <c r="O42" s="419">
        <f ca="1">IFERROR(__xludf.DUMMYFUNCTION("""COMPUTED_VALUE"""),19303614)</f>
        <v>19303614</v>
      </c>
      <c r="P42" s="422">
        <f ca="1">IFERROR(__xludf.DUMMYFUNCTION("""COMPUTED_VALUE"""),0.6979)</f>
        <v>0.69789999999999996</v>
      </c>
      <c r="Q42" s="422">
        <f ca="1">IFERROR(__xludf.DUMMYFUNCTION("""COMPUTED_VALUE"""),0.7443)</f>
        <v>0.74429999999999996</v>
      </c>
      <c r="R42" s="422">
        <f t="shared" ca="1" si="0"/>
        <v>3.3224938527718344E-2</v>
      </c>
      <c r="S42" s="427">
        <f t="shared" ca="1" si="1"/>
        <v>1.3199608964187703E-2</v>
      </c>
      <c r="T42" s="529">
        <v>46199</v>
      </c>
      <c r="U42" s="419">
        <f ca="1">IFERROR(__xludf.DUMMYFUNCTION("""COMPUTED_VALUE"""),837)</f>
        <v>837</v>
      </c>
      <c r="V42" s="419">
        <f ca="1">IFERROR(__xludf.DUMMYFUNCTION("""COMPUTED_VALUE"""),1476)</f>
        <v>1476</v>
      </c>
      <c r="W42" s="419">
        <f ca="1">IFERROR(__xludf.DUMMYFUNCTION("""COMPUTED_VALUE"""),42)</f>
        <v>42</v>
      </c>
      <c r="X42" s="419">
        <f ca="1">IFERROR(__xludf.DUMMYFUNCTION("""COMPUTED_VALUE"""),31215)</f>
        <v>31215</v>
      </c>
      <c r="Y42" s="419">
        <f ca="1">IFERROR(__xludf.DUMMYFUNCTION("""COMPUTED_VALUE"""),-681)</f>
        <v>-681</v>
      </c>
      <c r="Z42" s="419">
        <f ca="1">IFERROR(__xludf.DUMMYFUNCTION("""COMPUTED_VALUE"""),6483092)</f>
        <v>6483092</v>
      </c>
      <c r="AA42" s="701">
        <f ca="1">IFERROR(__xludf.DUMMYFUNCTION("""COMPUTED_VALUE"""),0.0048)</f>
        <v>4.7999999999999996E-3</v>
      </c>
      <c r="AB42" s="419">
        <f ca="1">IFERROR(__xludf.DUMMYFUNCTION("""COMPUTED_VALUE"""),3)</f>
        <v>3</v>
      </c>
      <c r="AC42" s="419">
        <f ca="1">IFERROR(__xludf.DUMMYFUNCTION("""COMPUTED_VALUE"""),6)</f>
        <v>6</v>
      </c>
      <c r="AD42" s="419">
        <f ca="1">IFERROR(__xludf.DUMMYFUNCTION("""COMPUTED_VALUE"""),0)</f>
        <v>0</v>
      </c>
      <c r="AE42" s="419">
        <f ca="1">IFERROR(__xludf.DUMMYFUNCTION("""COMPUTED_VALUE"""),43)</f>
        <v>43</v>
      </c>
      <c r="AF42" s="419">
        <f ca="1">IFERROR(__xludf.DUMMYFUNCTION("""COMPUTED_VALUE"""),-3)</f>
        <v>-3</v>
      </c>
      <c r="AG42" s="701">
        <f ca="1">IFERROR(__xludf.DUMMYFUNCTION("""COMPUTED_VALUE"""),0.0014)</f>
        <v>1.4E-3</v>
      </c>
      <c r="AH42" s="543">
        <f ca="1">IFERROR(__xludf.DUMMYFUNCTION("""COMPUTED_VALUE"""),3)</f>
        <v>3</v>
      </c>
    </row>
    <row r="43" spans="1:34" ht="15.75" customHeight="1">
      <c r="G43" s="529">
        <v>46198</v>
      </c>
      <c r="H43" s="419">
        <f ca="1">IFERROR(__xludf.DUMMYFUNCTION("""COMPUTED_VALUE"""),-6104)</f>
        <v>-6104</v>
      </c>
      <c r="I43" s="419">
        <f ca="1">IFERROR(__xludf.DUMMYFUNCTION("""COMPUTED_VALUE"""),179)</f>
        <v>179</v>
      </c>
      <c r="J43" s="419">
        <f ca="1">IFERROR(__xludf.DUMMYFUNCTION("""COMPUTED_VALUE"""),-310)</f>
        <v>-310</v>
      </c>
      <c r="K43" s="419">
        <f ca="1">IFERROR(__xludf.DUMMYFUNCTION("""COMPUTED_VALUE"""),-6235)</f>
        <v>-6235</v>
      </c>
      <c r="L43" s="419">
        <f ca="1">IFERROR(__xludf.DUMMYFUNCTION("""COMPUTED_VALUE"""),18113951)</f>
        <v>18113951</v>
      </c>
      <c r="M43" s="419">
        <f ca="1">IFERROR(__xludf.DUMMYFUNCTION("""COMPUTED_VALUE"""),860935)</f>
        <v>860935</v>
      </c>
      <c r="N43" s="419">
        <f ca="1">IFERROR(__xludf.DUMMYFUNCTION("""COMPUTED_VALUE"""),341315)</f>
        <v>341315</v>
      </c>
      <c r="O43" s="419">
        <f ca="1">IFERROR(__xludf.DUMMYFUNCTION("""COMPUTED_VALUE"""),19316201)</f>
        <v>19316201</v>
      </c>
      <c r="P43" s="422">
        <f ca="1">IFERROR(__xludf.DUMMYFUNCTION("""COMPUTED_VALUE"""),0.6985)</f>
        <v>0.69850000000000001</v>
      </c>
      <c r="Q43" s="422">
        <f ca="1">IFERROR(__xludf.DUMMYFUNCTION("""COMPUTED_VALUE"""),0.7449)</f>
        <v>0.74490000000000001</v>
      </c>
      <c r="R43" s="422">
        <f t="shared" ca="1" si="0"/>
        <v>3.3198891699552459E-2</v>
      </c>
      <c r="S43" s="427">
        <f t="shared" ca="1" si="1"/>
        <v>1.3161597240712421E-2</v>
      </c>
      <c r="T43" s="529">
        <v>46198</v>
      </c>
      <c r="U43" s="419">
        <f ca="1">IFERROR(__xludf.DUMMYFUNCTION("""COMPUTED_VALUE"""),1335)</f>
        <v>1335</v>
      </c>
      <c r="V43" s="419">
        <f ca="1">IFERROR(__xludf.DUMMYFUNCTION("""COMPUTED_VALUE"""),565)</f>
        <v>565</v>
      </c>
      <c r="W43" s="419">
        <f ca="1">IFERROR(__xludf.DUMMYFUNCTION("""COMPUTED_VALUE"""),22)</f>
        <v>22</v>
      </c>
      <c r="X43" s="419">
        <f ca="1">IFERROR(__xludf.DUMMYFUNCTION("""COMPUTED_VALUE"""),31896)</f>
        <v>31896</v>
      </c>
      <c r="Y43" s="419">
        <f ca="1">IFERROR(__xludf.DUMMYFUNCTION("""COMPUTED_VALUE"""),748)</f>
        <v>748</v>
      </c>
      <c r="Z43" s="419">
        <f ca="1">IFERROR(__xludf.DUMMYFUNCTION("""COMPUTED_VALUE"""),6483092)</f>
        <v>6483092</v>
      </c>
      <c r="AA43" s="701">
        <f ca="1">IFERROR(__xludf.DUMMYFUNCTION("""COMPUTED_VALUE"""),0.0049)</f>
        <v>4.8999999999999998E-3</v>
      </c>
      <c r="AB43" s="419">
        <f ca="1">IFERROR(__xludf.DUMMYFUNCTION("""COMPUTED_VALUE"""),2)</f>
        <v>2</v>
      </c>
      <c r="AC43" s="419">
        <f ca="1">IFERROR(__xludf.DUMMYFUNCTION("""COMPUTED_VALUE"""),1)</f>
        <v>1</v>
      </c>
      <c r="AD43" s="419">
        <f ca="1">IFERROR(__xludf.DUMMYFUNCTION("""COMPUTED_VALUE"""),0)</f>
        <v>0</v>
      </c>
      <c r="AE43" s="419">
        <f ca="1">IFERROR(__xludf.DUMMYFUNCTION("""COMPUTED_VALUE"""),46)</f>
        <v>46</v>
      </c>
      <c r="AF43" s="419">
        <f ca="1">IFERROR(__xludf.DUMMYFUNCTION("""COMPUTED_VALUE"""),1)</f>
        <v>1</v>
      </c>
      <c r="AG43" s="701">
        <f ca="1">IFERROR(__xludf.DUMMYFUNCTION("""COMPUTED_VALUE"""),0.0014)</f>
        <v>1.4E-3</v>
      </c>
      <c r="AH43" s="543">
        <f ca="1">IFERROR(__xludf.DUMMYFUNCTION("""COMPUTED_VALUE"""),0)</f>
        <v>0</v>
      </c>
    </row>
    <row r="44" spans="1:34" ht="15.75" customHeight="1">
      <c r="G44" s="529">
        <v>46197</v>
      </c>
      <c r="H44" s="419">
        <f ca="1">IFERROR(__xludf.DUMMYFUNCTION("""COMPUTED_VALUE"""),-38450)</f>
        <v>-38450</v>
      </c>
      <c r="I44" s="419">
        <f ca="1">IFERROR(__xludf.DUMMYFUNCTION("""COMPUTED_VALUE"""),658)</f>
        <v>658</v>
      </c>
      <c r="J44" s="419">
        <f ca="1">IFERROR(__xludf.DUMMYFUNCTION("""COMPUTED_VALUE"""),1078)</f>
        <v>1078</v>
      </c>
      <c r="K44" s="419">
        <f ca="1">IFERROR(__xludf.DUMMYFUNCTION("""COMPUTED_VALUE"""),-36714)</f>
        <v>-36714</v>
      </c>
      <c r="L44" s="419">
        <f ca="1">IFERROR(__xludf.DUMMYFUNCTION("""COMPUTED_VALUE"""),18120554)</f>
        <v>18120554</v>
      </c>
      <c r="M44" s="419">
        <f ca="1">IFERROR(__xludf.DUMMYFUNCTION("""COMPUTED_VALUE"""),860756)</f>
        <v>860756</v>
      </c>
      <c r="N44" s="419">
        <f ca="1">IFERROR(__xludf.DUMMYFUNCTION("""COMPUTED_VALUE"""),341626)</f>
        <v>341626</v>
      </c>
      <c r="O44" s="419">
        <f ca="1">IFERROR(__xludf.DUMMYFUNCTION("""COMPUTED_VALUE"""),19322936)</f>
        <v>19322936</v>
      </c>
      <c r="P44" s="422">
        <f ca="1">IFERROR(__xludf.DUMMYFUNCTION("""COMPUTED_VALUE"""),0.6987)</f>
        <v>0.69869999999999999</v>
      </c>
      <c r="Q44" s="422">
        <f ca="1">IFERROR(__xludf.DUMMYFUNCTION("""COMPUTED_VALUE"""),0.7451)</f>
        <v>0.74509999999999998</v>
      </c>
      <c r="R44" s="422">
        <f t="shared" ca="1" si="0"/>
        <v>3.3189394606809482E-2</v>
      </c>
      <c r="S44" s="427">
        <f t="shared" ca="1" si="1"/>
        <v>1.3172560077357457E-2</v>
      </c>
      <c r="T44" s="529">
        <v>46197</v>
      </c>
      <c r="U44" s="419">
        <f ca="1">IFERROR(__xludf.DUMMYFUNCTION("""COMPUTED_VALUE"""),4125)</f>
        <v>4125</v>
      </c>
      <c r="V44" s="419">
        <f ca="1">IFERROR(__xludf.DUMMYFUNCTION("""COMPUTED_VALUE"""),1004)</f>
        <v>1004</v>
      </c>
      <c r="W44" s="419">
        <f ca="1">IFERROR(__xludf.DUMMYFUNCTION("""COMPUTED_VALUE"""),12)</f>
        <v>12</v>
      </c>
      <c r="X44" s="419">
        <f ca="1">IFERROR(__xludf.DUMMYFUNCTION("""COMPUTED_VALUE"""),31148)</f>
        <v>31148</v>
      </c>
      <c r="Y44" s="419">
        <f ca="1">IFERROR(__xludf.DUMMYFUNCTION("""COMPUTED_VALUE"""),3109)</f>
        <v>3109</v>
      </c>
      <c r="Z44" s="419">
        <f ca="1">IFERROR(__xludf.DUMMYFUNCTION("""COMPUTED_VALUE"""),6483092)</f>
        <v>6483092</v>
      </c>
      <c r="AA44" s="701">
        <f ca="1">IFERROR(__xludf.DUMMYFUNCTION("""COMPUTED_VALUE"""),0.0048)</f>
        <v>4.7999999999999996E-3</v>
      </c>
      <c r="AB44" s="419">
        <f ca="1">IFERROR(__xludf.DUMMYFUNCTION("""COMPUTED_VALUE"""),1)</f>
        <v>1</v>
      </c>
      <c r="AC44" s="419">
        <f ca="1">IFERROR(__xludf.DUMMYFUNCTION("""COMPUTED_VALUE"""),40)</f>
        <v>40</v>
      </c>
      <c r="AD44" s="419">
        <f ca="1">IFERROR(__xludf.DUMMYFUNCTION("""COMPUTED_VALUE"""),0)</f>
        <v>0</v>
      </c>
      <c r="AE44" s="419">
        <f ca="1">IFERROR(__xludf.DUMMYFUNCTION("""COMPUTED_VALUE"""),45)</f>
        <v>45</v>
      </c>
      <c r="AF44" s="419">
        <f ca="1">IFERROR(__xludf.DUMMYFUNCTION("""COMPUTED_VALUE"""),-39)</f>
        <v>-39</v>
      </c>
      <c r="AG44" s="701">
        <f ca="1">IFERROR(__xludf.DUMMYFUNCTION("""COMPUTED_VALUE"""),0.0014)</f>
        <v>1.4E-3</v>
      </c>
      <c r="AH44" s="543">
        <f ca="1">IFERROR(__xludf.DUMMYFUNCTION("""COMPUTED_VALUE"""),5)</f>
        <v>5</v>
      </c>
    </row>
    <row r="45" spans="1:34" ht="15.75" customHeight="1">
      <c r="G45" s="529">
        <v>46196</v>
      </c>
      <c r="H45" s="419">
        <f ca="1">IFERROR(__xludf.DUMMYFUNCTION("""COMPUTED_VALUE"""),-2726)</f>
        <v>-2726</v>
      </c>
      <c r="I45" s="419">
        <f ca="1">IFERROR(__xludf.DUMMYFUNCTION("""COMPUTED_VALUE"""),165)</f>
        <v>165</v>
      </c>
      <c r="J45" s="419">
        <f ca="1">IFERROR(__xludf.DUMMYFUNCTION("""COMPUTED_VALUE"""),1192)</f>
        <v>1192</v>
      </c>
      <c r="K45" s="419">
        <f ca="1">IFERROR(__xludf.DUMMYFUNCTION("""COMPUTED_VALUE"""),-1369)</f>
        <v>-1369</v>
      </c>
      <c r="L45" s="419">
        <f ca="1">IFERROR(__xludf.DUMMYFUNCTION("""COMPUTED_VALUE"""),18160515)</f>
        <v>18160515</v>
      </c>
      <c r="M45" s="419">
        <f ca="1">IFERROR(__xludf.DUMMYFUNCTION("""COMPUTED_VALUE"""),860098)</f>
        <v>860098</v>
      </c>
      <c r="N45" s="419">
        <f ca="1">IFERROR(__xludf.DUMMYFUNCTION("""COMPUTED_VALUE"""),340547)</f>
        <v>340547</v>
      </c>
      <c r="O45" s="419">
        <f ca="1">IFERROR(__xludf.DUMMYFUNCTION("""COMPUTED_VALUE"""),19361160)</f>
        <v>19361160</v>
      </c>
      <c r="P45" s="422">
        <f ca="1">IFERROR(__xludf.DUMMYFUNCTION("""COMPUTED_VALUE"""),0.7003)</f>
        <v>0.70030000000000003</v>
      </c>
      <c r="Q45" s="422">
        <f ca="1">IFERROR(__xludf.DUMMYFUNCTION("""COMPUTED_VALUE"""),0.7466)</f>
        <v>0.74660000000000004</v>
      </c>
      <c r="R45" s="422">
        <f t="shared" ca="1" si="0"/>
        <v>3.3166825357100277E-2</v>
      </c>
      <c r="S45" s="427">
        <f t="shared" ca="1" si="1"/>
        <v>1.3132065037803169E-2</v>
      </c>
      <c r="T45" s="529">
        <v>46196</v>
      </c>
      <c r="U45" s="419">
        <f ca="1">IFERROR(__xludf.DUMMYFUNCTION("""COMPUTED_VALUE"""),1159)</f>
        <v>1159</v>
      </c>
      <c r="V45" s="419">
        <f ca="1">IFERROR(__xludf.DUMMYFUNCTION("""COMPUTED_VALUE"""),1266)</f>
        <v>1266</v>
      </c>
      <c r="W45" s="419">
        <f ca="1">IFERROR(__xludf.DUMMYFUNCTION("""COMPUTED_VALUE"""),77)</f>
        <v>77</v>
      </c>
      <c r="X45" s="419">
        <f ca="1">IFERROR(__xludf.DUMMYFUNCTION("""COMPUTED_VALUE"""),28039)</f>
        <v>28039</v>
      </c>
      <c r="Y45" s="419">
        <f ca="1">IFERROR(__xludf.DUMMYFUNCTION("""COMPUTED_VALUE"""),-184)</f>
        <v>-184</v>
      </c>
      <c r="Z45" s="419">
        <f ca="1">IFERROR(__xludf.DUMMYFUNCTION("""COMPUTED_VALUE"""),6483092)</f>
        <v>6483092</v>
      </c>
      <c r="AA45" s="701">
        <f ca="1">IFERROR(__xludf.DUMMYFUNCTION("""COMPUTED_VALUE"""),0.0043)</f>
        <v>4.3E-3</v>
      </c>
      <c r="AB45" s="419">
        <f ca="1">IFERROR(__xludf.DUMMYFUNCTION("""COMPUTED_VALUE"""),4)</f>
        <v>4</v>
      </c>
      <c r="AC45" s="419">
        <f ca="1">IFERROR(__xludf.DUMMYFUNCTION("""COMPUTED_VALUE"""),4)</f>
        <v>4</v>
      </c>
      <c r="AD45" s="419">
        <f ca="1">IFERROR(__xludf.DUMMYFUNCTION("""COMPUTED_VALUE"""),0)</f>
        <v>0</v>
      </c>
      <c r="AE45" s="419">
        <f ca="1">IFERROR(__xludf.DUMMYFUNCTION("""COMPUTED_VALUE"""),84)</f>
        <v>84</v>
      </c>
      <c r="AF45" s="419">
        <f ca="1">IFERROR(__xludf.DUMMYFUNCTION("""COMPUTED_VALUE"""),0)</f>
        <v>0</v>
      </c>
      <c r="AG45" s="701">
        <f ca="1">IFERROR(__xludf.DUMMYFUNCTION("""COMPUTED_VALUE"""),0.003)</f>
        <v>3.0000000000000001E-3</v>
      </c>
      <c r="AH45" s="543">
        <f ca="1">IFERROR(__xludf.DUMMYFUNCTION("""COMPUTED_VALUE"""),1)</f>
        <v>1</v>
      </c>
    </row>
    <row r="46" spans="1:34" ht="15.75" customHeight="1">
      <c r="G46" s="529">
        <v>46195</v>
      </c>
      <c r="H46" s="419">
        <f ca="1">IFERROR(__xludf.DUMMYFUNCTION("""COMPUTED_VALUE"""),14361)</f>
        <v>14361</v>
      </c>
      <c r="I46" s="419">
        <f ca="1">IFERROR(__xludf.DUMMYFUNCTION("""COMPUTED_VALUE"""),-202)</f>
        <v>-202</v>
      </c>
      <c r="J46" s="419">
        <f ca="1">IFERROR(__xludf.DUMMYFUNCTION("""COMPUTED_VALUE"""),1146)</f>
        <v>1146</v>
      </c>
      <c r="K46" s="419">
        <f ca="1">IFERROR(__xludf.DUMMYFUNCTION("""COMPUTED_VALUE"""),15305)</f>
        <v>15305</v>
      </c>
      <c r="L46" s="419">
        <f ca="1">IFERROR(__xludf.DUMMYFUNCTION("""COMPUTED_VALUE"""),18163413)</f>
        <v>18163413</v>
      </c>
      <c r="M46" s="419">
        <f ca="1">IFERROR(__xludf.DUMMYFUNCTION("""COMPUTED_VALUE"""),859933)</f>
        <v>859933</v>
      </c>
      <c r="N46" s="419">
        <f ca="1">IFERROR(__xludf.DUMMYFUNCTION("""COMPUTED_VALUE"""),339355)</f>
        <v>339355</v>
      </c>
      <c r="O46" s="419">
        <f ca="1">IFERROR(__xludf.DUMMYFUNCTION("""COMPUTED_VALUE"""),19362701)</f>
        <v>19362701</v>
      </c>
      <c r="P46" s="422">
        <f ca="1">IFERROR(__xludf.DUMMYFUNCTION("""COMPUTED_VALUE"""),0.7004)</f>
        <v>0.70040000000000002</v>
      </c>
      <c r="Q46" s="422">
        <f ca="1">IFERROR(__xludf.DUMMYFUNCTION("""COMPUTED_VALUE"""),0.7466)</f>
        <v>0.74660000000000004</v>
      </c>
      <c r="R46" s="422">
        <f t="shared" ca="1" si="0"/>
        <v>3.3159906301750669E-2</v>
      </c>
      <c r="S46" s="427">
        <f t="shared" ca="1" si="1"/>
        <v>1.3085879949985172E-2</v>
      </c>
      <c r="T46" s="529">
        <v>46195</v>
      </c>
      <c r="U46" s="419">
        <f ca="1">IFERROR(__xludf.DUMMYFUNCTION("""COMPUTED_VALUE"""),2286)</f>
        <v>2286</v>
      </c>
      <c r="V46" s="419">
        <f ca="1">IFERROR(__xludf.DUMMYFUNCTION("""COMPUTED_VALUE"""),2080)</f>
        <v>2080</v>
      </c>
      <c r="W46" s="419">
        <f ca="1">IFERROR(__xludf.DUMMYFUNCTION("""COMPUTED_VALUE"""),16)</f>
        <v>16</v>
      </c>
      <c r="X46" s="419">
        <f ca="1">IFERROR(__xludf.DUMMYFUNCTION("""COMPUTED_VALUE"""),28223)</f>
        <v>28223</v>
      </c>
      <c r="Y46" s="419">
        <f ca="1">IFERROR(__xludf.DUMMYFUNCTION("""COMPUTED_VALUE"""),190)</f>
        <v>190</v>
      </c>
      <c r="Z46" s="419">
        <f ca="1">IFERROR(__xludf.DUMMYFUNCTION("""COMPUTED_VALUE"""),6483092)</f>
        <v>6483092</v>
      </c>
      <c r="AA46" s="701">
        <f ca="1">IFERROR(__xludf.DUMMYFUNCTION("""COMPUTED_VALUE"""),0.0044)</f>
        <v>4.4000000000000003E-3</v>
      </c>
      <c r="AB46" s="419">
        <f ca="1">IFERROR(__xludf.DUMMYFUNCTION("""COMPUTED_VALUE"""),39)</f>
        <v>39</v>
      </c>
      <c r="AC46" s="419">
        <f ca="1">IFERROR(__xludf.DUMMYFUNCTION("""COMPUTED_VALUE"""),13)</f>
        <v>13</v>
      </c>
      <c r="AD46" s="419">
        <f ca="1">IFERROR(__xludf.DUMMYFUNCTION("""COMPUTED_VALUE"""),0)</f>
        <v>0</v>
      </c>
      <c r="AE46" s="419">
        <f ca="1">IFERROR(__xludf.DUMMYFUNCTION("""COMPUTED_VALUE"""),84)</f>
        <v>84</v>
      </c>
      <c r="AF46" s="419">
        <f ca="1">IFERROR(__xludf.DUMMYFUNCTION("""COMPUTED_VALUE"""),26)</f>
        <v>26</v>
      </c>
      <c r="AG46" s="701">
        <f ca="1">IFERROR(__xludf.DUMMYFUNCTION("""COMPUTED_VALUE"""),0.003)</f>
        <v>3.0000000000000001E-3</v>
      </c>
      <c r="AH46" s="543">
        <f ca="1">IFERROR(__xludf.DUMMYFUNCTION("""COMPUTED_VALUE"""),1)</f>
        <v>1</v>
      </c>
    </row>
    <row r="47" spans="1:34" ht="15.75" customHeight="1">
      <c r="G47" s="529">
        <v>46191</v>
      </c>
      <c r="H47" s="419">
        <f ca="1">IFERROR(__xludf.DUMMYFUNCTION("""COMPUTED_VALUE"""),7516)</f>
        <v>7516</v>
      </c>
      <c r="I47" s="419">
        <f ca="1">IFERROR(__xludf.DUMMYFUNCTION("""COMPUTED_VALUE"""),-7268)</f>
        <v>-7268</v>
      </c>
      <c r="J47" s="419">
        <f ca="1">IFERROR(__xludf.DUMMYFUNCTION("""COMPUTED_VALUE"""),37)</f>
        <v>37</v>
      </c>
      <c r="K47" s="419">
        <f ca="1">IFERROR(__xludf.DUMMYFUNCTION("""COMPUTED_VALUE"""),285)</f>
        <v>285</v>
      </c>
      <c r="L47" s="419">
        <f ca="1">IFERROR(__xludf.DUMMYFUNCTION("""COMPUTED_VALUE"""),18148282)</f>
        <v>18148282</v>
      </c>
      <c r="M47" s="419">
        <f ca="1">IFERROR(__xludf.DUMMYFUNCTION("""COMPUTED_VALUE"""),860135)</f>
        <v>860135</v>
      </c>
      <c r="N47" s="419">
        <f ca="1">IFERROR(__xludf.DUMMYFUNCTION("""COMPUTED_VALUE"""),338210)</f>
        <v>338210</v>
      </c>
      <c r="O47" s="419">
        <f ca="1">IFERROR(__xludf.DUMMYFUNCTION("""COMPUTED_VALUE"""),19346627)</f>
        <v>19346627</v>
      </c>
      <c r="P47" s="422">
        <f ca="1">IFERROR(__xludf.DUMMYFUNCTION("""COMPUTED_VALUE"""),0.6998)</f>
        <v>0.69979999999999998</v>
      </c>
      <c r="Q47" s="422">
        <f ca="1">IFERROR(__xludf.DUMMYFUNCTION("""COMPUTED_VALUE"""),0.746)</f>
        <v>0.746</v>
      </c>
      <c r="R47" s="422">
        <f t="shared" ca="1" si="0"/>
        <v>3.3166912052611922E-2</v>
      </c>
      <c r="S47" s="427">
        <f t="shared" ca="1" si="1"/>
        <v>1.3041419457775672E-2</v>
      </c>
      <c r="T47" s="529">
        <v>46191</v>
      </c>
      <c r="U47" s="419">
        <f ca="1">IFERROR(__xludf.DUMMYFUNCTION("""COMPUTED_VALUE"""),893)</f>
        <v>893</v>
      </c>
      <c r="V47" s="419">
        <f ca="1">IFERROR(__xludf.DUMMYFUNCTION("""COMPUTED_VALUE"""),903)</f>
        <v>903</v>
      </c>
      <c r="W47" s="419">
        <f ca="1">IFERROR(__xludf.DUMMYFUNCTION("""COMPUTED_VALUE"""),38)</f>
        <v>38</v>
      </c>
      <c r="X47" s="419">
        <f ca="1">IFERROR(__xludf.DUMMYFUNCTION("""COMPUTED_VALUE"""),28033)</f>
        <v>28033</v>
      </c>
      <c r="Y47" s="419">
        <f ca="1">IFERROR(__xludf.DUMMYFUNCTION("""COMPUTED_VALUE"""),-48)</f>
        <v>-48</v>
      </c>
      <c r="Z47" s="419">
        <f ca="1">IFERROR(__xludf.DUMMYFUNCTION("""COMPUTED_VALUE"""),6483092)</f>
        <v>6483092</v>
      </c>
      <c r="AA47" s="701">
        <f ca="1">IFERROR(__xludf.DUMMYFUNCTION("""COMPUTED_VALUE"""),0.0043)</f>
        <v>4.3E-3</v>
      </c>
      <c r="AB47" s="419">
        <f ca="1">IFERROR(__xludf.DUMMYFUNCTION("""COMPUTED_VALUE"""),10)</f>
        <v>10</v>
      </c>
      <c r="AC47" s="419">
        <f ca="1">IFERROR(__xludf.DUMMYFUNCTION("""COMPUTED_VALUE"""),7)</f>
        <v>7</v>
      </c>
      <c r="AD47" s="419">
        <f ca="1">IFERROR(__xludf.DUMMYFUNCTION("""COMPUTED_VALUE"""),1)</f>
        <v>1</v>
      </c>
      <c r="AE47" s="419">
        <f ca="1">IFERROR(__xludf.DUMMYFUNCTION("""COMPUTED_VALUE"""),58)</f>
        <v>58</v>
      </c>
      <c r="AF47" s="419">
        <f ca="1">IFERROR(__xludf.DUMMYFUNCTION("""COMPUTED_VALUE"""),2)</f>
        <v>2</v>
      </c>
      <c r="AG47" s="701">
        <f ca="1">IFERROR(__xludf.DUMMYFUNCTION("""COMPUTED_VALUE"""),0.0021)</f>
        <v>2.0999999999999999E-3</v>
      </c>
      <c r="AH47" s="543">
        <f ca="1">IFERROR(__xludf.DUMMYFUNCTION("""COMPUTED_VALUE"""),0)</f>
        <v>0</v>
      </c>
    </row>
    <row r="48" spans="1:34" ht="15.75" customHeight="1" thickBot="1">
      <c r="G48" s="540" t="str">
        <f ca="1">IFERROR(__xludf.DUMMYFUNCTION("""COMPUTED_VALUE"""),"合計買賣超")</f>
        <v>合計買賣超</v>
      </c>
      <c r="H48" s="541">
        <f ca="1">IFERROR(__xludf.DUMMYFUNCTION("""COMPUTED_VALUE"""),-183030)</f>
        <v>-183030</v>
      </c>
      <c r="I48" s="541">
        <f ca="1">IFERROR(__xludf.DUMMYFUNCTION("""COMPUTED_VALUE"""),21939)</f>
        <v>21939</v>
      </c>
      <c r="J48" s="541">
        <f ca="1">IFERROR(__xludf.DUMMYFUNCTION("""COMPUTED_VALUE"""),29443)</f>
        <v>29443</v>
      </c>
      <c r="K48" s="541">
        <f ca="1">IFERROR(__xludf.DUMMYFUNCTION("""COMPUTED_VALUE"""),-131648)</f>
        <v>-131648</v>
      </c>
      <c r="L48" s="541"/>
      <c r="M48" s="541"/>
      <c r="N48" s="541"/>
      <c r="O48" s="541"/>
      <c r="P48" s="706"/>
      <c r="Q48" s="706"/>
      <c r="R48" s="707"/>
      <c r="S48" s="708" t="str">
        <f t="shared" si="1"/>
        <v xml:space="preserve"> </v>
      </c>
      <c r="T48" s="535" t="str">
        <f ca="1">IFERROR(__xludf.DUMMYFUNCTION("""COMPUTED_VALUE"""),"合計融資餘額增減數")</f>
        <v>合計融資餘額增減數</v>
      </c>
      <c r="U48" s="536"/>
      <c r="V48" s="536"/>
      <c r="W48" s="536"/>
      <c r="X48" s="536"/>
      <c r="Y48" s="536">
        <f ca="1">IFERROR(__xludf.DUMMYFUNCTION("""COMPUTED_VALUE"""),-21)</f>
        <v>-21</v>
      </c>
      <c r="Z48" s="536"/>
      <c r="AA48" s="703"/>
      <c r="AB48" s="536" t="str">
        <f ca="1">IFERROR(__xludf.DUMMYFUNCTION("""COMPUTED_VALUE"""),"合計融券餘額增減數")</f>
        <v>合計融券餘額增減數</v>
      </c>
      <c r="AC48" s="536"/>
      <c r="AD48" s="536"/>
      <c r="AE48" s="536"/>
      <c r="AF48" s="536">
        <f ca="1">IFERROR(__xludf.DUMMYFUNCTION("""COMPUTED_VALUE"""),-20)</f>
        <v>-20</v>
      </c>
      <c r="AG48" s="703"/>
      <c r="AH48" s="539"/>
    </row>
    <row r="49" spans="1:19" ht="15.75" customHeight="1" thickBot="1"/>
    <row r="50" spans="1:19" ht="15.75" customHeight="1" thickBot="1">
      <c r="A50" s="705" t="s">
        <v>73</v>
      </c>
      <c r="B50" s="563"/>
      <c r="C50" s="563"/>
      <c r="D50" s="563"/>
      <c r="E50" s="563"/>
      <c r="F50" s="563"/>
      <c r="G50" s="563"/>
      <c r="H50" s="563"/>
      <c r="I50" s="563"/>
      <c r="J50" s="564"/>
    </row>
    <row r="51" spans="1:19" ht="15.75" customHeight="1">
      <c r="A51" s="532" t="str">
        <f ca="1">IFERROR(__xludf.DUMMYFUNCTION("IMPORTHTML(SUBSTITUTE(""https://histock.tw/stock/branch.aspx?no=股票代碼
"", ""股票代碼"",'股價預估'!E1),""table"",0)"),"券商名稱")</f>
        <v>券商名稱</v>
      </c>
      <c r="B51" s="533" t="str">
        <f ca="1">IFERROR(__xludf.DUMMYFUNCTION("""COMPUTED_VALUE"""),"買張")</f>
        <v>買張</v>
      </c>
      <c r="C51" s="533" t="str">
        <f ca="1">IFERROR(__xludf.DUMMYFUNCTION("""COMPUTED_VALUE"""),"賣張")</f>
        <v>賣張</v>
      </c>
      <c r="D51" s="533" t="str">
        <f ca="1">IFERROR(__xludf.DUMMYFUNCTION("""COMPUTED_VALUE"""),"賣超")</f>
        <v>賣超</v>
      </c>
      <c r="E51" s="533" t="str">
        <f ca="1">IFERROR(__xludf.DUMMYFUNCTION("""COMPUTED_VALUE"""),"均價")</f>
        <v>均價</v>
      </c>
      <c r="F51" s="533" t="str">
        <f ca="1">IFERROR(__xludf.DUMMYFUNCTION("""COMPUTED_VALUE"""),"券商名稱")</f>
        <v>券商名稱</v>
      </c>
      <c r="G51" s="533" t="str">
        <f ca="1">IFERROR(__xludf.DUMMYFUNCTION("""COMPUTED_VALUE"""),"買張")</f>
        <v>買張</v>
      </c>
      <c r="H51" s="533" t="str">
        <f ca="1">IFERROR(__xludf.DUMMYFUNCTION("""COMPUTED_VALUE"""),"賣張")</f>
        <v>賣張</v>
      </c>
      <c r="I51" s="533" t="str">
        <f ca="1">IFERROR(__xludf.DUMMYFUNCTION("""COMPUTED_VALUE"""),"買超")</f>
        <v>買超</v>
      </c>
      <c r="J51" s="534" t="str">
        <f ca="1">IFERROR(__xludf.DUMMYFUNCTION("""COMPUTED_VALUE"""),"均價")</f>
        <v>均價</v>
      </c>
      <c r="O51" s="526" t="str">
        <f ca="1">IFERROR(__xludf.DUMMYFUNCTION("IMPORTHTML(SUBSTITUTE(""https://histock.tw/stock/股票代碼
"", ""股票代碼"",'股價預估'!E1),""table"",4)"),"項目")</f>
        <v>項目</v>
      </c>
      <c r="P51" s="527" t="str">
        <f ca="1">IFERROR(__xludf.DUMMYFUNCTION("""COMPUTED_VALUE"""),"起始日期")</f>
        <v>起始日期</v>
      </c>
      <c r="Q51" s="527" t="str">
        <f ca="1">IFERROR(__xludf.DUMMYFUNCTION("""COMPUTED_VALUE"""),"連續天數")</f>
        <v>連續天數</v>
      </c>
      <c r="R51" s="527" t="str">
        <f ca="1">IFERROR(__xludf.DUMMYFUNCTION("""COMPUTED_VALUE"""),"累積數量")</f>
        <v>累積數量</v>
      </c>
      <c r="S51" s="713"/>
    </row>
    <row r="52" spans="1:19" ht="15.75" customHeight="1">
      <c r="A52" s="544" t="str">
        <f ca="1">IFERROR(__xludf.DUMMYFUNCTION("""COMPUTED_VALUE"""),"台灣摩根士丹利")</f>
        <v>台灣摩根士丹利</v>
      </c>
      <c r="B52" s="545">
        <f ca="1">IFERROR(__xludf.DUMMYFUNCTION("""COMPUTED_VALUE"""),270)</f>
        <v>270</v>
      </c>
      <c r="C52" s="419">
        <f ca="1">IFERROR(__xludf.DUMMYFUNCTION("""COMPUTED_VALUE"""),1603)</f>
        <v>1603</v>
      </c>
      <c r="D52" s="547">
        <f ca="1">IFERROR(__xludf.DUMMYFUNCTION("""COMPUTED_VALUE"""),-1332)</f>
        <v>-1332</v>
      </c>
      <c r="E52" s="420">
        <f ca="1">IFERROR(__xludf.DUMMYFUNCTION("""COMPUTED_VALUE"""),2416.31)</f>
        <v>2416.31</v>
      </c>
      <c r="F52" s="420" t="str">
        <f ca="1">IFERROR(__xludf.DUMMYFUNCTION("""COMPUTED_VALUE"""),"港商麥格理")</f>
        <v>港商麥格理</v>
      </c>
      <c r="G52" s="419">
        <f ca="1">IFERROR(__xludf.DUMMYFUNCTION("""COMPUTED_VALUE"""),1832)</f>
        <v>1832</v>
      </c>
      <c r="H52" s="420">
        <f ca="1">IFERROR(__xludf.DUMMYFUNCTION("""COMPUTED_VALUE"""),21)</f>
        <v>21</v>
      </c>
      <c r="I52" s="548">
        <f ca="1">IFERROR(__xludf.DUMMYFUNCTION("""COMPUTED_VALUE"""),1810)</f>
        <v>1810</v>
      </c>
      <c r="J52" s="543">
        <f ca="1">IFERROR(__xludf.DUMMYFUNCTION("""COMPUTED_VALUE"""),2425.79)</f>
        <v>2425.79</v>
      </c>
      <c r="O52" s="544" t="str">
        <f ca="1">IFERROR(__xludf.DUMMYFUNCTION("""COMPUTED_VALUE"""),"外資")</f>
        <v>外資</v>
      </c>
      <c r="P52" s="420" t="str">
        <f ca="1">IFERROR(__xludf.DUMMYFUNCTION("""COMPUTED_VALUE"""),"2026.08.14")</f>
        <v>2026.08.14</v>
      </c>
      <c r="Q52" s="420" t="str">
        <f ca="1">IFERROR(__xludf.DUMMYFUNCTION("""COMPUTED_VALUE"""),"賣超1天")</f>
        <v>賣超1天</v>
      </c>
      <c r="R52" s="420" t="str">
        <f ca="1">IFERROR(__xludf.DUMMYFUNCTION("""COMPUTED_VALUE"""),"-3,024張")</f>
        <v>-3,024張</v>
      </c>
      <c r="S52" s="550" t="str">
        <f t="shared" ref="S52:S56" ca="1" si="2">O52&amp;Q52</f>
        <v>外資賣超1天</v>
      </c>
    </row>
    <row r="53" spans="1:19" ht="15.75" customHeight="1">
      <c r="A53" s="544" t="str">
        <f ca="1">IFERROR(__xludf.DUMMYFUNCTION("""COMPUTED_VALUE"""),"美商高盛")</f>
        <v>美商高盛</v>
      </c>
      <c r="B53" s="545">
        <f ca="1">IFERROR(__xludf.DUMMYFUNCTION("""COMPUTED_VALUE"""),705)</f>
        <v>705</v>
      </c>
      <c r="C53" s="419">
        <f ca="1">IFERROR(__xludf.DUMMYFUNCTION("""COMPUTED_VALUE"""),1769)</f>
        <v>1769</v>
      </c>
      <c r="D53" s="547">
        <f ca="1">IFERROR(__xludf.DUMMYFUNCTION("""COMPUTED_VALUE"""),-1064)</f>
        <v>-1064</v>
      </c>
      <c r="E53" s="420">
        <f ca="1">IFERROR(__xludf.DUMMYFUNCTION("""COMPUTED_VALUE"""),2413.21)</f>
        <v>2413.21</v>
      </c>
      <c r="F53" s="420" t="str">
        <f ca="1">IFERROR(__xludf.DUMMYFUNCTION("""COMPUTED_VALUE"""),"國泰")</f>
        <v>國泰</v>
      </c>
      <c r="G53" s="420">
        <f ca="1">IFERROR(__xludf.DUMMYFUNCTION("""COMPUTED_VALUE"""),770)</f>
        <v>770</v>
      </c>
      <c r="H53" s="420">
        <f ca="1">IFERROR(__xludf.DUMMYFUNCTION("""COMPUTED_VALUE"""),12)</f>
        <v>12</v>
      </c>
      <c r="I53" s="711">
        <f ca="1">IFERROR(__xludf.DUMMYFUNCTION("""COMPUTED_VALUE"""),757)</f>
        <v>757</v>
      </c>
      <c r="J53" s="543">
        <f ca="1">IFERROR(__xludf.DUMMYFUNCTION("""COMPUTED_VALUE"""),2420)</f>
        <v>2420</v>
      </c>
      <c r="O53" s="544" t="str">
        <f ca="1">IFERROR(__xludf.DUMMYFUNCTION("""COMPUTED_VALUE"""),"自營")</f>
        <v>自營</v>
      </c>
      <c r="P53" s="420" t="str">
        <f ca="1">IFERROR(__xludf.DUMMYFUNCTION("""COMPUTED_VALUE"""),"2026.08.14")</f>
        <v>2026.08.14</v>
      </c>
      <c r="Q53" s="420" t="str">
        <f ca="1">IFERROR(__xludf.DUMMYFUNCTION("""COMPUTED_VALUE"""),"賣超1天")</f>
        <v>賣超1天</v>
      </c>
      <c r="R53" s="420" t="str">
        <f ca="1">IFERROR(__xludf.DUMMYFUNCTION("""COMPUTED_VALUE"""),"-373張")</f>
        <v>-373張</v>
      </c>
      <c r="S53" s="550" t="str">
        <f t="shared" ca="1" si="2"/>
        <v>自營賣超1天</v>
      </c>
    </row>
    <row r="54" spans="1:19" ht="15.75" customHeight="1">
      <c r="A54" s="544" t="str">
        <f ca="1">IFERROR(__xludf.DUMMYFUNCTION("""COMPUTED_VALUE"""),"法銀巴黎")</f>
        <v>法銀巴黎</v>
      </c>
      <c r="B54" s="545">
        <f ca="1">IFERROR(__xludf.DUMMYFUNCTION("""COMPUTED_VALUE"""),43)</f>
        <v>43</v>
      </c>
      <c r="C54" s="420">
        <f ca="1">IFERROR(__xludf.DUMMYFUNCTION("""COMPUTED_VALUE"""),962)</f>
        <v>962</v>
      </c>
      <c r="D54" s="709">
        <f ca="1">IFERROR(__xludf.DUMMYFUNCTION("""COMPUTED_VALUE"""),-918)</f>
        <v>-918</v>
      </c>
      <c r="E54" s="420">
        <f ca="1">IFERROR(__xludf.DUMMYFUNCTION("""COMPUTED_VALUE"""),2405.95)</f>
        <v>2405.9499999999998</v>
      </c>
      <c r="F54" s="420" t="str">
        <f ca="1">IFERROR(__xludf.DUMMYFUNCTION("""COMPUTED_VALUE"""),"中國信託")</f>
        <v>中國信託</v>
      </c>
      <c r="G54" s="420">
        <f ca="1">IFERROR(__xludf.DUMMYFUNCTION("""COMPUTED_VALUE"""),586)</f>
        <v>586</v>
      </c>
      <c r="H54" s="420">
        <f ca="1">IFERROR(__xludf.DUMMYFUNCTION("""COMPUTED_VALUE"""),96)</f>
        <v>96</v>
      </c>
      <c r="I54" s="711">
        <f ca="1">IFERROR(__xludf.DUMMYFUNCTION("""COMPUTED_VALUE"""),490)</f>
        <v>490</v>
      </c>
      <c r="J54" s="543">
        <f ca="1">IFERROR(__xludf.DUMMYFUNCTION("""COMPUTED_VALUE"""),2421.51)</f>
        <v>2421.5100000000002</v>
      </c>
      <c r="O54" s="544" t="str">
        <f ca="1">IFERROR(__xludf.DUMMYFUNCTION("""COMPUTED_VALUE"""),"投信")</f>
        <v>投信</v>
      </c>
      <c r="P54" s="420" t="str">
        <f ca="1">IFERROR(__xludf.DUMMYFUNCTION("""COMPUTED_VALUE"""),"2026.08.14")</f>
        <v>2026.08.14</v>
      </c>
      <c r="Q54" s="420" t="str">
        <f ca="1">IFERROR(__xludf.DUMMYFUNCTION("""COMPUTED_VALUE"""),"賣超1天")</f>
        <v>賣超1天</v>
      </c>
      <c r="R54" s="420" t="str">
        <f ca="1">IFERROR(__xludf.DUMMYFUNCTION("""COMPUTED_VALUE"""),"-381張")</f>
        <v>-381張</v>
      </c>
      <c r="S54" s="550" t="str">
        <f t="shared" ca="1" si="2"/>
        <v>投信賣超1天</v>
      </c>
    </row>
    <row r="55" spans="1:19" ht="15.75" customHeight="1">
      <c r="A55" s="544" t="str">
        <f ca="1">IFERROR(__xludf.DUMMYFUNCTION("""COMPUTED_VALUE"""),"永豐金")</f>
        <v>永豐金</v>
      </c>
      <c r="B55" s="545">
        <f ca="1">IFERROR(__xludf.DUMMYFUNCTION("""COMPUTED_VALUE"""),487)</f>
        <v>487</v>
      </c>
      <c r="C55" s="419">
        <f ca="1">IFERROR(__xludf.DUMMYFUNCTION("""COMPUTED_VALUE"""),1395)</f>
        <v>1395</v>
      </c>
      <c r="D55" s="709">
        <f ca="1">IFERROR(__xludf.DUMMYFUNCTION("""COMPUTED_VALUE"""),-908)</f>
        <v>-908</v>
      </c>
      <c r="E55" s="420">
        <f ca="1">IFERROR(__xludf.DUMMYFUNCTION("""COMPUTED_VALUE"""),2422.69)</f>
        <v>2422.69</v>
      </c>
      <c r="F55" s="420" t="str">
        <f ca="1">IFERROR(__xludf.DUMMYFUNCTION("""COMPUTED_VALUE"""),"新加坡商瑞銀")</f>
        <v>新加坡商瑞銀</v>
      </c>
      <c r="G55" s="419">
        <f ca="1">IFERROR(__xludf.DUMMYFUNCTION("""COMPUTED_VALUE"""),1921)</f>
        <v>1921</v>
      </c>
      <c r="H55" s="419">
        <f ca="1">IFERROR(__xludf.DUMMYFUNCTION("""COMPUTED_VALUE"""),1518)</f>
        <v>1518</v>
      </c>
      <c r="I55" s="711">
        <f ca="1">IFERROR(__xludf.DUMMYFUNCTION("""COMPUTED_VALUE"""),402)</f>
        <v>402</v>
      </c>
      <c r="J55" s="543">
        <f ca="1">IFERROR(__xludf.DUMMYFUNCTION("""COMPUTED_VALUE"""),2414.16)</f>
        <v>2414.16</v>
      </c>
      <c r="O55" s="544" t="str">
        <f ca="1">IFERROR(__xludf.DUMMYFUNCTION("""COMPUTED_VALUE"""),"融資")</f>
        <v>融資</v>
      </c>
      <c r="P55" s="420" t="str">
        <f ca="1">IFERROR(__xludf.DUMMYFUNCTION("""COMPUTED_VALUE"""),"2026.08.14")</f>
        <v>2026.08.14</v>
      </c>
      <c r="Q55" s="420" t="str">
        <f ca="1">IFERROR(__xludf.DUMMYFUNCTION("""COMPUTED_VALUE"""),"增加1天")</f>
        <v>增加1天</v>
      </c>
      <c r="R55" s="420" t="str">
        <f ca="1">IFERROR(__xludf.DUMMYFUNCTION("""COMPUTED_VALUE"""),"97張")</f>
        <v>97張</v>
      </c>
      <c r="S55" s="550" t="str">
        <f t="shared" ca="1" si="2"/>
        <v>融資增加1天</v>
      </c>
    </row>
    <row r="56" spans="1:19" ht="13">
      <c r="A56" s="544" t="str">
        <f ca="1">IFERROR(__xludf.DUMMYFUNCTION("""COMPUTED_VALUE"""),"元大")</f>
        <v>元大</v>
      </c>
      <c r="B56" s="545">
        <f ca="1">IFERROR(__xludf.DUMMYFUNCTION("""COMPUTED_VALUE"""),498)</f>
        <v>498</v>
      </c>
      <c r="C56" s="419">
        <f ca="1">IFERROR(__xludf.DUMMYFUNCTION("""COMPUTED_VALUE"""),1340)</f>
        <v>1340</v>
      </c>
      <c r="D56" s="709">
        <f ca="1">IFERROR(__xludf.DUMMYFUNCTION("""COMPUTED_VALUE"""),-841)</f>
        <v>-841</v>
      </c>
      <c r="E56" s="420">
        <f ca="1">IFERROR(__xludf.DUMMYFUNCTION("""COMPUTED_VALUE"""),2416.38)</f>
        <v>2416.38</v>
      </c>
      <c r="F56" s="420" t="str">
        <f ca="1">IFERROR(__xludf.DUMMYFUNCTION("""COMPUTED_VALUE"""),"群益金鼎-北高雄")</f>
        <v>群益金鼎-北高雄</v>
      </c>
      <c r="G56" s="420">
        <f ca="1">IFERROR(__xludf.DUMMYFUNCTION("""COMPUTED_VALUE"""),204)</f>
        <v>204</v>
      </c>
      <c r="H56" s="420"/>
      <c r="I56" s="711">
        <f ca="1">IFERROR(__xludf.DUMMYFUNCTION("""COMPUTED_VALUE"""),203)</f>
        <v>203</v>
      </c>
      <c r="J56" s="543">
        <f ca="1">IFERROR(__xludf.DUMMYFUNCTION("""COMPUTED_VALUE"""),2395.37)</f>
        <v>2395.37</v>
      </c>
      <c r="O56" s="544" t="str">
        <f ca="1">IFERROR(__xludf.DUMMYFUNCTION("""COMPUTED_VALUE"""),"融券")</f>
        <v>融券</v>
      </c>
      <c r="P56" s="420" t="str">
        <f ca="1">IFERROR(__xludf.DUMMYFUNCTION("""COMPUTED_VALUE"""),"2026.08.13")</f>
        <v>2026.08.13</v>
      </c>
      <c r="Q56" s="420" t="str">
        <f ca="1">IFERROR(__xludf.DUMMYFUNCTION("""COMPUTED_VALUE"""),"減少2天")</f>
        <v>減少2天</v>
      </c>
      <c r="R56" s="420" t="str">
        <f ca="1">IFERROR(__xludf.DUMMYFUNCTION("""COMPUTED_VALUE"""),"-3張")</f>
        <v>-3張</v>
      </c>
      <c r="S56" s="550" t="str">
        <f t="shared" ca="1" si="2"/>
        <v>融券減少2天</v>
      </c>
    </row>
    <row r="57" spans="1:19" ht="13">
      <c r="A57" s="544" t="str">
        <f ca="1">IFERROR(__xludf.DUMMYFUNCTION("""COMPUTED_VALUE"""),"港商野村")</f>
        <v>港商野村</v>
      </c>
      <c r="B57" s="545">
        <f ca="1">IFERROR(__xludf.DUMMYFUNCTION("""COMPUTED_VALUE"""),1)</f>
        <v>1</v>
      </c>
      <c r="C57" s="420">
        <f ca="1">IFERROR(__xludf.DUMMYFUNCTION("""COMPUTED_VALUE"""),607)</f>
        <v>607</v>
      </c>
      <c r="D57" s="709">
        <f ca="1">IFERROR(__xludf.DUMMYFUNCTION("""COMPUTED_VALUE"""),-606)</f>
        <v>-606</v>
      </c>
      <c r="E57" s="420">
        <f ca="1">IFERROR(__xludf.DUMMYFUNCTION("""COMPUTED_VALUE"""),2413.51)</f>
        <v>2413.5100000000002</v>
      </c>
      <c r="F57" s="420" t="str">
        <f ca="1">IFERROR(__xludf.DUMMYFUNCTION("""COMPUTED_VALUE"""),"德信")</f>
        <v>德信</v>
      </c>
      <c r="G57" s="420">
        <f ca="1">IFERROR(__xludf.DUMMYFUNCTION("""COMPUTED_VALUE"""),205)</f>
        <v>205</v>
      </c>
      <c r="H57" s="420">
        <f ca="1">IFERROR(__xludf.DUMMYFUNCTION("""COMPUTED_VALUE"""),6)</f>
        <v>6</v>
      </c>
      <c r="I57" s="711">
        <f ca="1">IFERROR(__xludf.DUMMYFUNCTION("""COMPUTED_VALUE"""),199)</f>
        <v>199</v>
      </c>
      <c r="J57" s="543">
        <f ca="1">IFERROR(__xludf.DUMMYFUNCTION("""COMPUTED_VALUE"""),2425.61)</f>
        <v>2425.61</v>
      </c>
      <c r="O57" s="544" t="str">
        <f ca="1">IFERROR(__xludf.DUMMYFUNCTION("""COMPUTED_VALUE"""),"營收")</f>
        <v>營收</v>
      </c>
      <c r="P57" s="420" t="str">
        <f ca="1">IFERROR(__xludf.DUMMYFUNCTION("""COMPUTED_VALUE"""),"2026.05.01")</f>
        <v>2026.05.01</v>
      </c>
      <c r="Q57" s="420" t="str">
        <f ca="1">IFERROR(__xludf.DUMMYFUNCTION("""COMPUTED_VALUE"""),"連續3個月成長")</f>
        <v>連續3個月成長</v>
      </c>
      <c r="R57" s="420"/>
      <c r="S57" s="551"/>
    </row>
    <row r="58" spans="1:19" ht="13.5" thickBot="1">
      <c r="A58" s="544" t="str">
        <f ca="1">IFERROR(__xludf.DUMMYFUNCTION("""COMPUTED_VALUE"""),"凱基-台北")</f>
        <v>凱基-台北</v>
      </c>
      <c r="B58" s="545">
        <f ca="1">IFERROR(__xludf.DUMMYFUNCTION("""COMPUTED_VALUE"""),393)</f>
        <v>393</v>
      </c>
      <c r="C58" s="420">
        <f ca="1">IFERROR(__xludf.DUMMYFUNCTION("""COMPUTED_VALUE"""),903)</f>
        <v>903</v>
      </c>
      <c r="D58" s="709">
        <f ca="1">IFERROR(__xludf.DUMMYFUNCTION("""COMPUTED_VALUE"""),-509)</f>
        <v>-509</v>
      </c>
      <c r="E58" s="420">
        <f ca="1">IFERROR(__xludf.DUMMYFUNCTION("""COMPUTED_VALUE"""),2418.64)</f>
        <v>2418.64</v>
      </c>
      <c r="F58" s="420" t="str">
        <f ca="1">IFERROR(__xludf.DUMMYFUNCTION("""COMPUTED_VALUE"""),"華南永昌-忠孝")</f>
        <v>華南永昌-忠孝</v>
      </c>
      <c r="G58" s="420">
        <f ca="1">IFERROR(__xludf.DUMMYFUNCTION("""COMPUTED_VALUE"""),201)</f>
        <v>201</v>
      </c>
      <c r="H58" s="420">
        <f ca="1">IFERROR(__xludf.DUMMYFUNCTION("""COMPUTED_VALUE"""),2)</f>
        <v>2</v>
      </c>
      <c r="I58" s="711">
        <f ca="1">IFERROR(__xludf.DUMMYFUNCTION("""COMPUTED_VALUE"""),198)</f>
        <v>198</v>
      </c>
      <c r="J58" s="543">
        <f ca="1">IFERROR(__xludf.DUMMYFUNCTION("""COMPUTED_VALUE"""),2434.91)</f>
        <v>2434.91</v>
      </c>
      <c r="O58" s="549"/>
      <c r="P58" s="538"/>
      <c r="Q58" s="538"/>
      <c r="R58" s="538"/>
      <c r="S58" s="552"/>
    </row>
    <row r="59" spans="1:19" ht="12.5">
      <c r="A59" s="544" t="str">
        <f ca="1">IFERROR(__xludf.DUMMYFUNCTION("""COMPUTED_VALUE"""),"美林")</f>
        <v>美林</v>
      </c>
      <c r="B59" s="545">
        <f ca="1">IFERROR(__xludf.DUMMYFUNCTION("""COMPUTED_VALUE"""),226)</f>
        <v>226</v>
      </c>
      <c r="C59" s="420">
        <f ca="1">IFERROR(__xludf.DUMMYFUNCTION("""COMPUTED_VALUE"""),462)</f>
        <v>462</v>
      </c>
      <c r="D59" s="709">
        <f ca="1">IFERROR(__xludf.DUMMYFUNCTION("""COMPUTED_VALUE"""),-236)</f>
        <v>-236</v>
      </c>
      <c r="E59" s="420">
        <f ca="1">IFERROR(__xludf.DUMMYFUNCTION("""COMPUTED_VALUE"""),2422.25)</f>
        <v>2422.25</v>
      </c>
      <c r="F59" s="420" t="str">
        <f ca="1">IFERROR(__xludf.DUMMYFUNCTION("""COMPUTED_VALUE"""),"花旗環球")</f>
        <v>花旗環球</v>
      </c>
      <c r="G59" s="419">
        <f ca="1">IFERROR(__xludf.DUMMYFUNCTION("""COMPUTED_VALUE"""),1239)</f>
        <v>1239</v>
      </c>
      <c r="H59" s="419">
        <f ca="1">IFERROR(__xludf.DUMMYFUNCTION("""COMPUTED_VALUE"""),1063)</f>
        <v>1063</v>
      </c>
      <c r="I59" s="711">
        <f ca="1">IFERROR(__xludf.DUMMYFUNCTION("""COMPUTED_VALUE"""),175)</f>
        <v>175</v>
      </c>
      <c r="J59" s="543">
        <f ca="1">IFERROR(__xludf.DUMMYFUNCTION("""COMPUTED_VALUE"""),2417.24)</f>
        <v>2417.2399999999998</v>
      </c>
    </row>
    <row r="60" spans="1:19" ht="13" thickBot="1">
      <c r="A60" s="535" t="str">
        <f ca="1">IFERROR(__xludf.DUMMYFUNCTION("""COMPUTED_VALUE"""),"玉山-台南")</f>
        <v>玉山-台南</v>
      </c>
      <c r="B60" s="546">
        <f ca="1">IFERROR(__xludf.DUMMYFUNCTION("""COMPUTED_VALUE"""),11)</f>
        <v>11</v>
      </c>
      <c r="C60" s="537">
        <f ca="1">IFERROR(__xludf.DUMMYFUNCTION("""COMPUTED_VALUE"""),157)</f>
        <v>157</v>
      </c>
      <c r="D60" s="710">
        <f ca="1">IFERROR(__xludf.DUMMYFUNCTION("""COMPUTED_VALUE"""),-146)</f>
        <v>-146</v>
      </c>
      <c r="E60" s="537">
        <f ca="1">IFERROR(__xludf.DUMMYFUNCTION("""COMPUTED_VALUE"""),2414.44)</f>
        <v>2414.44</v>
      </c>
      <c r="F60" s="537" t="str">
        <f ca="1">IFERROR(__xludf.DUMMYFUNCTION("""COMPUTED_VALUE"""),"華南永昌")</f>
        <v>華南永昌</v>
      </c>
      <c r="G60" s="537">
        <f ca="1">IFERROR(__xludf.DUMMYFUNCTION("""COMPUTED_VALUE"""),251)</f>
        <v>251</v>
      </c>
      <c r="H60" s="537">
        <f ca="1">IFERROR(__xludf.DUMMYFUNCTION("""COMPUTED_VALUE"""),78)</f>
        <v>78</v>
      </c>
      <c r="I60" s="712">
        <f ca="1">IFERROR(__xludf.DUMMYFUNCTION("""COMPUTED_VALUE"""),172)</f>
        <v>172</v>
      </c>
      <c r="J60" s="539">
        <f ca="1">IFERROR(__xludf.DUMMYFUNCTION("""COMPUTED_VALUE"""),2411.2)</f>
        <v>2411.1999999999998</v>
      </c>
    </row>
    <row r="61" spans="1:19" ht="12.5">
      <c r="A61" s="4" t="str">
        <f ca="1">IFERROR(__xludf.DUMMYFUNCTION("""COMPUTED_VALUE"""),"元大-新生")</f>
        <v>元大-新生</v>
      </c>
      <c r="B61" s="10">
        <f ca="1">IFERROR(__xludf.DUMMYFUNCTION("""COMPUTED_VALUE"""),4)</f>
        <v>4</v>
      </c>
      <c r="C61" s="4">
        <f ca="1">IFERROR(__xludf.DUMMYFUNCTION("""COMPUTED_VALUE"""),90)</f>
        <v>90</v>
      </c>
      <c r="D61" s="4">
        <f ca="1">IFERROR(__xludf.DUMMYFUNCTION("""COMPUTED_VALUE"""),-85)</f>
        <v>-85</v>
      </c>
      <c r="E61" s="4">
        <f ca="1">IFERROR(__xludf.DUMMYFUNCTION("""COMPUTED_VALUE"""),2418.09)</f>
        <v>2418.09</v>
      </c>
      <c r="F61" s="4" t="str">
        <f ca="1">IFERROR(__xludf.DUMMYFUNCTION("""COMPUTED_VALUE"""),"凱基-站前")</f>
        <v>凱基-站前</v>
      </c>
      <c r="G61" s="4">
        <f ca="1">IFERROR(__xludf.DUMMYFUNCTION("""COMPUTED_VALUE"""),181)</f>
        <v>181</v>
      </c>
      <c r="H61" s="4">
        <f ca="1">IFERROR(__xludf.DUMMYFUNCTION("""COMPUTED_VALUE"""),11)</f>
        <v>11</v>
      </c>
      <c r="I61" s="4">
        <f ca="1">IFERROR(__xludf.DUMMYFUNCTION("""COMPUTED_VALUE"""),169)</f>
        <v>169</v>
      </c>
      <c r="J61" s="4">
        <f ca="1">IFERROR(__xludf.DUMMYFUNCTION("""COMPUTED_VALUE"""),2413.92)</f>
        <v>2413.92</v>
      </c>
    </row>
    <row r="62" spans="1:19" ht="12.5">
      <c r="A62" s="4" t="str">
        <f ca="1">IFERROR(__xludf.DUMMYFUNCTION("""COMPUTED_VALUE"""),"元大-竹科")</f>
        <v>元大-竹科</v>
      </c>
      <c r="B62" s="4">
        <f ca="1">IFERROR(__xludf.DUMMYFUNCTION("""COMPUTED_VALUE"""),11)</f>
        <v>11</v>
      </c>
      <c r="C62" s="4">
        <f ca="1">IFERROR(__xludf.DUMMYFUNCTION("""COMPUTED_VALUE"""),73)</f>
        <v>73</v>
      </c>
      <c r="D62" s="4">
        <f ca="1">IFERROR(__xludf.DUMMYFUNCTION("""COMPUTED_VALUE"""),-61)</f>
        <v>-61</v>
      </c>
      <c r="E62" s="4">
        <f ca="1">IFERROR(__xludf.DUMMYFUNCTION("""COMPUTED_VALUE"""),2422.65)</f>
        <v>2422.65</v>
      </c>
      <c r="F62" s="4" t="str">
        <f ca="1">IFERROR(__xludf.DUMMYFUNCTION("""COMPUTED_VALUE"""),"摩根大通")</f>
        <v>摩根大通</v>
      </c>
      <c r="G62" s="9">
        <f ca="1">IFERROR(__xludf.DUMMYFUNCTION("""COMPUTED_VALUE"""),2043)</f>
        <v>2043</v>
      </c>
      <c r="H62" s="9">
        <f ca="1">IFERROR(__xludf.DUMMYFUNCTION("""COMPUTED_VALUE"""),1889)</f>
        <v>1889</v>
      </c>
      <c r="I62" s="4">
        <f ca="1">IFERROR(__xludf.DUMMYFUNCTION("""COMPUTED_VALUE"""),153)</f>
        <v>153</v>
      </c>
      <c r="J62" s="4">
        <f ca="1">IFERROR(__xludf.DUMMYFUNCTION("""COMPUTED_VALUE"""),2413.04)</f>
        <v>2413.04</v>
      </c>
    </row>
    <row r="63" spans="1:19" ht="12.5">
      <c r="A63" s="4" t="str">
        <f ca="1">IFERROR(__xludf.DUMMYFUNCTION("""COMPUTED_VALUE"""),"永豐金-匯立")</f>
        <v>永豐金-匯立</v>
      </c>
      <c r="B63" s="4">
        <f ca="1">IFERROR(__xludf.DUMMYFUNCTION("""COMPUTED_VALUE"""),639)</f>
        <v>639</v>
      </c>
      <c r="C63" s="4">
        <f ca="1">IFERROR(__xludf.DUMMYFUNCTION("""COMPUTED_VALUE"""),697)</f>
        <v>697</v>
      </c>
      <c r="D63" s="4">
        <f ca="1">IFERROR(__xludf.DUMMYFUNCTION("""COMPUTED_VALUE"""),-58)</f>
        <v>-58</v>
      </c>
      <c r="E63" s="4">
        <f ca="1">IFERROR(__xludf.DUMMYFUNCTION("""COMPUTED_VALUE"""),2414.63)</f>
        <v>2414.63</v>
      </c>
      <c r="F63" s="4" t="str">
        <f ca="1">IFERROR(__xludf.DUMMYFUNCTION("""COMPUTED_VALUE"""),"宏遠")</f>
        <v>宏遠</v>
      </c>
      <c r="G63" s="4">
        <f ca="1">IFERROR(__xludf.DUMMYFUNCTION("""COMPUTED_VALUE"""),186)</f>
        <v>186</v>
      </c>
      <c r="H63" s="4">
        <f ca="1">IFERROR(__xludf.DUMMYFUNCTION("""COMPUTED_VALUE"""),41)</f>
        <v>41</v>
      </c>
      <c r="I63" s="4">
        <f ca="1">IFERROR(__xludf.DUMMYFUNCTION("""COMPUTED_VALUE"""),144)</f>
        <v>144</v>
      </c>
      <c r="J63" s="4">
        <f ca="1">IFERROR(__xludf.DUMMYFUNCTION("""COMPUTED_VALUE"""),2422.33)</f>
        <v>2422.33</v>
      </c>
    </row>
    <row r="64" spans="1:19" ht="12.5">
      <c r="A64" s="4" t="str">
        <f ca="1">IFERROR(__xludf.DUMMYFUNCTION("""COMPUTED_VALUE"""),"台新")</f>
        <v>台新</v>
      </c>
      <c r="B64" s="4">
        <f ca="1">IFERROR(__xludf.DUMMYFUNCTION("""COMPUTED_VALUE"""),47)</f>
        <v>47</v>
      </c>
      <c r="C64" s="4">
        <f ca="1">IFERROR(__xludf.DUMMYFUNCTION("""COMPUTED_VALUE"""),88)</f>
        <v>88</v>
      </c>
      <c r="D64" s="4">
        <f ca="1">IFERROR(__xludf.DUMMYFUNCTION("""COMPUTED_VALUE"""),-40)</f>
        <v>-40</v>
      </c>
      <c r="E64" s="4">
        <f ca="1">IFERROR(__xludf.DUMMYFUNCTION("""COMPUTED_VALUE"""),2418.86)</f>
        <v>2418.86</v>
      </c>
      <c r="F64" s="4" t="str">
        <f ca="1">IFERROR(__xludf.DUMMYFUNCTION("""COMPUTED_VALUE"""),"統一")</f>
        <v>統一</v>
      </c>
      <c r="G64" s="4">
        <f ca="1">IFERROR(__xludf.DUMMYFUNCTION("""COMPUTED_VALUE"""),346)</f>
        <v>346</v>
      </c>
      <c r="H64" s="4">
        <f ca="1">IFERROR(__xludf.DUMMYFUNCTION("""COMPUTED_VALUE"""),204)</f>
        <v>204</v>
      </c>
      <c r="I64" s="4">
        <f ca="1">IFERROR(__xludf.DUMMYFUNCTION("""COMPUTED_VALUE"""),141)</f>
        <v>141</v>
      </c>
      <c r="J64" s="4">
        <f ca="1">IFERROR(__xludf.DUMMYFUNCTION("""COMPUTED_VALUE"""),2422.24)</f>
        <v>2422.2399999999998</v>
      </c>
    </row>
    <row r="65" spans="1:10" ht="12.5">
      <c r="A65" s="4" t="str">
        <f ca="1">IFERROR(__xludf.DUMMYFUNCTION("""COMPUTED_VALUE"""),"兆豐-三民")</f>
        <v>兆豐-三民</v>
      </c>
      <c r="B65" s="4">
        <f ca="1">IFERROR(__xludf.DUMMYFUNCTION("""COMPUTED_VALUE"""),3)</f>
        <v>3</v>
      </c>
      <c r="C65" s="4">
        <f ca="1">IFERROR(__xludf.DUMMYFUNCTION("""COMPUTED_VALUE"""),38)</f>
        <v>38</v>
      </c>
      <c r="D65" s="4">
        <f ca="1">IFERROR(__xludf.DUMMYFUNCTION("""COMPUTED_VALUE"""),-34)</f>
        <v>-34</v>
      </c>
      <c r="E65" s="4">
        <f ca="1">IFERROR(__xludf.DUMMYFUNCTION("""COMPUTED_VALUE"""),2427.33)</f>
        <v>2427.33</v>
      </c>
      <c r="F65" s="4" t="str">
        <f ca="1">IFERROR(__xludf.DUMMYFUNCTION("""COMPUTED_VALUE"""),"國泰-敦南")</f>
        <v>國泰-敦南</v>
      </c>
      <c r="G65" s="4">
        <f ca="1">IFERROR(__xludf.DUMMYFUNCTION("""COMPUTED_VALUE"""),238)</f>
        <v>238</v>
      </c>
      <c r="H65" s="4">
        <f ca="1">IFERROR(__xludf.DUMMYFUNCTION("""COMPUTED_VALUE"""),148)</f>
        <v>148</v>
      </c>
      <c r="I65" s="4">
        <f ca="1">IFERROR(__xludf.DUMMYFUNCTION("""COMPUTED_VALUE"""),89)</f>
        <v>89</v>
      </c>
      <c r="J65" s="4">
        <f ca="1">IFERROR(__xludf.DUMMYFUNCTION("""COMPUTED_VALUE"""),2419.44)</f>
        <v>2419.44</v>
      </c>
    </row>
    <row r="66" spans="1:10" ht="12.5">
      <c r="A66" s="4" t="str">
        <f ca="1">IFERROR(__xludf.DUMMYFUNCTION("""COMPUTED_VALUE"""),"新光-高雄")</f>
        <v>新光-高雄</v>
      </c>
      <c r="B66" s="4">
        <f ca="1">IFERROR(__xludf.DUMMYFUNCTION("""COMPUTED_VALUE"""),11)</f>
        <v>11</v>
      </c>
      <c r="C66" s="4">
        <f ca="1">IFERROR(__xludf.DUMMYFUNCTION("""COMPUTED_VALUE"""),43)</f>
        <v>43</v>
      </c>
      <c r="D66" s="4">
        <f ca="1">IFERROR(__xludf.DUMMYFUNCTION("""COMPUTED_VALUE"""),-31)</f>
        <v>-31</v>
      </c>
      <c r="E66" s="4">
        <f ca="1">IFERROR(__xludf.DUMMYFUNCTION("""COMPUTED_VALUE"""),2425.39)</f>
        <v>2425.39</v>
      </c>
      <c r="F66" s="4" t="str">
        <f ca="1">IFERROR(__xludf.DUMMYFUNCTION("""COMPUTED_VALUE"""),"群益金鼎")</f>
        <v>群益金鼎</v>
      </c>
      <c r="G66" s="4">
        <f ca="1">IFERROR(__xludf.DUMMYFUNCTION("""COMPUTED_VALUE"""),138)</f>
        <v>138</v>
      </c>
      <c r="H66" s="4">
        <f ca="1">IFERROR(__xludf.DUMMYFUNCTION("""COMPUTED_VALUE"""),49)</f>
        <v>49</v>
      </c>
      <c r="I66" s="4">
        <f ca="1">IFERROR(__xludf.DUMMYFUNCTION("""COMPUTED_VALUE"""),88)</f>
        <v>88</v>
      </c>
      <c r="J66" s="4">
        <f ca="1">IFERROR(__xludf.DUMMYFUNCTION("""COMPUTED_VALUE"""),2416.62)</f>
        <v>2416.62</v>
      </c>
    </row>
    <row r="69" spans="1:10" ht="12.5">
      <c r="A69" s="4"/>
    </row>
    <row r="108" spans="18:18" ht="12.5">
      <c r="R108" s="4"/>
    </row>
    <row r="113" spans="1:1" ht="12.5">
      <c r="A113" s="4"/>
    </row>
  </sheetData>
  <phoneticPr fontId="43" type="noConversion"/>
  <conditionalFormatting sqref="H8:K47">
    <cfRule type="cellIs" priority="1" operator="greaterThan">
      <formula>0</formula>
    </cfRule>
    <cfRule type="cellIs" dxfId="15" priority="2" operator="greaterThan">
      <formula>0</formula>
    </cfRule>
    <cfRule type="cellIs" dxfId="14" priority="3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  <outlinePr summaryBelow="0" summaryRight="0"/>
  </sheetPr>
  <dimension ref="A1:X79"/>
  <sheetViews>
    <sheetView workbookViewId="0">
      <pane ySplit="6" topLeftCell="A7" activePane="bottomLeft" state="frozen"/>
      <selection pane="bottomLeft" activeCell="P11" sqref="P11"/>
    </sheetView>
  </sheetViews>
  <sheetFormatPr defaultColWidth="12.6328125" defaultRowHeight="15.75" customHeight="1"/>
  <cols>
    <col min="1" max="1" width="15.1796875" customWidth="1"/>
    <col min="2" max="2" width="19.54296875" bestFit="1" customWidth="1"/>
    <col min="3" max="3" width="8.7265625" bestFit="1" customWidth="1"/>
    <col min="4" max="4" width="22" bestFit="1" customWidth="1"/>
    <col min="5" max="5" width="14.7265625" bestFit="1" customWidth="1"/>
    <col min="6" max="6" width="9.26953125" bestFit="1" customWidth="1"/>
    <col min="7" max="7" width="14.7265625" bestFit="1" customWidth="1"/>
    <col min="8" max="8" width="8.54296875" bestFit="1" customWidth="1"/>
    <col min="9" max="9" width="11.08984375" bestFit="1" customWidth="1"/>
    <col min="10" max="10" width="10.36328125" bestFit="1" customWidth="1"/>
    <col min="11" max="11" width="15.26953125" bestFit="1" customWidth="1"/>
    <col min="12" max="12" width="11.453125" bestFit="1" customWidth="1"/>
    <col min="13" max="13" width="15.26953125" bestFit="1" customWidth="1"/>
    <col min="14" max="14" width="10.54296875" bestFit="1" customWidth="1"/>
    <col min="15" max="15" width="14.36328125" bestFit="1" customWidth="1"/>
    <col min="16" max="16" width="26.453125" customWidth="1"/>
    <col min="17" max="17" width="19.54296875" bestFit="1" customWidth="1"/>
    <col min="18" max="18" width="6.7265625" bestFit="1" customWidth="1"/>
    <col min="19" max="19" width="22" bestFit="1" customWidth="1"/>
    <col min="20" max="20" width="13.08984375" bestFit="1" customWidth="1"/>
    <col min="21" max="21" width="9.26953125" bestFit="1" customWidth="1"/>
    <col min="22" max="22" width="13.08984375" bestFit="1" customWidth="1"/>
    <col min="23" max="23" width="8.54296875" bestFit="1" customWidth="1"/>
    <col min="24" max="24" width="11.54296875" bestFit="1" customWidth="1"/>
  </cols>
  <sheetData>
    <row r="1" spans="1:24" ht="15.5">
      <c r="A1" s="553" t="str">
        <f ca="1">RIGHT(A3, 10)</f>
        <v>2026/08/14</v>
      </c>
      <c r="B1" s="554" t="s">
        <v>74</v>
      </c>
      <c r="C1" s="555" t="s">
        <v>75</v>
      </c>
      <c r="D1" s="556" t="s">
        <v>76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00">
        <v>46251</v>
      </c>
      <c r="Q1" s="554" t="s">
        <v>74</v>
      </c>
      <c r="R1" s="555" t="s">
        <v>75</v>
      </c>
      <c r="S1" s="556" t="s">
        <v>76</v>
      </c>
    </row>
    <row r="2" spans="1:24" ht="16" thickBot="1">
      <c r="A2" s="557" t="str">
        <f ca="1">IFERROR(__xludf.DUMMYFUNCTION("IMPORTHTML(""https://www.taifex.com.tw/cht/3/futContractsDateExcel"",""table"",1)"),"期貨契約")</f>
        <v>期貨契約</v>
      </c>
      <c r="B2" s="560">
        <f ca="1">D2/200/C2</f>
        <v>45853.935377505069</v>
      </c>
      <c r="C2" s="558">
        <f ca="1">N9+N18/4+N21/20</f>
        <v>-84795.55</v>
      </c>
      <c r="D2" s="559">
        <f ca="1">O9*1000+O18*1000+O21*1000</f>
        <v>-777641934000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557" t="str">
        <f ca="1">IFERROR(__xludf.DUMMYFUNCTION("IMPORTHTML(""https://www.taifex.com.tw/cht/3/futContractsDateAhExcel"",""table"",1)"),"期貨契約")</f>
        <v>期貨契約</v>
      </c>
      <c r="Q2" s="560">
        <f ca="1">S2/200/R2</f>
        <v>46257.069457659374</v>
      </c>
      <c r="R2" s="558">
        <f ca="1">W9+W18/4+W21/20</f>
        <v>-262.75</v>
      </c>
      <c r="S2" s="559">
        <f ca="1">X9*1000+X18*1000+X21*1000</f>
        <v>-2430809000</v>
      </c>
    </row>
    <row r="3" spans="1:24" ht="16" thickBot="1">
      <c r="A3" s="268" t="str">
        <f ca="1">IFERROR(__xludf.DUMMYFUNCTION("""COMPUTED_VALUE"""),"單位：口數；千元(含鉅額交易，含標的證券為國外成分證券ETFs或境外指數ETFs之交易量)日期2026/08/14")</f>
        <v>單位：口數；千元(含鉅額交易，含標的證券為國外成分證券ETFs或境外指數ETFs之交易量)日期2026/08/14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 t="str">
        <f ca="1">IFERROR(__xludf.DUMMYFUNCTION("""COMPUTED_VALUE"""),"單位：口數；千元日期2026/08/17")</f>
        <v>單位：口數；千元日期2026/08/17</v>
      </c>
      <c r="Q3" s="62"/>
      <c r="R3" s="62"/>
      <c r="S3" s="62"/>
    </row>
    <row r="4" spans="1:24" ht="15.5">
      <c r="A4" s="561" t="str">
        <f ca="1">IFERROR(__xludf.DUMMYFUNCTION("IMPORTHTML(""https://www.taifex.com.tw/cht/3/futContractsDate"",""table"",0)"),"")</f>
        <v/>
      </c>
      <c r="B4" s="562"/>
      <c r="C4" s="562"/>
      <c r="D4" s="562" t="str">
        <f ca="1">IFERROR(__xludf.DUMMYFUNCTION("""COMPUTED_VALUE"""),"交易口數與契約金額")</f>
        <v>交易口數與契約金額</v>
      </c>
      <c r="E4" s="563"/>
      <c r="F4" s="563"/>
      <c r="G4" s="563"/>
      <c r="H4" s="563"/>
      <c r="I4" s="563"/>
      <c r="J4" s="563" t="str">
        <f ca="1">IFERROR(__xludf.DUMMYFUNCTION("""COMPUTED_VALUE"""),"未平倉餘額")</f>
        <v>未平倉餘額</v>
      </c>
      <c r="K4" s="563"/>
      <c r="L4" s="563"/>
      <c r="M4" s="563"/>
      <c r="N4" s="563"/>
      <c r="O4" s="572"/>
      <c r="P4" s="561" t="str">
        <f ca="1">IFERROR(__xludf.DUMMYFUNCTION("IMPORTHTML(""https://www.taifex.com.tw/cht/3/futContractsDateAh"",""table"",0)"),"")</f>
        <v/>
      </c>
      <c r="Q4" s="562"/>
      <c r="R4" s="562"/>
      <c r="S4" s="562" t="str">
        <f ca="1">IFERROR(__xludf.DUMMYFUNCTION("""COMPUTED_VALUE"""),"交易口數與契約金額")</f>
        <v>交易口數與契約金額</v>
      </c>
      <c r="T4" s="563"/>
      <c r="U4" s="563"/>
      <c r="V4" s="563"/>
      <c r="W4" s="563"/>
      <c r="X4" s="564"/>
    </row>
    <row r="5" spans="1:24" ht="15.75" customHeight="1">
      <c r="A5" s="565"/>
      <c r="B5" s="566"/>
      <c r="C5" s="566"/>
      <c r="D5" s="566" t="str">
        <f ca="1">IFERROR(__xludf.DUMMYFUNCTION("""COMPUTED_VALUE"""),"多方")</f>
        <v>多方</v>
      </c>
      <c r="E5" s="566"/>
      <c r="F5" s="566" t="str">
        <f ca="1">IFERROR(__xludf.DUMMYFUNCTION("""COMPUTED_VALUE"""),"空方")</f>
        <v>空方</v>
      </c>
      <c r="G5" s="566"/>
      <c r="H5" s="566" t="str">
        <f ca="1">IFERROR(__xludf.DUMMYFUNCTION("""COMPUTED_VALUE"""),"多空淨額")</f>
        <v>多空淨額</v>
      </c>
      <c r="I5" s="566"/>
      <c r="J5" s="566" t="str">
        <f ca="1">IFERROR(__xludf.DUMMYFUNCTION("""COMPUTED_VALUE"""),"多方")</f>
        <v>多方</v>
      </c>
      <c r="K5" s="566"/>
      <c r="L5" s="566" t="str">
        <f ca="1">IFERROR(__xludf.DUMMYFUNCTION("""COMPUTED_VALUE"""),"空方")</f>
        <v>空方</v>
      </c>
      <c r="M5" s="566"/>
      <c r="N5" s="566" t="str">
        <f ca="1">IFERROR(__xludf.DUMMYFUNCTION("""COMPUTED_VALUE"""),"多空淨額")</f>
        <v>多空淨額</v>
      </c>
      <c r="O5" s="573"/>
      <c r="P5" s="565"/>
      <c r="Q5" s="566"/>
      <c r="R5" s="566"/>
      <c r="S5" s="566" t="str">
        <f ca="1">IFERROR(__xludf.DUMMYFUNCTION("""COMPUTED_VALUE"""),"多方")</f>
        <v>多方</v>
      </c>
      <c r="T5" s="566"/>
      <c r="U5" s="566" t="str">
        <f ca="1">IFERROR(__xludf.DUMMYFUNCTION("""COMPUTED_VALUE"""),"空方")</f>
        <v>空方</v>
      </c>
      <c r="V5" s="566"/>
      <c r="W5" s="566" t="str">
        <f ca="1">IFERROR(__xludf.DUMMYFUNCTION("""COMPUTED_VALUE"""),"多空淨額")</f>
        <v>多空淨額</v>
      </c>
      <c r="X5" s="567"/>
    </row>
    <row r="6" spans="1:24" ht="15.75" customHeight="1">
      <c r="A6" s="568" t="str">
        <f ca="1">IFERROR(__xludf.DUMMYFUNCTION("""COMPUTED_VALUE"""),"序
號")</f>
        <v>序
號</v>
      </c>
      <c r="B6" s="569" t="str">
        <f ca="1">IFERROR(__xludf.DUMMYFUNCTION("""COMPUTED_VALUE"""),"商品
名稱")</f>
        <v>商品
名稱</v>
      </c>
      <c r="C6" s="569" t="str">
        <f ca="1">IFERROR(__xludf.DUMMYFUNCTION("""COMPUTED_VALUE"""),"身份別")</f>
        <v>身份別</v>
      </c>
      <c r="D6" s="569" t="str">
        <f ca="1">IFERROR(__xludf.DUMMYFUNCTION("""COMPUTED_VALUE"""),"口數")</f>
        <v>口數</v>
      </c>
      <c r="E6" s="569" t="str">
        <f ca="1">IFERROR(__xludf.DUMMYFUNCTION("""COMPUTED_VALUE"""),"契約
金額")</f>
        <v>契約
金額</v>
      </c>
      <c r="F6" s="569" t="str">
        <f ca="1">IFERROR(__xludf.DUMMYFUNCTION("""COMPUTED_VALUE"""),"口數")</f>
        <v>口數</v>
      </c>
      <c r="G6" s="569" t="str">
        <f ca="1">IFERROR(__xludf.DUMMYFUNCTION("""COMPUTED_VALUE"""),"契約
金額")</f>
        <v>契約
金額</v>
      </c>
      <c r="H6" s="569" t="str">
        <f ca="1">IFERROR(__xludf.DUMMYFUNCTION("""COMPUTED_VALUE"""),"口數")</f>
        <v>口數</v>
      </c>
      <c r="I6" s="569" t="str">
        <f ca="1">IFERROR(__xludf.DUMMYFUNCTION("""COMPUTED_VALUE"""),"契約
金額")</f>
        <v>契約
金額</v>
      </c>
      <c r="J6" s="569" t="str">
        <f ca="1">IFERROR(__xludf.DUMMYFUNCTION("""COMPUTED_VALUE"""),"口數")</f>
        <v>口數</v>
      </c>
      <c r="K6" s="569" t="str">
        <f ca="1">IFERROR(__xludf.DUMMYFUNCTION("""COMPUTED_VALUE"""),"契約
金額")</f>
        <v>契約
金額</v>
      </c>
      <c r="L6" s="569" t="str">
        <f ca="1">IFERROR(__xludf.DUMMYFUNCTION("""COMPUTED_VALUE"""),"口數")</f>
        <v>口數</v>
      </c>
      <c r="M6" s="569" t="str">
        <f ca="1">IFERROR(__xludf.DUMMYFUNCTION("""COMPUTED_VALUE"""),"契約
金額")</f>
        <v>契約
金額</v>
      </c>
      <c r="N6" s="569" t="str">
        <f ca="1">IFERROR(__xludf.DUMMYFUNCTION("""COMPUTED_VALUE"""),"口數")</f>
        <v>口數</v>
      </c>
      <c r="O6" s="574" t="str">
        <f ca="1">IFERROR(__xludf.DUMMYFUNCTION("""COMPUTED_VALUE"""),"契約
金額")</f>
        <v>契約
金額</v>
      </c>
      <c r="P6" s="568" t="str">
        <f ca="1">IFERROR(__xludf.DUMMYFUNCTION("""COMPUTED_VALUE"""),"序
號")</f>
        <v>序
號</v>
      </c>
      <c r="Q6" s="569" t="str">
        <f ca="1">IFERROR(__xludf.DUMMYFUNCTION("""COMPUTED_VALUE"""),"商品
名稱")</f>
        <v>商品
名稱</v>
      </c>
      <c r="R6" s="569" t="str">
        <f ca="1">IFERROR(__xludf.DUMMYFUNCTION("""COMPUTED_VALUE"""),"身份別")</f>
        <v>身份別</v>
      </c>
      <c r="S6" s="569" t="str">
        <f ca="1">IFERROR(__xludf.DUMMYFUNCTION("""COMPUTED_VALUE"""),"口數")</f>
        <v>口數</v>
      </c>
      <c r="T6" s="569" t="str">
        <f ca="1">IFERROR(__xludf.DUMMYFUNCTION("""COMPUTED_VALUE"""),"契約
金額")</f>
        <v>契約
金額</v>
      </c>
      <c r="U6" s="569" t="str">
        <f ca="1">IFERROR(__xludf.DUMMYFUNCTION("""COMPUTED_VALUE"""),"口數")</f>
        <v>口數</v>
      </c>
      <c r="V6" s="569" t="str">
        <f ca="1">IFERROR(__xludf.DUMMYFUNCTION("""COMPUTED_VALUE"""),"契約
金額")</f>
        <v>契約
金額</v>
      </c>
      <c r="W6" s="569" t="str">
        <f ca="1">IFERROR(__xludf.DUMMYFUNCTION("""COMPUTED_VALUE"""),"口數")</f>
        <v>口數</v>
      </c>
      <c r="X6" s="570" t="str">
        <f ca="1">IFERROR(__xludf.DUMMYFUNCTION("""COMPUTED_VALUE"""),"契約
金額")</f>
        <v>契約
金額</v>
      </c>
    </row>
    <row r="7" spans="1:24" ht="15.75" customHeight="1">
      <c r="A7" s="544">
        <f ca="1">IFERROR(__xludf.DUMMYFUNCTION("""COMPUTED_VALUE"""),1)</f>
        <v>1</v>
      </c>
      <c r="B7" s="420" t="str">
        <f ca="1">IFERROR(__xludf.DUMMYFUNCTION("""COMPUTED_VALUE"""),"臺股期貨")</f>
        <v>臺股期貨</v>
      </c>
      <c r="C7" s="420" t="str">
        <f ca="1">IFERROR(__xludf.DUMMYFUNCTION("""COMPUTED_VALUE"""),"自營商")</f>
        <v>自營商</v>
      </c>
      <c r="D7" s="419">
        <f ca="1">IFERROR(__xludf.DUMMYFUNCTION("""COMPUTED_VALUE"""),6575)</f>
        <v>6575</v>
      </c>
      <c r="E7" s="419">
        <f ca="1">IFERROR(__xludf.DUMMYFUNCTION("""COMPUTED_VALUE"""),60564629)</f>
        <v>60564629</v>
      </c>
      <c r="F7" s="419">
        <f ca="1">IFERROR(__xludf.DUMMYFUNCTION("""COMPUTED_VALUE"""),5587)</f>
        <v>5587</v>
      </c>
      <c r="G7" s="419">
        <f ca="1">IFERROR(__xludf.DUMMYFUNCTION("""COMPUTED_VALUE"""),51545265)</f>
        <v>51545265</v>
      </c>
      <c r="H7" s="419">
        <f ca="1">IFERROR(__xludf.DUMMYFUNCTION("""COMPUTED_VALUE"""),988)</f>
        <v>988</v>
      </c>
      <c r="I7" s="419">
        <f ca="1">IFERROR(__xludf.DUMMYFUNCTION("""COMPUTED_VALUE"""),9019364)</f>
        <v>9019364</v>
      </c>
      <c r="J7" s="419">
        <f ca="1">IFERROR(__xludf.DUMMYFUNCTION("""COMPUTED_VALUE"""),5975)</f>
        <v>5975</v>
      </c>
      <c r="K7" s="419">
        <f ca="1">IFERROR(__xludf.DUMMYFUNCTION("""COMPUTED_VALUE"""),54873510)</f>
        <v>54873510</v>
      </c>
      <c r="L7" s="419">
        <f ca="1">IFERROR(__xludf.DUMMYFUNCTION("""COMPUTED_VALUE"""),4511)</f>
        <v>4511</v>
      </c>
      <c r="M7" s="419">
        <f ca="1">IFERROR(__xludf.DUMMYFUNCTION("""COMPUTED_VALUE"""),41402391)</f>
        <v>41402391</v>
      </c>
      <c r="N7" s="419">
        <f ca="1">IFERROR(__xludf.DUMMYFUNCTION("""COMPUTED_VALUE"""),1464)</f>
        <v>1464</v>
      </c>
      <c r="O7" s="575">
        <f ca="1">IFERROR(__xludf.DUMMYFUNCTION("""COMPUTED_VALUE"""),13471119)</f>
        <v>13471119</v>
      </c>
      <c r="P7" s="544">
        <f ca="1">IFERROR(__xludf.DUMMYFUNCTION("""COMPUTED_VALUE"""),1)</f>
        <v>1</v>
      </c>
      <c r="Q7" s="420" t="str">
        <f ca="1">IFERROR(__xludf.DUMMYFUNCTION("""COMPUTED_VALUE"""),"臺股期貨")</f>
        <v>臺股期貨</v>
      </c>
      <c r="R7" s="420" t="str">
        <f ca="1">IFERROR(__xludf.DUMMYFUNCTION("""COMPUTED_VALUE"""),"自營商")</f>
        <v>自營商</v>
      </c>
      <c r="S7" s="419">
        <f ca="1">IFERROR(__xludf.DUMMYFUNCTION("""COMPUTED_VALUE"""),626)</f>
        <v>626</v>
      </c>
      <c r="T7" s="419">
        <f ca="1">IFERROR(__xludf.DUMMYFUNCTION("""COMPUTED_VALUE"""),5736970)</f>
        <v>5736970</v>
      </c>
      <c r="U7" s="419">
        <f ca="1">IFERROR(__xludf.DUMMYFUNCTION("""COMPUTED_VALUE"""),652)</f>
        <v>652</v>
      </c>
      <c r="V7" s="419">
        <f ca="1">IFERROR(__xludf.DUMMYFUNCTION("""COMPUTED_VALUE"""),5976667)</f>
        <v>5976667</v>
      </c>
      <c r="W7" s="419">
        <f ca="1">IFERROR(__xludf.DUMMYFUNCTION("""COMPUTED_VALUE"""),-26)</f>
        <v>-26</v>
      </c>
      <c r="X7" s="571">
        <f ca="1">IFERROR(__xludf.DUMMYFUNCTION("""COMPUTED_VALUE"""),-239697)</f>
        <v>-239697</v>
      </c>
    </row>
    <row r="8" spans="1:24" ht="15.75" customHeight="1">
      <c r="A8" s="544"/>
      <c r="B8" s="420"/>
      <c r="C8" s="420" t="str">
        <f ca="1">IFERROR(__xludf.DUMMYFUNCTION("""COMPUTED_VALUE"""),"投信")</f>
        <v>投信</v>
      </c>
      <c r="D8" s="419">
        <f ca="1">IFERROR(__xludf.DUMMYFUNCTION("""COMPUTED_VALUE"""),6694)</f>
        <v>6694</v>
      </c>
      <c r="E8" s="419">
        <f ca="1">IFERROR(__xludf.DUMMYFUNCTION("""COMPUTED_VALUE"""),61765627)</f>
        <v>61765627</v>
      </c>
      <c r="F8" s="419">
        <f ca="1">IFERROR(__xludf.DUMMYFUNCTION("""COMPUTED_VALUE"""),8686)</f>
        <v>8686</v>
      </c>
      <c r="G8" s="419">
        <f ca="1">IFERROR(__xludf.DUMMYFUNCTION("""COMPUTED_VALUE"""),79814524)</f>
        <v>79814524</v>
      </c>
      <c r="H8" s="419">
        <f ca="1">IFERROR(__xludf.DUMMYFUNCTION("""COMPUTED_VALUE"""),-1992)</f>
        <v>-1992</v>
      </c>
      <c r="I8" s="419">
        <f ca="1">IFERROR(__xludf.DUMMYFUNCTION("""COMPUTED_VALUE"""),-18048898)</f>
        <v>-18048898</v>
      </c>
      <c r="J8" s="419">
        <f ca="1">IFERROR(__xludf.DUMMYFUNCTION("""COMPUTED_VALUE"""),83794)</f>
        <v>83794</v>
      </c>
      <c r="K8" s="419">
        <f ca="1">IFERROR(__xludf.DUMMYFUNCTION("""COMPUTED_VALUE"""),768315380)</f>
        <v>768315380</v>
      </c>
      <c r="L8" s="419">
        <f ca="1">IFERROR(__xludf.DUMMYFUNCTION("""COMPUTED_VALUE"""),3459)</f>
        <v>3459</v>
      </c>
      <c r="M8" s="419">
        <f ca="1">IFERROR(__xludf.DUMMYFUNCTION("""COMPUTED_VALUE"""),31692742)</f>
        <v>31692742</v>
      </c>
      <c r="N8" s="419">
        <f ca="1">IFERROR(__xludf.DUMMYFUNCTION("""COMPUTED_VALUE"""),80335)</f>
        <v>80335</v>
      </c>
      <c r="O8" s="575">
        <f ca="1">IFERROR(__xludf.DUMMYFUNCTION("""COMPUTED_VALUE"""),736622638)</f>
        <v>736622638</v>
      </c>
      <c r="P8" s="544"/>
      <c r="Q8" s="420"/>
      <c r="R8" s="420" t="str">
        <f ca="1">IFERROR(__xludf.DUMMYFUNCTION("""COMPUTED_VALUE"""),"投信")</f>
        <v>投信</v>
      </c>
      <c r="S8" s="419">
        <f ca="1">IFERROR(__xludf.DUMMYFUNCTION("""COMPUTED_VALUE"""),0)</f>
        <v>0</v>
      </c>
      <c r="T8" s="419">
        <f ca="1">IFERROR(__xludf.DUMMYFUNCTION("""COMPUTED_VALUE"""),0)</f>
        <v>0</v>
      </c>
      <c r="U8" s="419">
        <f ca="1">IFERROR(__xludf.DUMMYFUNCTION("""COMPUTED_VALUE"""),0)</f>
        <v>0</v>
      </c>
      <c r="V8" s="419">
        <f ca="1">IFERROR(__xludf.DUMMYFUNCTION("""COMPUTED_VALUE"""),0)</f>
        <v>0</v>
      </c>
      <c r="W8" s="419">
        <f ca="1">IFERROR(__xludf.DUMMYFUNCTION("""COMPUTED_VALUE"""),0)</f>
        <v>0</v>
      </c>
      <c r="X8" s="571">
        <f ca="1">IFERROR(__xludf.DUMMYFUNCTION("""COMPUTED_VALUE"""),0)</f>
        <v>0</v>
      </c>
    </row>
    <row r="9" spans="1:24" ht="15.75" customHeight="1">
      <c r="A9" s="544"/>
      <c r="B9" s="420"/>
      <c r="C9" s="420" t="str">
        <f ca="1">IFERROR(__xludf.DUMMYFUNCTION("""COMPUTED_VALUE"""),"外資")</f>
        <v>外資</v>
      </c>
      <c r="D9" s="419">
        <f ca="1">IFERROR(__xludf.DUMMYFUNCTION("""COMPUTED_VALUE"""),53049)</f>
        <v>53049</v>
      </c>
      <c r="E9" s="419">
        <f ca="1">IFERROR(__xludf.DUMMYFUNCTION("""COMPUTED_VALUE"""),489179432)</f>
        <v>489179432</v>
      </c>
      <c r="F9" s="419">
        <f ca="1">IFERROR(__xludf.DUMMYFUNCTION("""COMPUTED_VALUE"""),52015)</f>
        <v>52015</v>
      </c>
      <c r="G9" s="419">
        <f ca="1">IFERROR(__xludf.DUMMYFUNCTION("""COMPUTED_VALUE"""),479972918)</f>
        <v>479972918</v>
      </c>
      <c r="H9" s="419">
        <f ca="1">IFERROR(__xludf.DUMMYFUNCTION("""COMPUTED_VALUE"""),1034)</f>
        <v>1034</v>
      </c>
      <c r="I9" s="419">
        <f ca="1">IFERROR(__xludf.DUMMYFUNCTION("""COMPUTED_VALUE"""),9206514)</f>
        <v>9206514</v>
      </c>
      <c r="J9" s="419">
        <f ca="1">IFERROR(__xludf.DUMMYFUNCTION("""COMPUTED_VALUE"""),12934)</f>
        <v>12934</v>
      </c>
      <c r="K9" s="419">
        <f ca="1">IFERROR(__xludf.DUMMYFUNCTION("""COMPUTED_VALUE"""),118590157)</f>
        <v>118590157</v>
      </c>
      <c r="L9" s="419">
        <f ca="1">IFERROR(__xludf.DUMMYFUNCTION("""COMPUTED_VALUE"""),98113)</f>
        <v>98113</v>
      </c>
      <c r="M9" s="419">
        <f ca="1">IFERROR(__xludf.DUMMYFUNCTION("""COMPUTED_VALUE"""),899743988)</f>
        <v>899743988</v>
      </c>
      <c r="N9" s="419">
        <f ca="1">IFERROR(__xludf.DUMMYFUNCTION("""COMPUTED_VALUE"""),-85179)</f>
        <v>-85179</v>
      </c>
      <c r="O9" s="575">
        <f ca="1">IFERROR(__xludf.DUMMYFUNCTION("""COMPUTED_VALUE"""),-781153831)</f>
        <v>-781153831</v>
      </c>
      <c r="P9" s="544"/>
      <c r="Q9" s="420"/>
      <c r="R9" s="420" t="str">
        <f ca="1">IFERROR(__xludf.DUMMYFUNCTION("""COMPUTED_VALUE"""),"外資")</f>
        <v>外資</v>
      </c>
      <c r="S9" s="419">
        <f ca="1">IFERROR(__xludf.DUMMYFUNCTION("""COMPUTED_VALUE"""),13458)</f>
        <v>13458</v>
      </c>
      <c r="T9" s="419">
        <f ca="1">IFERROR(__xludf.DUMMYFUNCTION("""COMPUTED_VALUE"""),123243690)</f>
        <v>123243690</v>
      </c>
      <c r="U9" s="419">
        <f ca="1">IFERROR(__xludf.DUMMYFUNCTION("""COMPUTED_VALUE"""),13611)</f>
        <v>13611</v>
      </c>
      <c r="V9" s="419">
        <f ca="1">IFERROR(__xludf.DUMMYFUNCTION("""COMPUTED_VALUE"""),124664227)</f>
        <v>124664227</v>
      </c>
      <c r="W9" s="419">
        <f ca="1">IFERROR(__xludf.DUMMYFUNCTION("""COMPUTED_VALUE"""),-153)</f>
        <v>-153</v>
      </c>
      <c r="X9" s="571">
        <f ca="1">IFERROR(__xludf.DUMMYFUNCTION("""COMPUTED_VALUE"""),-1420537)</f>
        <v>-1420537</v>
      </c>
    </row>
    <row r="10" spans="1:24" ht="15.75" customHeight="1">
      <c r="A10" s="544">
        <f ca="1">IFERROR(__xludf.DUMMYFUNCTION("""COMPUTED_VALUE"""),2)</f>
        <v>2</v>
      </c>
      <c r="B10" s="420" t="str">
        <f ca="1">IFERROR(__xludf.DUMMYFUNCTION("""COMPUTED_VALUE"""),"電子期貨")</f>
        <v>電子期貨</v>
      </c>
      <c r="C10" s="420" t="str">
        <f ca="1">IFERROR(__xludf.DUMMYFUNCTION("""COMPUTED_VALUE"""),"自營商")</f>
        <v>自營商</v>
      </c>
      <c r="D10" s="419">
        <f ca="1">IFERROR(__xludf.DUMMYFUNCTION("""COMPUTED_VALUE"""),36)</f>
        <v>36</v>
      </c>
      <c r="E10" s="419">
        <f ca="1">IFERROR(__xludf.DUMMYFUNCTION("""COMPUTED_VALUE"""),422374)</f>
        <v>422374</v>
      </c>
      <c r="F10" s="419">
        <f ca="1">IFERROR(__xludf.DUMMYFUNCTION("""COMPUTED_VALUE"""),17)</f>
        <v>17</v>
      </c>
      <c r="G10" s="419">
        <f ca="1">IFERROR(__xludf.DUMMYFUNCTION("""COMPUTED_VALUE"""),200823)</f>
        <v>200823</v>
      </c>
      <c r="H10" s="419">
        <f ca="1">IFERROR(__xludf.DUMMYFUNCTION("""COMPUTED_VALUE"""),19)</f>
        <v>19</v>
      </c>
      <c r="I10" s="419">
        <f ca="1">IFERROR(__xludf.DUMMYFUNCTION("""COMPUTED_VALUE"""),221550)</f>
        <v>221550</v>
      </c>
      <c r="J10" s="419">
        <f ca="1">IFERROR(__xludf.DUMMYFUNCTION("""COMPUTED_VALUE"""),25)</f>
        <v>25</v>
      </c>
      <c r="K10" s="419">
        <f ca="1">IFERROR(__xludf.DUMMYFUNCTION("""COMPUTED_VALUE"""),291816)</f>
        <v>291816</v>
      </c>
      <c r="L10" s="419">
        <f ca="1">IFERROR(__xludf.DUMMYFUNCTION("""COMPUTED_VALUE"""),199)</f>
        <v>199</v>
      </c>
      <c r="M10" s="419">
        <f ca="1">IFERROR(__xludf.DUMMYFUNCTION("""COMPUTED_VALUE"""),2321847)</f>
        <v>2321847</v>
      </c>
      <c r="N10" s="419">
        <f ca="1">IFERROR(__xludf.DUMMYFUNCTION("""COMPUTED_VALUE"""),-174)</f>
        <v>-174</v>
      </c>
      <c r="O10" s="575">
        <f ca="1">IFERROR(__xludf.DUMMYFUNCTION("""COMPUTED_VALUE"""),-2030031)</f>
        <v>-2030031</v>
      </c>
      <c r="P10" s="544">
        <f ca="1">IFERROR(__xludf.DUMMYFUNCTION("""COMPUTED_VALUE"""),2)</f>
        <v>2</v>
      </c>
      <c r="Q10" s="420" t="str">
        <f ca="1">IFERROR(__xludf.DUMMYFUNCTION("""COMPUTED_VALUE"""),"電子期貨")</f>
        <v>電子期貨</v>
      </c>
      <c r="R10" s="420" t="str">
        <f ca="1">IFERROR(__xludf.DUMMYFUNCTION("""COMPUTED_VALUE"""),"自營商")</f>
        <v>自營商</v>
      </c>
      <c r="S10" s="419">
        <f ca="1">IFERROR(__xludf.DUMMYFUNCTION("""COMPUTED_VALUE"""),8)</f>
        <v>8</v>
      </c>
      <c r="T10" s="419">
        <f ca="1">IFERROR(__xludf.DUMMYFUNCTION("""COMPUTED_VALUE"""),93213)</f>
        <v>93213</v>
      </c>
      <c r="U10" s="419">
        <f ca="1">IFERROR(__xludf.DUMMYFUNCTION("""COMPUTED_VALUE"""),9)</f>
        <v>9</v>
      </c>
      <c r="V10" s="419">
        <f ca="1">IFERROR(__xludf.DUMMYFUNCTION("""COMPUTED_VALUE"""),105287)</f>
        <v>105287</v>
      </c>
      <c r="W10" s="419">
        <f ca="1">IFERROR(__xludf.DUMMYFUNCTION("""COMPUTED_VALUE"""),-1)</f>
        <v>-1</v>
      </c>
      <c r="X10" s="571">
        <f ca="1">IFERROR(__xludf.DUMMYFUNCTION("""COMPUTED_VALUE"""),-12074)</f>
        <v>-12074</v>
      </c>
    </row>
    <row r="11" spans="1:24" ht="15.75" customHeight="1">
      <c r="A11" s="544"/>
      <c r="B11" s="420"/>
      <c r="C11" s="420" t="str">
        <f ca="1">IFERROR(__xludf.DUMMYFUNCTION("""COMPUTED_VALUE"""),"投信")</f>
        <v>投信</v>
      </c>
      <c r="D11" s="419">
        <f ca="1">IFERROR(__xludf.DUMMYFUNCTION("""COMPUTED_VALUE"""),0)</f>
        <v>0</v>
      </c>
      <c r="E11" s="419">
        <f ca="1">IFERROR(__xludf.DUMMYFUNCTION("""COMPUTED_VALUE"""),0)</f>
        <v>0</v>
      </c>
      <c r="F11" s="419">
        <f ca="1">IFERROR(__xludf.DUMMYFUNCTION("""COMPUTED_VALUE"""),7)</f>
        <v>7</v>
      </c>
      <c r="G11" s="419">
        <f ca="1">IFERROR(__xludf.DUMMYFUNCTION("""COMPUTED_VALUE"""),81585)</f>
        <v>81585</v>
      </c>
      <c r="H11" s="419">
        <f ca="1">IFERROR(__xludf.DUMMYFUNCTION("""COMPUTED_VALUE"""),-7)</f>
        <v>-7</v>
      </c>
      <c r="I11" s="419">
        <f ca="1">IFERROR(__xludf.DUMMYFUNCTION("""COMPUTED_VALUE"""),-81585)</f>
        <v>-81585</v>
      </c>
      <c r="J11" s="419">
        <f ca="1">IFERROR(__xludf.DUMMYFUNCTION("""COMPUTED_VALUE"""),168)</f>
        <v>168</v>
      </c>
      <c r="K11" s="419">
        <f ca="1">IFERROR(__xludf.DUMMYFUNCTION("""COMPUTED_VALUE"""),1959955)</f>
        <v>1959955</v>
      </c>
      <c r="L11" s="419">
        <f ca="1">IFERROR(__xludf.DUMMYFUNCTION("""COMPUTED_VALUE"""),0)</f>
        <v>0</v>
      </c>
      <c r="M11" s="419">
        <f ca="1">IFERROR(__xludf.DUMMYFUNCTION("""COMPUTED_VALUE"""),0)</f>
        <v>0</v>
      </c>
      <c r="N11" s="419">
        <f ca="1">IFERROR(__xludf.DUMMYFUNCTION("""COMPUTED_VALUE"""),168)</f>
        <v>168</v>
      </c>
      <c r="O11" s="575">
        <f ca="1">IFERROR(__xludf.DUMMYFUNCTION("""COMPUTED_VALUE"""),1959955)</f>
        <v>1959955</v>
      </c>
      <c r="P11" s="544"/>
      <c r="Q11" s="420"/>
      <c r="R11" s="420" t="str">
        <f ca="1">IFERROR(__xludf.DUMMYFUNCTION("""COMPUTED_VALUE"""),"投信")</f>
        <v>投信</v>
      </c>
      <c r="S11" s="419">
        <f ca="1">IFERROR(__xludf.DUMMYFUNCTION("""COMPUTED_VALUE"""),0)</f>
        <v>0</v>
      </c>
      <c r="T11" s="419">
        <f ca="1">IFERROR(__xludf.DUMMYFUNCTION("""COMPUTED_VALUE"""),0)</f>
        <v>0</v>
      </c>
      <c r="U11" s="419">
        <f ca="1">IFERROR(__xludf.DUMMYFUNCTION("""COMPUTED_VALUE"""),0)</f>
        <v>0</v>
      </c>
      <c r="V11" s="419">
        <f ca="1">IFERROR(__xludf.DUMMYFUNCTION("""COMPUTED_VALUE"""),0)</f>
        <v>0</v>
      </c>
      <c r="W11" s="419">
        <f ca="1">IFERROR(__xludf.DUMMYFUNCTION("""COMPUTED_VALUE"""),0)</f>
        <v>0</v>
      </c>
      <c r="X11" s="571">
        <f ca="1">IFERROR(__xludf.DUMMYFUNCTION("""COMPUTED_VALUE"""),0)</f>
        <v>0</v>
      </c>
    </row>
    <row r="12" spans="1:24" ht="15.75" customHeight="1">
      <c r="A12" s="544"/>
      <c r="B12" s="420"/>
      <c r="C12" s="420" t="str">
        <f ca="1">IFERROR(__xludf.DUMMYFUNCTION("""COMPUTED_VALUE"""),"外資")</f>
        <v>外資</v>
      </c>
      <c r="D12" s="419">
        <f ca="1">IFERROR(__xludf.DUMMYFUNCTION("""COMPUTED_VALUE"""),22)</f>
        <v>22</v>
      </c>
      <c r="E12" s="419">
        <f ca="1">IFERROR(__xludf.DUMMYFUNCTION("""COMPUTED_VALUE"""),259063)</f>
        <v>259063</v>
      </c>
      <c r="F12" s="419">
        <f ca="1">IFERROR(__xludf.DUMMYFUNCTION("""COMPUTED_VALUE"""),42)</f>
        <v>42</v>
      </c>
      <c r="G12" s="419">
        <f ca="1">IFERROR(__xludf.DUMMYFUNCTION("""COMPUTED_VALUE"""),492813)</f>
        <v>492813</v>
      </c>
      <c r="H12" s="419">
        <f ca="1">IFERROR(__xludf.DUMMYFUNCTION("""COMPUTED_VALUE"""),-20)</f>
        <v>-20</v>
      </c>
      <c r="I12" s="419">
        <f ca="1">IFERROR(__xludf.DUMMYFUNCTION("""COMPUTED_VALUE"""),-233750)</f>
        <v>-233750</v>
      </c>
      <c r="J12" s="419">
        <f ca="1">IFERROR(__xludf.DUMMYFUNCTION("""COMPUTED_VALUE"""),80)</f>
        <v>80</v>
      </c>
      <c r="K12" s="419">
        <f ca="1">IFERROR(__xludf.DUMMYFUNCTION("""COMPUTED_VALUE"""),933468)</f>
        <v>933468</v>
      </c>
      <c r="L12" s="419">
        <f ca="1">IFERROR(__xludf.DUMMYFUNCTION("""COMPUTED_VALUE"""),288)</f>
        <v>288</v>
      </c>
      <c r="M12" s="419">
        <f ca="1">IFERROR(__xludf.DUMMYFUNCTION("""COMPUTED_VALUE"""),3359923)</f>
        <v>3359923</v>
      </c>
      <c r="N12" s="419">
        <f ca="1">IFERROR(__xludf.DUMMYFUNCTION("""COMPUTED_VALUE"""),-208)</f>
        <v>-208</v>
      </c>
      <c r="O12" s="575">
        <f ca="1">IFERROR(__xludf.DUMMYFUNCTION("""COMPUTED_VALUE"""),-2426455)</f>
        <v>-2426455</v>
      </c>
      <c r="P12" s="544"/>
      <c r="Q12" s="420"/>
      <c r="R12" s="420" t="str">
        <f ca="1">IFERROR(__xludf.DUMMYFUNCTION("""COMPUTED_VALUE"""),"外資")</f>
        <v>外資</v>
      </c>
      <c r="S12" s="419">
        <f ca="1">IFERROR(__xludf.DUMMYFUNCTION("""COMPUTED_VALUE"""),16)</f>
        <v>16</v>
      </c>
      <c r="T12" s="419">
        <f ca="1">IFERROR(__xludf.DUMMYFUNCTION("""COMPUTED_VALUE"""),186938)</f>
        <v>186938</v>
      </c>
      <c r="U12" s="419">
        <f ca="1">IFERROR(__xludf.DUMMYFUNCTION("""COMPUTED_VALUE"""),11)</f>
        <v>11</v>
      </c>
      <c r="V12" s="419">
        <f ca="1">IFERROR(__xludf.DUMMYFUNCTION("""COMPUTED_VALUE"""),128438)</f>
        <v>128438</v>
      </c>
      <c r="W12" s="419">
        <f ca="1">IFERROR(__xludf.DUMMYFUNCTION("""COMPUTED_VALUE"""),5)</f>
        <v>5</v>
      </c>
      <c r="X12" s="571">
        <f ca="1">IFERROR(__xludf.DUMMYFUNCTION("""COMPUTED_VALUE"""),58500)</f>
        <v>58500</v>
      </c>
    </row>
    <row r="13" spans="1:24" ht="15.75" customHeight="1">
      <c r="A13" s="544">
        <f ca="1">IFERROR(__xludf.DUMMYFUNCTION("""COMPUTED_VALUE"""),3)</f>
        <v>3</v>
      </c>
      <c r="B13" s="420" t="str">
        <f ca="1">IFERROR(__xludf.DUMMYFUNCTION("""COMPUTED_VALUE"""),"金融期貨")</f>
        <v>金融期貨</v>
      </c>
      <c r="C13" s="420" t="str">
        <f ca="1">IFERROR(__xludf.DUMMYFUNCTION("""COMPUTED_VALUE"""),"自營商")</f>
        <v>自營商</v>
      </c>
      <c r="D13" s="419">
        <f ca="1">IFERROR(__xludf.DUMMYFUNCTION("""COMPUTED_VALUE"""),32)</f>
        <v>32</v>
      </c>
      <c r="E13" s="419">
        <f ca="1">IFERROR(__xludf.DUMMYFUNCTION("""COMPUTED_VALUE"""),101570)</f>
        <v>101570</v>
      </c>
      <c r="F13" s="419">
        <f ca="1">IFERROR(__xludf.DUMMYFUNCTION("""COMPUTED_VALUE"""),26)</f>
        <v>26</v>
      </c>
      <c r="G13" s="419">
        <f ca="1">IFERROR(__xludf.DUMMYFUNCTION("""COMPUTED_VALUE"""),82331)</f>
        <v>82331</v>
      </c>
      <c r="H13" s="419">
        <f ca="1">IFERROR(__xludf.DUMMYFUNCTION("""COMPUTED_VALUE"""),6)</f>
        <v>6</v>
      </c>
      <c r="I13" s="419">
        <f ca="1">IFERROR(__xludf.DUMMYFUNCTION("""COMPUTED_VALUE"""),19239)</f>
        <v>19239</v>
      </c>
      <c r="J13" s="419">
        <f ca="1">IFERROR(__xludf.DUMMYFUNCTION("""COMPUTED_VALUE"""),17)</f>
        <v>17</v>
      </c>
      <c r="K13" s="419">
        <f ca="1">IFERROR(__xludf.DUMMYFUNCTION("""COMPUTED_VALUE"""),54203)</f>
        <v>54203</v>
      </c>
      <c r="L13" s="419">
        <f ca="1">IFERROR(__xludf.DUMMYFUNCTION("""COMPUTED_VALUE"""),100)</f>
        <v>100</v>
      </c>
      <c r="M13" s="419">
        <f ca="1">IFERROR(__xludf.DUMMYFUNCTION("""COMPUTED_VALUE"""),318847)</f>
        <v>318847</v>
      </c>
      <c r="N13" s="419">
        <f ca="1">IFERROR(__xludf.DUMMYFUNCTION("""COMPUTED_VALUE"""),-83)</f>
        <v>-83</v>
      </c>
      <c r="O13" s="575">
        <f ca="1">IFERROR(__xludf.DUMMYFUNCTION("""COMPUTED_VALUE"""),-264644)</f>
        <v>-264644</v>
      </c>
      <c r="P13" s="544">
        <f ca="1">IFERROR(__xludf.DUMMYFUNCTION("""COMPUTED_VALUE"""),3)</f>
        <v>3</v>
      </c>
      <c r="Q13" s="420" t="str">
        <f ca="1">IFERROR(__xludf.DUMMYFUNCTION("""COMPUTED_VALUE"""),"金融期貨")</f>
        <v>金融期貨</v>
      </c>
      <c r="R13" s="420" t="str">
        <f ca="1">IFERROR(__xludf.DUMMYFUNCTION("""COMPUTED_VALUE"""),"自營商")</f>
        <v>自營商</v>
      </c>
      <c r="S13" s="419">
        <f ca="1">IFERROR(__xludf.DUMMYFUNCTION("""COMPUTED_VALUE"""),0)</f>
        <v>0</v>
      </c>
      <c r="T13" s="419">
        <f ca="1">IFERROR(__xludf.DUMMYFUNCTION("""COMPUTED_VALUE"""),0)</f>
        <v>0</v>
      </c>
      <c r="U13" s="419">
        <f ca="1">IFERROR(__xludf.DUMMYFUNCTION("""COMPUTED_VALUE"""),1)</f>
        <v>1</v>
      </c>
      <c r="V13" s="419">
        <f ca="1">IFERROR(__xludf.DUMMYFUNCTION("""COMPUTED_VALUE"""),3198)</f>
        <v>3198</v>
      </c>
      <c r="W13" s="419">
        <f ca="1">IFERROR(__xludf.DUMMYFUNCTION("""COMPUTED_VALUE"""),-1)</f>
        <v>-1</v>
      </c>
      <c r="X13" s="571">
        <f ca="1">IFERROR(__xludf.DUMMYFUNCTION("""COMPUTED_VALUE"""),-3198)</f>
        <v>-3198</v>
      </c>
    </row>
    <row r="14" spans="1:24" ht="15.75" customHeight="1">
      <c r="A14" s="544"/>
      <c r="B14" s="420"/>
      <c r="C14" s="420" t="str">
        <f ca="1">IFERROR(__xludf.DUMMYFUNCTION("""COMPUTED_VALUE"""),"投信")</f>
        <v>投信</v>
      </c>
      <c r="D14" s="419">
        <f ca="1">IFERROR(__xludf.DUMMYFUNCTION("""COMPUTED_VALUE"""),0)</f>
        <v>0</v>
      </c>
      <c r="E14" s="419">
        <f ca="1">IFERROR(__xludf.DUMMYFUNCTION("""COMPUTED_VALUE"""),0)</f>
        <v>0</v>
      </c>
      <c r="F14" s="419">
        <f ca="1">IFERROR(__xludf.DUMMYFUNCTION("""COMPUTED_VALUE"""),0)</f>
        <v>0</v>
      </c>
      <c r="G14" s="419">
        <f ca="1">IFERROR(__xludf.DUMMYFUNCTION("""COMPUTED_VALUE"""),0)</f>
        <v>0</v>
      </c>
      <c r="H14" s="419">
        <f ca="1">IFERROR(__xludf.DUMMYFUNCTION("""COMPUTED_VALUE"""),0)</f>
        <v>0</v>
      </c>
      <c r="I14" s="419">
        <f ca="1">IFERROR(__xludf.DUMMYFUNCTION("""COMPUTED_VALUE"""),0)</f>
        <v>0</v>
      </c>
      <c r="J14" s="419">
        <f ca="1">IFERROR(__xludf.DUMMYFUNCTION("""COMPUTED_VALUE"""),38)</f>
        <v>38</v>
      </c>
      <c r="K14" s="419">
        <f ca="1">IFERROR(__xludf.DUMMYFUNCTION("""COMPUTED_VALUE"""),121159)</f>
        <v>121159</v>
      </c>
      <c r="L14" s="419">
        <f ca="1">IFERROR(__xludf.DUMMYFUNCTION("""COMPUTED_VALUE"""),0)</f>
        <v>0</v>
      </c>
      <c r="M14" s="419">
        <f ca="1">IFERROR(__xludf.DUMMYFUNCTION("""COMPUTED_VALUE"""),0)</f>
        <v>0</v>
      </c>
      <c r="N14" s="419">
        <f ca="1">IFERROR(__xludf.DUMMYFUNCTION("""COMPUTED_VALUE"""),38)</f>
        <v>38</v>
      </c>
      <c r="O14" s="575">
        <f ca="1">IFERROR(__xludf.DUMMYFUNCTION("""COMPUTED_VALUE"""),121159)</f>
        <v>121159</v>
      </c>
      <c r="P14" s="544"/>
      <c r="Q14" s="420"/>
      <c r="R14" s="420" t="str">
        <f ca="1">IFERROR(__xludf.DUMMYFUNCTION("""COMPUTED_VALUE"""),"投信")</f>
        <v>投信</v>
      </c>
      <c r="S14" s="419">
        <f ca="1">IFERROR(__xludf.DUMMYFUNCTION("""COMPUTED_VALUE"""),0)</f>
        <v>0</v>
      </c>
      <c r="T14" s="419">
        <f ca="1">IFERROR(__xludf.DUMMYFUNCTION("""COMPUTED_VALUE"""),0)</f>
        <v>0</v>
      </c>
      <c r="U14" s="419">
        <f ca="1">IFERROR(__xludf.DUMMYFUNCTION("""COMPUTED_VALUE"""),0)</f>
        <v>0</v>
      </c>
      <c r="V14" s="419">
        <f ca="1">IFERROR(__xludf.DUMMYFUNCTION("""COMPUTED_VALUE"""),0)</f>
        <v>0</v>
      </c>
      <c r="W14" s="419">
        <f ca="1">IFERROR(__xludf.DUMMYFUNCTION("""COMPUTED_VALUE"""),0)</f>
        <v>0</v>
      </c>
      <c r="X14" s="571">
        <f ca="1">IFERROR(__xludf.DUMMYFUNCTION("""COMPUTED_VALUE"""),0)</f>
        <v>0</v>
      </c>
    </row>
    <row r="15" spans="1:24" ht="15.75" customHeight="1">
      <c r="A15" s="544"/>
      <c r="B15" s="420"/>
      <c r="C15" s="420" t="str">
        <f ca="1">IFERROR(__xludf.DUMMYFUNCTION("""COMPUTED_VALUE"""),"外資")</f>
        <v>外資</v>
      </c>
      <c r="D15" s="419">
        <f ca="1">IFERROR(__xludf.DUMMYFUNCTION("""COMPUTED_VALUE"""),240)</f>
        <v>240</v>
      </c>
      <c r="E15" s="419">
        <f ca="1">IFERROR(__xludf.DUMMYFUNCTION("""COMPUTED_VALUE"""),761875)</f>
        <v>761875</v>
      </c>
      <c r="F15" s="419">
        <f ca="1">IFERROR(__xludf.DUMMYFUNCTION("""COMPUTED_VALUE"""),226)</f>
        <v>226</v>
      </c>
      <c r="G15" s="419">
        <f ca="1">IFERROR(__xludf.DUMMYFUNCTION("""COMPUTED_VALUE"""),716927)</f>
        <v>716927</v>
      </c>
      <c r="H15" s="419">
        <f ca="1">IFERROR(__xludf.DUMMYFUNCTION("""COMPUTED_VALUE"""),14)</f>
        <v>14</v>
      </c>
      <c r="I15" s="419">
        <f ca="1">IFERROR(__xludf.DUMMYFUNCTION("""COMPUTED_VALUE"""),44948)</f>
        <v>44948</v>
      </c>
      <c r="J15" s="419">
        <f ca="1">IFERROR(__xludf.DUMMYFUNCTION("""COMPUTED_VALUE"""),45)</f>
        <v>45</v>
      </c>
      <c r="K15" s="419">
        <f ca="1">IFERROR(__xludf.DUMMYFUNCTION("""COMPUTED_VALUE"""),143485)</f>
        <v>143485</v>
      </c>
      <c r="L15" s="419">
        <f ca="1">IFERROR(__xludf.DUMMYFUNCTION("""COMPUTED_VALUE"""),219)</f>
        <v>219</v>
      </c>
      <c r="M15" s="419">
        <f ca="1">IFERROR(__xludf.DUMMYFUNCTION("""COMPUTED_VALUE"""),698296)</f>
        <v>698296</v>
      </c>
      <c r="N15" s="419">
        <f ca="1">IFERROR(__xludf.DUMMYFUNCTION("""COMPUTED_VALUE"""),-174)</f>
        <v>-174</v>
      </c>
      <c r="O15" s="575">
        <f ca="1">IFERROR(__xludf.DUMMYFUNCTION("""COMPUTED_VALUE"""),-554811)</f>
        <v>-554811</v>
      </c>
      <c r="P15" s="544"/>
      <c r="Q15" s="420"/>
      <c r="R15" s="420" t="str">
        <f ca="1">IFERROR(__xludf.DUMMYFUNCTION("""COMPUTED_VALUE"""),"外資")</f>
        <v>外資</v>
      </c>
      <c r="S15" s="419">
        <f ca="1">IFERROR(__xludf.DUMMYFUNCTION("""COMPUTED_VALUE"""),5)</f>
        <v>5</v>
      </c>
      <c r="T15" s="419">
        <f ca="1">IFERROR(__xludf.DUMMYFUNCTION("""COMPUTED_VALUE"""),15968)</f>
        <v>15968</v>
      </c>
      <c r="U15" s="419">
        <f ca="1">IFERROR(__xludf.DUMMYFUNCTION("""COMPUTED_VALUE"""),10)</f>
        <v>10</v>
      </c>
      <c r="V15" s="419">
        <f ca="1">IFERROR(__xludf.DUMMYFUNCTION("""COMPUTED_VALUE"""),31843)</f>
        <v>31843</v>
      </c>
      <c r="W15" s="419">
        <f ca="1">IFERROR(__xludf.DUMMYFUNCTION("""COMPUTED_VALUE"""),-5)</f>
        <v>-5</v>
      </c>
      <c r="X15" s="571">
        <f ca="1">IFERROR(__xludf.DUMMYFUNCTION("""COMPUTED_VALUE"""),-15875)</f>
        <v>-15875</v>
      </c>
    </row>
    <row r="16" spans="1:24" ht="15.75" customHeight="1">
      <c r="A16" s="544">
        <f ca="1">IFERROR(__xludf.DUMMYFUNCTION("""COMPUTED_VALUE"""),4)</f>
        <v>4</v>
      </c>
      <c r="B16" s="420" t="str">
        <f ca="1">IFERROR(__xludf.DUMMYFUNCTION("""COMPUTED_VALUE"""),"小型臺指期貨")</f>
        <v>小型臺指期貨</v>
      </c>
      <c r="C16" s="420" t="str">
        <f ca="1">IFERROR(__xludf.DUMMYFUNCTION("""COMPUTED_VALUE"""),"自營商")</f>
        <v>自營商</v>
      </c>
      <c r="D16" s="419">
        <f ca="1">IFERROR(__xludf.DUMMYFUNCTION("""COMPUTED_VALUE"""),7152)</f>
        <v>7152</v>
      </c>
      <c r="E16" s="419">
        <f ca="1">IFERROR(__xludf.DUMMYFUNCTION("""COMPUTED_VALUE"""),16509927)</f>
        <v>16509927</v>
      </c>
      <c r="F16" s="419">
        <f ca="1">IFERROR(__xludf.DUMMYFUNCTION("""COMPUTED_VALUE"""),7631)</f>
        <v>7631</v>
      </c>
      <c r="G16" s="419">
        <f ca="1">IFERROR(__xludf.DUMMYFUNCTION("""COMPUTED_VALUE"""),17618938)</f>
        <v>17618938</v>
      </c>
      <c r="H16" s="419">
        <f ca="1">IFERROR(__xludf.DUMMYFUNCTION("""COMPUTED_VALUE"""),-479)</f>
        <v>-479</v>
      </c>
      <c r="I16" s="419">
        <f ca="1">IFERROR(__xludf.DUMMYFUNCTION("""COMPUTED_VALUE"""),-1109010)</f>
        <v>-1109010</v>
      </c>
      <c r="J16" s="419">
        <f ca="1">IFERROR(__xludf.DUMMYFUNCTION("""COMPUTED_VALUE"""),3227)</f>
        <v>3227</v>
      </c>
      <c r="K16" s="419">
        <f ca="1">IFERROR(__xludf.DUMMYFUNCTION("""COMPUTED_VALUE"""),7420103)</f>
        <v>7420103</v>
      </c>
      <c r="L16" s="419">
        <f ca="1">IFERROR(__xludf.DUMMYFUNCTION("""COMPUTED_VALUE"""),9447)</f>
        <v>9447</v>
      </c>
      <c r="M16" s="419">
        <f ca="1">IFERROR(__xludf.DUMMYFUNCTION("""COMPUTED_VALUE"""),21713581)</f>
        <v>21713581</v>
      </c>
      <c r="N16" s="419">
        <f ca="1">IFERROR(__xludf.DUMMYFUNCTION("""COMPUTED_VALUE"""),-6220)</f>
        <v>-6220</v>
      </c>
      <c r="O16" s="575">
        <f ca="1">IFERROR(__xludf.DUMMYFUNCTION("""COMPUTED_VALUE"""),-14293478)</f>
        <v>-14293478</v>
      </c>
      <c r="P16" s="544">
        <f ca="1">IFERROR(__xludf.DUMMYFUNCTION("""COMPUTED_VALUE"""),4)</f>
        <v>4</v>
      </c>
      <c r="Q16" s="420" t="str">
        <f ca="1">IFERROR(__xludf.DUMMYFUNCTION("""COMPUTED_VALUE"""),"小型臺指期貨")</f>
        <v>小型臺指期貨</v>
      </c>
      <c r="R16" s="420" t="str">
        <f ca="1">IFERROR(__xludf.DUMMYFUNCTION("""COMPUTED_VALUE"""),"自營商")</f>
        <v>自營商</v>
      </c>
      <c r="S16" s="419">
        <f ca="1">IFERROR(__xludf.DUMMYFUNCTION("""COMPUTED_VALUE"""),1760)</f>
        <v>1760</v>
      </c>
      <c r="T16" s="419">
        <f ca="1">IFERROR(__xludf.DUMMYFUNCTION("""COMPUTED_VALUE"""),4033699)</f>
        <v>4033699</v>
      </c>
      <c r="U16" s="419">
        <f ca="1">IFERROR(__xludf.DUMMYFUNCTION("""COMPUTED_VALUE"""),1937)</f>
        <v>1937</v>
      </c>
      <c r="V16" s="419">
        <f ca="1">IFERROR(__xludf.DUMMYFUNCTION("""COMPUTED_VALUE"""),4438570)</f>
        <v>4438570</v>
      </c>
      <c r="W16" s="419">
        <f ca="1">IFERROR(__xludf.DUMMYFUNCTION("""COMPUTED_VALUE"""),-177)</f>
        <v>-177</v>
      </c>
      <c r="X16" s="571">
        <f ca="1">IFERROR(__xludf.DUMMYFUNCTION("""COMPUTED_VALUE"""),-404871)</f>
        <v>-404871</v>
      </c>
    </row>
    <row r="17" spans="1:24" ht="15.75" customHeight="1">
      <c r="A17" s="544"/>
      <c r="B17" s="420"/>
      <c r="C17" s="420" t="str">
        <f ca="1">IFERROR(__xludf.DUMMYFUNCTION("""COMPUTED_VALUE"""),"投信")</f>
        <v>投信</v>
      </c>
      <c r="D17" s="419">
        <f ca="1">IFERROR(__xludf.DUMMYFUNCTION("""COMPUTED_VALUE"""),12)</f>
        <v>12</v>
      </c>
      <c r="E17" s="419">
        <f ca="1">IFERROR(__xludf.DUMMYFUNCTION("""COMPUTED_VALUE"""),27570)</f>
        <v>27570</v>
      </c>
      <c r="F17" s="419">
        <f ca="1">IFERROR(__xludf.DUMMYFUNCTION("""COMPUTED_VALUE"""),39)</f>
        <v>39</v>
      </c>
      <c r="G17" s="419">
        <f ca="1">IFERROR(__xludf.DUMMYFUNCTION("""COMPUTED_VALUE"""),89794)</f>
        <v>89794</v>
      </c>
      <c r="H17" s="419">
        <f ca="1">IFERROR(__xludf.DUMMYFUNCTION("""COMPUTED_VALUE"""),-27)</f>
        <v>-27</v>
      </c>
      <c r="I17" s="419">
        <f ca="1">IFERROR(__xludf.DUMMYFUNCTION("""COMPUTED_VALUE"""),-62224)</f>
        <v>-62224</v>
      </c>
      <c r="J17" s="419">
        <f ca="1">IFERROR(__xludf.DUMMYFUNCTION("""COMPUTED_VALUE"""),117)</f>
        <v>117</v>
      </c>
      <c r="K17" s="419">
        <f ca="1">IFERROR(__xludf.DUMMYFUNCTION("""COMPUTED_VALUE"""),268137)</f>
        <v>268137</v>
      </c>
      <c r="L17" s="419">
        <f ca="1">IFERROR(__xludf.DUMMYFUNCTION("""COMPUTED_VALUE"""),142)</f>
        <v>142</v>
      </c>
      <c r="M17" s="419">
        <f ca="1">IFERROR(__xludf.DUMMYFUNCTION("""COMPUTED_VALUE"""),325573)</f>
        <v>325573</v>
      </c>
      <c r="N17" s="419">
        <f ca="1">IFERROR(__xludf.DUMMYFUNCTION("""COMPUTED_VALUE"""),-25)</f>
        <v>-25</v>
      </c>
      <c r="O17" s="575">
        <f ca="1">IFERROR(__xludf.DUMMYFUNCTION("""COMPUTED_VALUE"""),-57436)</f>
        <v>-57436</v>
      </c>
      <c r="P17" s="544"/>
      <c r="Q17" s="420"/>
      <c r="R17" s="420" t="str">
        <f ca="1">IFERROR(__xludf.DUMMYFUNCTION("""COMPUTED_VALUE"""),"投信")</f>
        <v>投信</v>
      </c>
      <c r="S17" s="419">
        <f ca="1">IFERROR(__xludf.DUMMYFUNCTION("""COMPUTED_VALUE"""),0)</f>
        <v>0</v>
      </c>
      <c r="T17" s="419">
        <f ca="1">IFERROR(__xludf.DUMMYFUNCTION("""COMPUTED_VALUE"""),0)</f>
        <v>0</v>
      </c>
      <c r="U17" s="419">
        <f ca="1">IFERROR(__xludf.DUMMYFUNCTION("""COMPUTED_VALUE"""),0)</f>
        <v>0</v>
      </c>
      <c r="V17" s="419">
        <f ca="1">IFERROR(__xludf.DUMMYFUNCTION("""COMPUTED_VALUE"""),0)</f>
        <v>0</v>
      </c>
      <c r="W17" s="419">
        <f ca="1">IFERROR(__xludf.DUMMYFUNCTION("""COMPUTED_VALUE"""),0)</f>
        <v>0</v>
      </c>
      <c r="X17" s="571">
        <f ca="1">IFERROR(__xludf.DUMMYFUNCTION("""COMPUTED_VALUE"""),0)</f>
        <v>0</v>
      </c>
    </row>
    <row r="18" spans="1:24" ht="15.75" customHeight="1">
      <c r="A18" s="544"/>
      <c r="B18" s="420"/>
      <c r="C18" s="420" t="str">
        <f ca="1">IFERROR(__xludf.DUMMYFUNCTION("""COMPUTED_VALUE"""),"外資")</f>
        <v>外資</v>
      </c>
      <c r="D18" s="419">
        <f ca="1">IFERROR(__xludf.DUMMYFUNCTION("""COMPUTED_VALUE"""),94270)</f>
        <v>94270</v>
      </c>
      <c r="E18" s="419">
        <f ca="1">IFERROR(__xludf.DUMMYFUNCTION("""COMPUTED_VALUE"""),217559834)</f>
        <v>217559834</v>
      </c>
      <c r="F18" s="419">
        <f ca="1">IFERROR(__xludf.DUMMYFUNCTION("""COMPUTED_VALUE"""),92718)</f>
        <v>92718</v>
      </c>
      <c r="G18" s="419">
        <f ca="1">IFERROR(__xludf.DUMMYFUNCTION("""COMPUTED_VALUE"""),214015649)</f>
        <v>214015649</v>
      </c>
      <c r="H18" s="419">
        <f ca="1">IFERROR(__xludf.DUMMYFUNCTION("""COMPUTED_VALUE"""),1552)</f>
        <v>1552</v>
      </c>
      <c r="I18" s="419">
        <f ca="1">IFERROR(__xludf.DUMMYFUNCTION("""COMPUTED_VALUE"""),3544184)</f>
        <v>3544184</v>
      </c>
      <c r="J18" s="419">
        <f ca="1">IFERROR(__xludf.DUMMYFUNCTION("""COMPUTED_VALUE"""),4037)</f>
        <v>4037</v>
      </c>
      <c r="K18" s="419">
        <f ca="1">IFERROR(__xludf.DUMMYFUNCTION("""COMPUTED_VALUE"""),9250316)</f>
        <v>9250316</v>
      </c>
      <c r="L18" s="419">
        <f ca="1">IFERROR(__xludf.DUMMYFUNCTION("""COMPUTED_VALUE"""),4772)</f>
        <v>4772</v>
      </c>
      <c r="M18" s="419">
        <f ca="1">IFERROR(__xludf.DUMMYFUNCTION("""COMPUTED_VALUE"""),10935438)</f>
        <v>10935438</v>
      </c>
      <c r="N18" s="419">
        <f ca="1">IFERROR(__xludf.DUMMYFUNCTION("""COMPUTED_VALUE"""),-735)</f>
        <v>-735</v>
      </c>
      <c r="O18" s="575">
        <f ca="1">IFERROR(__xludf.DUMMYFUNCTION("""COMPUTED_VALUE"""),-1685122)</f>
        <v>-1685122</v>
      </c>
      <c r="P18" s="544"/>
      <c r="Q18" s="420"/>
      <c r="R18" s="420" t="str">
        <f ca="1">IFERROR(__xludf.DUMMYFUNCTION("""COMPUTED_VALUE"""),"外資")</f>
        <v>外資</v>
      </c>
      <c r="S18" s="419">
        <f ca="1">IFERROR(__xludf.DUMMYFUNCTION("""COMPUTED_VALUE"""),37402)</f>
        <v>37402</v>
      </c>
      <c r="T18" s="419">
        <f ca="1">IFERROR(__xludf.DUMMYFUNCTION("""COMPUTED_VALUE"""),85623521)</f>
        <v>85623521</v>
      </c>
      <c r="U18" s="419">
        <f ca="1">IFERROR(__xludf.DUMMYFUNCTION("""COMPUTED_VALUE"""),37650)</f>
        <v>37650</v>
      </c>
      <c r="V18" s="419">
        <f ca="1">IFERROR(__xludf.DUMMYFUNCTION("""COMPUTED_VALUE"""),86198439)</f>
        <v>86198439</v>
      </c>
      <c r="W18" s="419">
        <f ca="1">IFERROR(__xludf.DUMMYFUNCTION("""COMPUTED_VALUE"""),-248)</f>
        <v>-248</v>
      </c>
      <c r="X18" s="571">
        <f ca="1">IFERROR(__xludf.DUMMYFUNCTION("""COMPUTED_VALUE"""),-574918)</f>
        <v>-574918</v>
      </c>
    </row>
    <row r="19" spans="1:24" ht="15.75" customHeight="1">
      <c r="A19" s="544">
        <f ca="1">IFERROR(__xludf.DUMMYFUNCTION("""COMPUTED_VALUE"""),5)</f>
        <v>5</v>
      </c>
      <c r="B19" s="420" t="str">
        <f ca="1">IFERROR(__xludf.DUMMYFUNCTION("""COMPUTED_VALUE"""),"微型臺指期貨")</f>
        <v>微型臺指期貨</v>
      </c>
      <c r="C19" s="420" t="str">
        <f ca="1">IFERROR(__xludf.DUMMYFUNCTION("""COMPUTED_VALUE"""),"自營商")</f>
        <v>自營商</v>
      </c>
      <c r="D19" s="419">
        <f ca="1">IFERROR(__xludf.DUMMYFUNCTION("""COMPUTED_VALUE"""),16090)</f>
        <v>16090</v>
      </c>
      <c r="E19" s="419">
        <f ca="1">IFERROR(__xludf.DUMMYFUNCTION("""COMPUTED_VALUE"""),7447481)</f>
        <v>7447481</v>
      </c>
      <c r="F19" s="419">
        <f ca="1">IFERROR(__xludf.DUMMYFUNCTION("""COMPUTED_VALUE"""),16661)</f>
        <v>16661</v>
      </c>
      <c r="G19" s="419">
        <f ca="1">IFERROR(__xludf.DUMMYFUNCTION("""COMPUTED_VALUE"""),7698554)</f>
        <v>7698554</v>
      </c>
      <c r="H19" s="419">
        <f ca="1">IFERROR(__xludf.DUMMYFUNCTION("""COMPUTED_VALUE"""),-571)</f>
        <v>-571</v>
      </c>
      <c r="I19" s="419">
        <f ca="1">IFERROR(__xludf.DUMMYFUNCTION("""COMPUTED_VALUE"""),-251073)</f>
        <v>-251073</v>
      </c>
      <c r="J19" s="419">
        <f ca="1">IFERROR(__xludf.DUMMYFUNCTION("""COMPUTED_VALUE"""),4971)</f>
        <v>4971</v>
      </c>
      <c r="K19" s="419">
        <f ca="1">IFERROR(__xludf.DUMMYFUNCTION("""COMPUTED_VALUE"""),2289798)</f>
        <v>2289798</v>
      </c>
      <c r="L19" s="419">
        <f ca="1">IFERROR(__xludf.DUMMYFUNCTION("""COMPUTED_VALUE"""),32335)</f>
        <v>32335</v>
      </c>
      <c r="M19" s="419">
        <f ca="1">IFERROR(__xludf.DUMMYFUNCTION("""COMPUTED_VALUE"""),14856613)</f>
        <v>14856613</v>
      </c>
      <c r="N19" s="419">
        <f ca="1">IFERROR(__xludf.DUMMYFUNCTION("""COMPUTED_VALUE"""),-27364)</f>
        <v>-27364</v>
      </c>
      <c r="O19" s="575">
        <f ca="1">IFERROR(__xludf.DUMMYFUNCTION("""COMPUTED_VALUE"""),-12566815)</f>
        <v>-12566815</v>
      </c>
      <c r="P19" s="544">
        <f ca="1">IFERROR(__xludf.DUMMYFUNCTION("""COMPUTED_VALUE"""),5)</f>
        <v>5</v>
      </c>
      <c r="Q19" s="420" t="str">
        <f ca="1">IFERROR(__xludf.DUMMYFUNCTION("""COMPUTED_VALUE"""),"微型臺指期貨")</f>
        <v>微型臺指期貨</v>
      </c>
      <c r="R19" s="420" t="str">
        <f ca="1">IFERROR(__xludf.DUMMYFUNCTION("""COMPUTED_VALUE"""),"自營商")</f>
        <v>自營商</v>
      </c>
      <c r="S19" s="419">
        <f ca="1">IFERROR(__xludf.DUMMYFUNCTION("""COMPUTED_VALUE"""),4407)</f>
        <v>4407</v>
      </c>
      <c r="T19" s="419">
        <f ca="1">IFERROR(__xludf.DUMMYFUNCTION("""COMPUTED_VALUE"""),2021077)</f>
        <v>2021077</v>
      </c>
      <c r="U19" s="419">
        <f ca="1">IFERROR(__xludf.DUMMYFUNCTION("""COMPUTED_VALUE"""),4117)</f>
        <v>4117</v>
      </c>
      <c r="V19" s="419">
        <f ca="1">IFERROR(__xludf.DUMMYFUNCTION("""COMPUTED_VALUE"""),1887448)</f>
        <v>1887448</v>
      </c>
      <c r="W19" s="419">
        <f ca="1">IFERROR(__xludf.DUMMYFUNCTION("""COMPUTED_VALUE"""),290)</f>
        <v>290</v>
      </c>
      <c r="X19" s="571">
        <f ca="1">IFERROR(__xludf.DUMMYFUNCTION("""COMPUTED_VALUE"""),133629)</f>
        <v>133629</v>
      </c>
    </row>
    <row r="20" spans="1:24" ht="15.75" customHeight="1">
      <c r="A20" s="544"/>
      <c r="B20" s="420"/>
      <c r="C20" s="420" t="str">
        <f ca="1">IFERROR(__xludf.DUMMYFUNCTION("""COMPUTED_VALUE"""),"投信")</f>
        <v>投信</v>
      </c>
      <c r="D20" s="419">
        <f ca="1">IFERROR(__xludf.DUMMYFUNCTION("""COMPUTED_VALUE"""),0)</f>
        <v>0</v>
      </c>
      <c r="E20" s="419">
        <f ca="1">IFERROR(__xludf.DUMMYFUNCTION("""COMPUTED_VALUE"""),0)</f>
        <v>0</v>
      </c>
      <c r="F20" s="419">
        <f ca="1">IFERROR(__xludf.DUMMYFUNCTION("""COMPUTED_VALUE"""),0)</f>
        <v>0</v>
      </c>
      <c r="G20" s="419">
        <f ca="1">IFERROR(__xludf.DUMMYFUNCTION("""COMPUTED_VALUE"""),0)</f>
        <v>0</v>
      </c>
      <c r="H20" s="419">
        <f ca="1">IFERROR(__xludf.DUMMYFUNCTION("""COMPUTED_VALUE"""),0)</f>
        <v>0</v>
      </c>
      <c r="I20" s="419">
        <f ca="1">IFERROR(__xludf.DUMMYFUNCTION("""COMPUTED_VALUE"""),0)</f>
        <v>0</v>
      </c>
      <c r="J20" s="419">
        <f ca="1">IFERROR(__xludf.DUMMYFUNCTION("""COMPUTED_VALUE"""),0)</f>
        <v>0</v>
      </c>
      <c r="K20" s="419">
        <f ca="1">IFERROR(__xludf.DUMMYFUNCTION("""COMPUTED_VALUE"""),0)</f>
        <v>0</v>
      </c>
      <c r="L20" s="419">
        <f ca="1">IFERROR(__xludf.DUMMYFUNCTION("""COMPUTED_VALUE"""),0)</f>
        <v>0</v>
      </c>
      <c r="M20" s="419">
        <f ca="1">IFERROR(__xludf.DUMMYFUNCTION("""COMPUTED_VALUE"""),0)</f>
        <v>0</v>
      </c>
      <c r="N20" s="419">
        <f ca="1">IFERROR(__xludf.DUMMYFUNCTION("""COMPUTED_VALUE"""),0)</f>
        <v>0</v>
      </c>
      <c r="O20" s="575">
        <f ca="1">IFERROR(__xludf.DUMMYFUNCTION("""COMPUTED_VALUE"""),0)</f>
        <v>0</v>
      </c>
      <c r="P20" s="544"/>
      <c r="Q20" s="420"/>
      <c r="R20" s="420" t="str">
        <f ca="1">IFERROR(__xludf.DUMMYFUNCTION("""COMPUTED_VALUE"""),"投信")</f>
        <v>投信</v>
      </c>
      <c r="S20" s="419">
        <f ca="1">IFERROR(__xludf.DUMMYFUNCTION("""COMPUTED_VALUE"""),0)</f>
        <v>0</v>
      </c>
      <c r="T20" s="419">
        <f ca="1">IFERROR(__xludf.DUMMYFUNCTION("""COMPUTED_VALUE"""),0)</f>
        <v>0</v>
      </c>
      <c r="U20" s="419">
        <f ca="1">IFERROR(__xludf.DUMMYFUNCTION("""COMPUTED_VALUE"""),0)</f>
        <v>0</v>
      </c>
      <c r="V20" s="419">
        <f ca="1">IFERROR(__xludf.DUMMYFUNCTION("""COMPUTED_VALUE"""),0)</f>
        <v>0</v>
      </c>
      <c r="W20" s="419">
        <f ca="1">IFERROR(__xludf.DUMMYFUNCTION("""COMPUTED_VALUE"""),0)</f>
        <v>0</v>
      </c>
      <c r="X20" s="571">
        <f ca="1">IFERROR(__xludf.DUMMYFUNCTION("""COMPUTED_VALUE"""),0)</f>
        <v>0</v>
      </c>
    </row>
    <row r="21" spans="1:24" ht="15.75" customHeight="1">
      <c r="A21" s="544"/>
      <c r="B21" s="420"/>
      <c r="C21" s="420" t="str">
        <f ca="1">IFERROR(__xludf.DUMMYFUNCTION("""COMPUTED_VALUE"""),"外資")</f>
        <v>外資</v>
      </c>
      <c r="D21" s="419">
        <f ca="1">IFERROR(__xludf.DUMMYFUNCTION("""COMPUTED_VALUE"""),138990)</f>
        <v>138990</v>
      </c>
      <c r="E21" s="419">
        <f ca="1">IFERROR(__xludf.DUMMYFUNCTION("""COMPUTED_VALUE"""),64171610)</f>
        <v>64171610</v>
      </c>
      <c r="F21" s="419">
        <f ca="1">IFERROR(__xludf.DUMMYFUNCTION("""COMPUTED_VALUE"""),141341)</f>
        <v>141341</v>
      </c>
      <c r="G21" s="419">
        <f ca="1">IFERROR(__xludf.DUMMYFUNCTION("""COMPUTED_VALUE"""),65259718)</f>
        <v>65259718</v>
      </c>
      <c r="H21" s="419">
        <f ca="1">IFERROR(__xludf.DUMMYFUNCTION("""COMPUTED_VALUE"""),-2351)</f>
        <v>-2351</v>
      </c>
      <c r="I21" s="419">
        <f ca="1">IFERROR(__xludf.DUMMYFUNCTION("""COMPUTED_VALUE"""),-1088108)</f>
        <v>-1088108</v>
      </c>
      <c r="J21" s="419">
        <f ca="1">IFERROR(__xludf.DUMMYFUNCTION("""COMPUTED_VALUE"""),11420)</f>
        <v>11420</v>
      </c>
      <c r="K21" s="419">
        <f ca="1">IFERROR(__xludf.DUMMYFUNCTION("""COMPUTED_VALUE"""),5231895)</f>
        <v>5231895</v>
      </c>
      <c r="L21" s="419">
        <f ca="1">IFERROR(__xludf.DUMMYFUNCTION("""COMPUTED_VALUE"""),76)</f>
        <v>76</v>
      </c>
      <c r="M21" s="419">
        <f ca="1">IFERROR(__xludf.DUMMYFUNCTION("""COMPUTED_VALUE"""),34876)</f>
        <v>34876</v>
      </c>
      <c r="N21" s="419">
        <f ca="1">IFERROR(__xludf.DUMMYFUNCTION("""COMPUTED_VALUE"""),11344)</f>
        <v>11344</v>
      </c>
      <c r="O21" s="575">
        <f ca="1">IFERROR(__xludf.DUMMYFUNCTION("""COMPUTED_VALUE"""),5197019)</f>
        <v>5197019</v>
      </c>
      <c r="P21" s="544"/>
      <c r="Q21" s="420"/>
      <c r="R21" s="420" t="str">
        <f ca="1">IFERROR(__xludf.DUMMYFUNCTION("""COMPUTED_VALUE"""),"外資")</f>
        <v>外資</v>
      </c>
      <c r="S21" s="419">
        <f ca="1">IFERROR(__xludf.DUMMYFUNCTION("""COMPUTED_VALUE"""),66698)</f>
        <v>66698</v>
      </c>
      <c r="T21" s="419">
        <f ca="1">IFERROR(__xludf.DUMMYFUNCTION("""COMPUTED_VALUE"""),30543526)</f>
        <v>30543526</v>
      </c>
      <c r="U21" s="419">
        <f ca="1">IFERROR(__xludf.DUMMYFUNCTION("""COMPUTED_VALUE"""),67653)</f>
        <v>67653</v>
      </c>
      <c r="V21" s="419">
        <f ca="1">IFERROR(__xludf.DUMMYFUNCTION("""COMPUTED_VALUE"""),30978880)</f>
        <v>30978880</v>
      </c>
      <c r="W21" s="419">
        <f ca="1">IFERROR(__xludf.DUMMYFUNCTION("""COMPUTED_VALUE"""),-955)</f>
        <v>-955</v>
      </c>
      <c r="X21" s="571">
        <f ca="1">IFERROR(__xludf.DUMMYFUNCTION("""COMPUTED_VALUE"""),-435354)</f>
        <v>-435354</v>
      </c>
    </row>
    <row r="22" spans="1:24" ht="15.75" customHeight="1">
      <c r="A22" s="544">
        <f ca="1">IFERROR(__xludf.DUMMYFUNCTION("""COMPUTED_VALUE"""),6)</f>
        <v>6</v>
      </c>
      <c r="B22" s="420" t="str">
        <f ca="1">IFERROR(__xludf.DUMMYFUNCTION("""COMPUTED_VALUE"""),"小型電子期貨")</f>
        <v>小型電子期貨</v>
      </c>
      <c r="C22" s="420" t="str">
        <f ca="1">IFERROR(__xludf.DUMMYFUNCTION("""COMPUTED_VALUE"""),"自營商")</f>
        <v>自營商</v>
      </c>
      <c r="D22" s="419">
        <f ca="1">IFERROR(__xludf.DUMMYFUNCTION("""COMPUTED_VALUE"""),55)</f>
        <v>55</v>
      </c>
      <c r="E22" s="419">
        <f ca="1">IFERROR(__xludf.DUMMYFUNCTION("""COMPUTED_VALUE"""),80990)</f>
        <v>80990</v>
      </c>
      <c r="F22" s="419">
        <f ca="1">IFERROR(__xludf.DUMMYFUNCTION("""COMPUTED_VALUE"""),71)</f>
        <v>71</v>
      </c>
      <c r="G22" s="419">
        <f ca="1">IFERROR(__xludf.DUMMYFUNCTION("""COMPUTED_VALUE"""),104877)</f>
        <v>104877</v>
      </c>
      <c r="H22" s="419">
        <f ca="1">IFERROR(__xludf.DUMMYFUNCTION("""COMPUTED_VALUE"""),-16)</f>
        <v>-16</v>
      </c>
      <c r="I22" s="419">
        <f ca="1">IFERROR(__xludf.DUMMYFUNCTION("""COMPUTED_VALUE"""),-23887)</f>
        <v>-23887</v>
      </c>
      <c r="J22" s="419">
        <f ca="1">IFERROR(__xludf.DUMMYFUNCTION("""COMPUTED_VALUE"""),221)</f>
        <v>221</v>
      </c>
      <c r="K22" s="419">
        <f ca="1">IFERROR(__xludf.DUMMYFUNCTION("""COMPUTED_VALUE"""),322508)</f>
        <v>322508</v>
      </c>
      <c r="L22" s="419">
        <f ca="1">IFERROR(__xludf.DUMMYFUNCTION("""COMPUTED_VALUE"""),146)</f>
        <v>146</v>
      </c>
      <c r="M22" s="419">
        <f ca="1">IFERROR(__xludf.DUMMYFUNCTION("""COMPUTED_VALUE"""),212912)</f>
        <v>212912</v>
      </c>
      <c r="N22" s="419">
        <f ca="1">IFERROR(__xludf.DUMMYFUNCTION("""COMPUTED_VALUE"""),75)</f>
        <v>75</v>
      </c>
      <c r="O22" s="575">
        <f ca="1">IFERROR(__xludf.DUMMYFUNCTION("""COMPUTED_VALUE"""),109596)</f>
        <v>109596</v>
      </c>
      <c r="P22" s="544">
        <f ca="1">IFERROR(__xludf.DUMMYFUNCTION("""COMPUTED_VALUE"""),6)</f>
        <v>6</v>
      </c>
      <c r="Q22" s="420" t="str">
        <f ca="1">IFERROR(__xludf.DUMMYFUNCTION("""COMPUTED_VALUE"""),"小型電子期貨")</f>
        <v>小型電子期貨</v>
      </c>
      <c r="R22" s="420" t="str">
        <f ca="1">IFERROR(__xludf.DUMMYFUNCTION("""COMPUTED_VALUE"""),"自營商")</f>
        <v>自營商</v>
      </c>
      <c r="S22" s="419">
        <f ca="1">IFERROR(__xludf.DUMMYFUNCTION("""COMPUTED_VALUE"""),20)</f>
        <v>20</v>
      </c>
      <c r="T22" s="419">
        <f ca="1">IFERROR(__xludf.DUMMYFUNCTION("""COMPUTED_VALUE"""),29295)</f>
        <v>29295</v>
      </c>
      <c r="U22" s="419">
        <f ca="1">IFERROR(__xludf.DUMMYFUNCTION("""COMPUTED_VALUE"""),31)</f>
        <v>31</v>
      </c>
      <c r="V22" s="419">
        <f ca="1">IFERROR(__xludf.DUMMYFUNCTION("""COMPUTED_VALUE"""),45384)</f>
        <v>45384</v>
      </c>
      <c r="W22" s="419">
        <f ca="1">IFERROR(__xludf.DUMMYFUNCTION("""COMPUTED_VALUE"""),-11)</f>
        <v>-11</v>
      </c>
      <c r="X22" s="571">
        <f ca="1">IFERROR(__xludf.DUMMYFUNCTION("""COMPUTED_VALUE"""),-16089)</f>
        <v>-16089</v>
      </c>
    </row>
    <row r="23" spans="1:24" ht="15.75" customHeight="1">
      <c r="A23" s="544"/>
      <c r="B23" s="420"/>
      <c r="C23" s="420" t="str">
        <f ca="1">IFERROR(__xludf.DUMMYFUNCTION("""COMPUTED_VALUE"""),"投信")</f>
        <v>投信</v>
      </c>
      <c r="D23" s="419">
        <f ca="1">IFERROR(__xludf.DUMMYFUNCTION("""COMPUTED_VALUE"""),20)</f>
        <v>20</v>
      </c>
      <c r="E23" s="419">
        <f ca="1">IFERROR(__xludf.DUMMYFUNCTION("""COMPUTED_VALUE"""),29422)</f>
        <v>29422</v>
      </c>
      <c r="F23" s="419">
        <f ca="1">IFERROR(__xludf.DUMMYFUNCTION("""COMPUTED_VALUE"""),20)</f>
        <v>20</v>
      </c>
      <c r="G23" s="419">
        <f ca="1">IFERROR(__xludf.DUMMYFUNCTION("""COMPUTED_VALUE"""),29220)</f>
        <v>29220</v>
      </c>
      <c r="H23" s="419">
        <f ca="1">IFERROR(__xludf.DUMMYFUNCTION("""COMPUTED_VALUE"""),0)</f>
        <v>0</v>
      </c>
      <c r="I23" s="419">
        <f ca="1">IFERROR(__xludf.DUMMYFUNCTION("""COMPUTED_VALUE"""),202)</f>
        <v>202</v>
      </c>
      <c r="J23" s="419">
        <f ca="1">IFERROR(__xludf.DUMMYFUNCTION("""COMPUTED_VALUE"""),77)</f>
        <v>77</v>
      </c>
      <c r="K23" s="419">
        <f ca="1">IFERROR(__xludf.DUMMYFUNCTION("""COMPUTED_VALUE"""),112484)</f>
        <v>112484</v>
      </c>
      <c r="L23" s="419">
        <f ca="1">IFERROR(__xludf.DUMMYFUNCTION("""COMPUTED_VALUE"""),0)</f>
        <v>0</v>
      </c>
      <c r="M23" s="419">
        <f ca="1">IFERROR(__xludf.DUMMYFUNCTION("""COMPUTED_VALUE"""),0)</f>
        <v>0</v>
      </c>
      <c r="N23" s="419">
        <f ca="1">IFERROR(__xludf.DUMMYFUNCTION("""COMPUTED_VALUE"""),77)</f>
        <v>77</v>
      </c>
      <c r="O23" s="575">
        <f ca="1">IFERROR(__xludf.DUMMYFUNCTION("""COMPUTED_VALUE"""),112484)</f>
        <v>112484</v>
      </c>
      <c r="P23" s="544"/>
      <c r="Q23" s="420"/>
      <c r="R23" s="420" t="str">
        <f ca="1">IFERROR(__xludf.DUMMYFUNCTION("""COMPUTED_VALUE"""),"投信")</f>
        <v>投信</v>
      </c>
      <c r="S23" s="419">
        <f ca="1">IFERROR(__xludf.DUMMYFUNCTION("""COMPUTED_VALUE"""),0)</f>
        <v>0</v>
      </c>
      <c r="T23" s="419">
        <f ca="1">IFERROR(__xludf.DUMMYFUNCTION("""COMPUTED_VALUE"""),0)</f>
        <v>0</v>
      </c>
      <c r="U23" s="419">
        <f ca="1">IFERROR(__xludf.DUMMYFUNCTION("""COMPUTED_VALUE"""),0)</f>
        <v>0</v>
      </c>
      <c r="V23" s="419">
        <f ca="1">IFERROR(__xludf.DUMMYFUNCTION("""COMPUTED_VALUE"""),0)</f>
        <v>0</v>
      </c>
      <c r="W23" s="419">
        <f ca="1">IFERROR(__xludf.DUMMYFUNCTION("""COMPUTED_VALUE"""),0)</f>
        <v>0</v>
      </c>
      <c r="X23" s="571">
        <f ca="1">IFERROR(__xludf.DUMMYFUNCTION("""COMPUTED_VALUE"""),0)</f>
        <v>0</v>
      </c>
    </row>
    <row r="24" spans="1:24" ht="15.75" customHeight="1">
      <c r="A24" s="544"/>
      <c r="B24" s="420"/>
      <c r="C24" s="420" t="str">
        <f ca="1">IFERROR(__xludf.DUMMYFUNCTION("""COMPUTED_VALUE"""),"外資")</f>
        <v>外資</v>
      </c>
      <c r="D24" s="419">
        <f ca="1">IFERROR(__xludf.DUMMYFUNCTION("""COMPUTED_VALUE"""),370)</f>
        <v>370</v>
      </c>
      <c r="E24" s="419">
        <f ca="1">IFERROR(__xludf.DUMMYFUNCTION("""COMPUTED_VALUE"""),546032)</f>
        <v>546032</v>
      </c>
      <c r="F24" s="419">
        <f ca="1">IFERROR(__xludf.DUMMYFUNCTION("""COMPUTED_VALUE"""),372)</f>
        <v>372</v>
      </c>
      <c r="G24" s="419">
        <f ca="1">IFERROR(__xludf.DUMMYFUNCTION("""COMPUTED_VALUE"""),548873)</f>
        <v>548873</v>
      </c>
      <c r="H24" s="419">
        <f ca="1">IFERROR(__xludf.DUMMYFUNCTION("""COMPUTED_VALUE"""),-2)</f>
        <v>-2</v>
      </c>
      <c r="I24" s="419">
        <f ca="1">IFERROR(__xludf.DUMMYFUNCTION("""COMPUTED_VALUE"""),-2841)</f>
        <v>-2841</v>
      </c>
      <c r="J24" s="419">
        <f ca="1">IFERROR(__xludf.DUMMYFUNCTION("""COMPUTED_VALUE"""),30)</f>
        <v>30</v>
      </c>
      <c r="K24" s="419">
        <f ca="1">IFERROR(__xludf.DUMMYFUNCTION("""COMPUTED_VALUE"""),43749)</f>
        <v>43749</v>
      </c>
      <c r="L24" s="419">
        <f ca="1">IFERROR(__xludf.DUMMYFUNCTION("""COMPUTED_VALUE"""),5)</f>
        <v>5</v>
      </c>
      <c r="M24" s="419">
        <f ca="1">IFERROR(__xludf.DUMMYFUNCTION("""COMPUTED_VALUE"""),7301)</f>
        <v>7301</v>
      </c>
      <c r="N24" s="419">
        <f ca="1">IFERROR(__xludf.DUMMYFUNCTION("""COMPUTED_VALUE"""),25)</f>
        <v>25</v>
      </c>
      <c r="O24" s="575">
        <f ca="1">IFERROR(__xludf.DUMMYFUNCTION("""COMPUTED_VALUE"""),36448)</f>
        <v>36448</v>
      </c>
      <c r="P24" s="544"/>
      <c r="Q24" s="420"/>
      <c r="R24" s="420" t="str">
        <f ca="1">IFERROR(__xludf.DUMMYFUNCTION("""COMPUTED_VALUE"""),"外資")</f>
        <v>外資</v>
      </c>
      <c r="S24" s="419">
        <f ca="1">IFERROR(__xludf.DUMMYFUNCTION("""COMPUTED_VALUE"""),79)</f>
        <v>79</v>
      </c>
      <c r="T24" s="419">
        <f ca="1">IFERROR(__xludf.DUMMYFUNCTION("""COMPUTED_VALUE"""),115369)</f>
        <v>115369</v>
      </c>
      <c r="U24" s="419">
        <f ca="1">IFERROR(__xludf.DUMMYFUNCTION("""COMPUTED_VALUE"""),76)</f>
        <v>76</v>
      </c>
      <c r="V24" s="419">
        <f ca="1">IFERROR(__xludf.DUMMYFUNCTION("""COMPUTED_VALUE"""),110946)</f>
        <v>110946</v>
      </c>
      <c r="W24" s="419">
        <f ca="1">IFERROR(__xludf.DUMMYFUNCTION("""COMPUTED_VALUE"""),3)</f>
        <v>3</v>
      </c>
      <c r="X24" s="571">
        <f ca="1">IFERROR(__xludf.DUMMYFUNCTION("""COMPUTED_VALUE"""),4423)</f>
        <v>4423</v>
      </c>
    </row>
    <row r="25" spans="1:24" ht="15.75" customHeight="1">
      <c r="A25" s="544">
        <f ca="1">IFERROR(__xludf.DUMMYFUNCTION("""COMPUTED_VALUE"""),7)</f>
        <v>7</v>
      </c>
      <c r="B25" s="420" t="str">
        <f ca="1">IFERROR(__xludf.DUMMYFUNCTION("""COMPUTED_VALUE"""),"小型金融期貨")</f>
        <v>小型金融期貨</v>
      </c>
      <c r="C25" s="420" t="str">
        <f ca="1">IFERROR(__xludf.DUMMYFUNCTION("""COMPUTED_VALUE"""),"自營商")</f>
        <v>自營商</v>
      </c>
      <c r="D25" s="419">
        <f ca="1">IFERROR(__xludf.DUMMYFUNCTION("""COMPUTED_VALUE"""),76)</f>
        <v>76</v>
      </c>
      <c r="E25" s="419">
        <f ca="1">IFERROR(__xludf.DUMMYFUNCTION("""COMPUTED_VALUE"""),60381)</f>
        <v>60381</v>
      </c>
      <c r="F25" s="419">
        <f ca="1">IFERROR(__xludf.DUMMYFUNCTION("""COMPUTED_VALUE"""),19)</f>
        <v>19</v>
      </c>
      <c r="G25" s="419">
        <f ca="1">IFERROR(__xludf.DUMMYFUNCTION("""COMPUTED_VALUE"""),14987)</f>
        <v>14987</v>
      </c>
      <c r="H25" s="419">
        <f ca="1">IFERROR(__xludf.DUMMYFUNCTION("""COMPUTED_VALUE"""),57)</f>
        <v>57</v>
      </c>
      <c r="I25" s="419">
        <f ca="1">IFERROR(__xludf.DUMMYFUNCTION("""COMPUTED_VALUE"""),45394)</f>
        <v>45394</v>
      </c>
      <c r="J25" s="419">
        <f ca="1">IFERROR(__xludf.DUMMYFUNCTION("""COMPUTED_VALUE"""),165)</f>
        <v>165</v>
      </c>
      <c r="K25" s="419">
        <f ca="1">IFERROR(__xludf.DUMMYFUNCTION("""COMPUTED_VALUE"""),131522)</f>
        <v>131522</v>
      </c>
      <c r="L25" s="419">
        <f ca="1">IFERROR(__xludf.DUMMYFUNCTION("""COMPUTED_VALUE"""),39)</f>
        <v>39</v>
      </c>
      <c r="M25" s="419">
        <f ca="1">IFERROR(__xludf.DUMMYFUNCTION("""COMPUTED_VALUE"""),31087)</f>
        <v>31087</v>
      </c>
      <c r="N25" s="419">
        <f ca="1">IFERROR(__xludf.DUMMYFUNCTION("""COMPUTED_VALUE"""),126)</f>
        <v>126</v>
      </c>
      <c r="O25" s="575">
        <f ca="1">IFERROR(__xludf.DUMMYFUNCTION("""COMPUTED_VALUE"""),100435)</f>
        <v>100435</v>
      </c>
      <c r="P25" s="544">
        <f ca="1">IFERROR(__xludf.DUMMYFUNCTION("""COMPUTED_VALUE"""),7)</f>
        <v>7</v>
      </c>
      <c r="Q25" s="420" t="str">
        <f ca="1">IFERROR(__xludf.DUMMYFUNCTION("""COMPUTED_VALUE"""),"小型金融期貨")</f>
        <v>小型金融期貨</v>
      </c>
      <c r="R25" s="420" t="str">
        <f ca="1">IFERROR(__xludf.DUMMYFUNCTION("""COMPUTED_VALUE"""),"自營商")</f>
        <v>自營商</v>
      </c>
      <c r="S25" s="419">
        <f ca="1">IFERROR(__xludf.DUMMYFUNCTION("""COMPUTED_VALUE"""),4)</f>
        <v>4</v>
      </c>
      <c r="T25" s="419">
        <f ca="1">IFERROR(__xludf.DUMMYFUNCTION("""COMPUTED_VALUE"""),3195)</f>
        <v>3195</v>
      </c>
      <c r="U25" s="419">
        <f ca="1">IFERROR(__xludf.DUMMYFUNCTION("""COMPUTED_VALUE"""),0)</f>
        <v>0</v>
      </c>
      <c r="V25" s="419">
        <f ca="1">IFERROR(__xludf.DUMMYFUNCTION("""COMPUTED_VALUE"""),0)</f>
        <v>0</v>
      </c>
      <c r="W25" s="419">
        <f ca="1">IFERROR(__xludf.DUMMYFUNCTION("""COMPUTED_VALUE"""),4)</f>
        <v>4</v>
      </c>
      <c r="X25" s="571">
        <f ca="1">IFERROR(__xludf.DUMMYFUNCTION("""COMPUTED_VALUE"""),3195)</f>
        <v>3195</v>
      </c>
    </row>
    <row r="26" spans="1:24" ht="15.75" customHeight="1">
      <c r="A26" s="544"/>
      <c r="B26" s="420"/>
      <c r="C26" s="420" t="str">
        <f ca="1">IFERROR(__xludf.DUMMYFUNCTION("""COMPUTED_VALUE"""),"投信")</f>
        <v>投信</v>
      </c>
      <c r="D26" s="419">
        <f ca="1">IFERROR(__xludf.DUMMYFUNCTION("""COMPUTED_VALUE"""),0)</f>
        <v>0</v>
      </c>
      <c r="E26" s="419">
        <f ca="1">IFERROR(__xludf.DUMMYFUNCTION("""COMPUTED_VALUE"""),0)</f>
        <v>0</v>
      </c>
      <c r="F26" s="419">
        <f ca="1">IFERROR(__xludf.DUMMYFUNCTION("""COMPUTED_VALUE"""),0)</f>
        <v>0</v>
      </c>
      <c r="G26" s="419">
        <f ca="1">IFERROR(__xludf.DUMMYFUNCTION("""COMPUTED_VALUE"""),0)</f>
        <v>0</v>
      </c>
      <c r="H26" s="419">
        <f ca="1">IFERROR(__xludf.DUMMYFUNCTION("""COMPUTED_VALUE"""),0)</f>
        <v>0</v>
      </c>
      <c r="I26" s="419">
        <f ca="1">IFERROR(__xludf.DUMMYFUNCTION("""COMPUTED_VALUE"""),0)</f>
        <v>0</v>
      </c>
      <c r="J26" s="419">
        <f ca="1">IFERROR(__xludf.DUMMYFUNCTION("""COMPUTED_VALUE"""),0)</f>
        <v>0</v>
      </c>
      <c r="K26" s="419">
        <f ca="1">IFERROR(__xludf.DUMMYFUNCTION("""COMPUTED_VALUE"""),0)</f>
        <v>0</v>
      </c>
      <c r="L26" s="419">
        <f ca="1">IFERROR(__xludf.DUMMYFUNCTION("""COMPUTED_VALUE"""),0)</f>
        <v>0</v>
      </c>
      <c r="M26" s="419">
        <f ca="1">IFERROR(__xludf.DUMMYFUNCTION("""COMPUTED_VALUE"""),0)</f>
        <v>0</v>
      </c>
      <c r="N26" s="419">
        <f ca="1">IFERROR(__xludf.DUMMYFUNCTION("""COMPUTED_VALUE"""),0)</f>
        <v>0</v>
      </c>
      <c r="O26" s="575">
        <f ca="1">IFERROR(__xludf.DUMMYFUNCTION("""COMPUTED_VALUE"""),0)</f>
        <v>0</v>
      </c>
      <c r="P26" s="544"/>
      <c r="Q26" s="420"/>
      <c r="R26" s="420" t="str">
        <f ca="1">IFERROR(__xludf.DUMMYFUNCTION("""COMPUTED_VALUE"""),"投信")</f>
        <v>投信</v>
      </c>
      <c r="S26" s="419">
        <f ca="1">IFERROR(__xludf.DUMMYFUNCTION("""COMPUTED_VALUE"""),0)</f>
        <v>0</v>
      </c>
      <c r="T26" s="419">
        <f ca="1">IFERROR(__xludf.DUMMYFUNCTION("""COMPUTED_VALUE"""),0)</f>
        <v>0</v>
      </c>
      <c r="U26" s="419">
        <f ca="1">IFERROR(__xludf.DUMMYFUNCTION("""COMPUTED_VALUE"""),0)</f>
        <v>0</v>
      </c>
      <c r="V26" s="419">
        <f ca="1">IFERROR(__xludf.DUMMYFUNCTION("""COMPUTED_VALUE"""),0)</f>
        <v>0</v>
      </c>
      <c r="W26" s="419">
        <f ca="1">IFERROR(__xludf.DUMMYFUNCTION("""COMPUTED_VALUE"""),0)</f>
        <v>0</v>
      </c>
      <c r="X26" s="571">
        <f ca="1">IFERROR(__xludf.DUMMYFUNCTION("""COMPUTED_VALUE"""),0)</f>
        <v>0</v>
      </c>
    </row>
    <row r="27" spans="1:24" ht="15.75" customHeight="1">
      <c r="A27" s="544"/>
      <c r="B27" s="420"/>
      <c r="C27" s="420" t="str">
        <f ca="1">IFERROR(__xludf.DUMMYFUNCTION("""COMPUTED_VALUE"""),"外資")</f>
        <v>外資</v>
      </c>
      <c r="D27" s="419">
        <f ca="1">IFERROR(__xludf.DUMMYFUNCTION("""COMPUTED_VALUE"""),128)</f>
        <v>128</v>
      </c>
      <c r="E27" s="419">
        <f ca="1">IFERROR(__xludf.DUMMYFUNCTION("""COMPUTED_VALUE"""),101516)</f>
        <v>101516</v>
      </c>
      <c r="F27" s="419">
        <f ca="1">IFERROR(__xludf.DUMMYFUNCTION("""COMPUTED_VALUE"""),138)</f>
        <v>138</v>
      </c>
      <c r="G27" s="419">
        <f ca="1">IFERROR(__xludf.DUMMYFUNCTION("""COMPUTED_VALUE"""),109456)</f>
        <v>109456</v>
      </c>
      <c r="H27" s="419">
        <f ca="1">IFERROR(__xludf.DUMMYFUNCTION("""COMPUTED_VALUE"""),-10)</f>
        <v>-10</v>
      </c>
      <c r="I27" s="419">
        <f ca="1">IFERROR(__xludf.DUMMYFUNCTION("""COMPUTED_VALUE"""),-7940)</f>
        <v>-7940</v>
      </c>
      <c r="J27" s="419">
        <f ca="1">IFERROR(__xludf.DUMMYFUNCTION("""COMPUTED_VALUE"""),1)</f>
        <v>1</v>
      </c>
      <c r="K27" s="419">
        <f ca="1">IFERROR(__xludf.DUMMYFUNCTION("""COMPUTED_VALUE"""),797)</f>
        <v>797</v>
      </c>
      <c r="L27" s="419">
        <f ca="1">IFERROR(__xludf.DUMMYFUNCTION("""COMPUTED_VALUE"""),19)</f>
        <v>19</v>
      </c>
      <c r="M27" s="419">
        <f ca="1">IFERROR(__xludf.DUMMYFUNCTION("""COMPUTED_VALUE"""),15145)</f>
        <v>15145</v>
      </c>
      <c r="N27" s="419">
        <f ca="1">IFERROR(__xludf.DUMMYFUNCTION("""COMPUTED_VALUE"""),-18)</f>
        <v>-18</v>
      </c>
      <c r="O27" s="575">
        <f ca="1">IFERROR(__xludf.DUMMYFUNCTION("""COMPUTED_VALUE"""),-14348)</f>
        <v>-14348</v>
      </c>
      <c r="P27" s="544"/>
      <c r="Q27" s="420"/>
      <c r="R27" s="420" t="str">
        <f ca="1">IFERROR(__xludf.DUMMYFUNCTION("""COMPUTED_VALUE"""),"外資")</f>
        <v>外資</v>
      </c>
      <c r="S27" s="419">
        <f ca="1">IFERROR(__xludf.DUMMYFUNCTION("""COMPUTED_VALUE"""),3)</f>
        <v>3</v>
      </c>
      <c r="T27" s="419">
        <f ca="1">IFERROR(__xludf.DUMMYFUNCTION("""COMPUTED_VALUE"""),2390)</f>
        <v>2390</v>
      </c>
      <c r="U27" s="419">
        <f ca="1">IFERROR(__xludf.DUMMYFUNCTION("""COMPUTED_VALUE"""),0)</f>
        <v>0</v>
      </c>
      <c r="V27" s="419">
        <f ca="1">IFERROR(__xludf.DUMMYFUNCTION("""COMPUTED_VALUE"""),0)</f>
        <v>0</v>
      </c>
      <c r="W27" s="419">
        <f ca="1">IFERROR(__xludf.DUMMYFUNCTION("""COMPUTED_VALUE"""),3)</f>
        <v>3</v>
      </c>
      <c r="X27" s="571">
        <f ca="1">IFERROR(__xludf.DUMMYFUNCTION("""COMPUTED_VALUE"""),2390)</f>
        <v>2390</v>
      </c>
    </row>
    <row r="28" spans="1:24" ht="15.75" customHeight="1">
      <c r="A28" s="544">
        <f ca="1">IFERROR(__xludf.DUMMYFUNCTION("""COMPUTED_VALUE"""),8)</f>
        <v>8</v>
      </c>
      <c r="B28" s="420" t="str">
        <f ca="1">IFERROR(__xludf.DUMMYFUNCTION("""COMPUTED_VALUE"""),"股票期貨")</f>
        <v>股票期貨</v>
      </c>
      <c r="C28" s="420" t="str">
        <f ca="1">IFERROR(__xludf.DUMMYFUNCTION("""COMPUTED_VALUE"""),"自營商")</f>
        <v>自營商</v>
      </c>
      <c r="D28" s="419">
        <f ca="1">IFERROR(__xludf.DUMMYFUNCTION("""COMPUTED_VALUE"""),72604)</f>
        <v>72604</v>
      </c>
      <c r="E28" s="419">
        <f ca="1">IFERROR(__xludf.DUMMYFUNCTION("""COMPUTED_VALUE"""),37710277)</f>
        <v>37710277</v>
      </c>
      <c r="F28" s="419">
        <f ca="1">IFERROR(__xludf.DUMMYFUNCTION("""COMPUTED_VALUE"""),71018)</f>
        <v>71018</v>
      </c>
      <c r="G28" s="419">
        <f ca="1">IFERROR(__xludf.DUMMYFUNCTION("""COMPUTED_VALUE"""),34499659)</f>
        <v>34499659</v>
      </c>
      <c r="H28" s="419">
        <f ca="1">IFERROR(__xludf.DUMMYFUNCTION("""COMPUTED_VALUE"""),1586)</f>
        <v>1586</v>
      </c>
      <c r="I28" s="419">
        <f ca="1">IFERROR(__xludf.DUMMYFUNCTION("""COMPUTED_VALUE"""),3210618)</f>
        <v>3210618</v>
      </c>
      <c r="J28" s="419">
        <f ca="1">IFERROR(__xludf.DUMMYFUNCTION("""COMPUTED_VALUE"""),114627)</f>
        <v>114627</v>
      </c>
      <c r="K28" s="419">
        <f ca="1">IFERROR(__xludf.DUMMYFUNCTION("""COMPUTED_VALUE"""),46568688)</f>
        <v>46568688</v>
      </c>
      <c r="L28" s="419">
        <f ca="1">IFERROR(__xludf.DUMMYFUNCTION("""COMPUTED_VALUE"""),337692)</f>
        <v>337692</v>
      </c>
      <c r="M28" s="419">
        <f ca="1">IFERROR(__xludf.DUMMYFUNCTION("""COMPUTED_VALUE"""),202269388)</f>
        <v>202269388</v>
      </c>
      <c r="N28" s="419">
        <f ca="1">IFERROR(__xludf.DUMMYFUNCTION("""COMPUTED_VALUE"""),-223065)</f>
        <v>-223065</v>
      </c>
      <c r="O28" s="575">
        <f ca="1">IFERROR(__xludf.DUMMYFUNCTION("""COMPUTED_VALUE"""),-155700700)</f>
        <v>-155700700</v>
      </c>
      <c r="P28" s="544">
        <f ca="1">IFERROR(__xludf.DUMMYFUNCTION("""COMPUTED_VALUE"""),8)</f>
        <v>8</v>
      </c>
      <c r="Q28" s="420" t="str">
        <f ca="1">IFERROR(__xludf.DUMMYFUNCTION("""COMPUTED_VALUE"""),"股票期貨")</f>
        <v>股票期貨</v>
      </c>
      <c r="R28" s="420" t="str">
        <f ca="1">IFERROR(__xludf.DUMMYFUNCTION("""COMPUTED_VALUE"""),"自營商")</f>
        <v>自營商</v>
      </c>
      <c r="S28" s="419">
        <f ca="1">IFERROR(__xludf.DUMMYFUNCTION("""COMPUTED_VALUE"""),143)</f>
        <v>143</v>
      </c>
      <c r="T28" s="419">
        <f ca="1">IFERROR(__xludf.DUMMYFUNCTION("""COMPUTED_VALUE"""),139188)</f>
        <v>139188</v>
      </c>
      <c r="U28" s="419">
        <f ca="1">IFERROR(__xludf.DUMMYFUNCTION("""COMPUTED_VALUE"""),291)</f>
        <v>291</v>
      </c>
      <c r="V28" s="419">
        <f ca="1">IFERROR(__xludf.DUMMYFUNCTION("""COMPUTED_VALUE"""),138067)</f>
        <v>138067</v>
      </c>
      <c r="W28" s="419">
        <f ca="1">IFERROR(__xludf.DUMMYFUNCTION("""COMPUTED_VALUE"""),-148)</f>
        <v>-148</v>
      </c>
      <c r="X28" s="571">
        <f ca="1">IFERROR(__xludf.DUMMYFUNCTION("""COMPUTED_VALUE"""),1121)</f>
        <v>1121</v>
      </c>
    </row>
    <row r="29" spans="1:24" ht="15.75" customHeight="1">
      <c r="A29" s="544"/>
      <c r="B29" s="420"/>
      <c r="C29" s="420" t="str">
        <f ca="1">IFERROR(__xludf.DUMMYFUNCTION("""COMPUTED_VALUE"""),"投信")</f>
        <v>投信</v>
      </c>
      <c r="D29" s="419">
        <f ca="1">IFERROR(__xludf.DUMMYFUNCTION("""COMPUTED_VALUE"""),48)</f>
        <v>48</v>
      </c>
      <c r="E29" s="419">
        <f ca="1">IFERROR(__xludf.DUMMYFUNCTION("""COMPUTED_VALUE"""),41958)</f>
        <v>41958</v>
      </c>
      <c r="F29" s="419">
        <f ca="1">IFERROR(__xludf.DUMMYFUNCTION("""COMPUTED_VALUE"""),0)</f>
        <v>0</v>
      </c>
      <c r="G29" s="419">
        <f ca="1">IFERROR(__xludf.DUMMYFUNCTION("""COMPUTED_VALUE"""),0)</f>
        <v>0</v>
      </c>
      <c r="H29" s="419">
        <f ca="1">IFERROR(__xludf.DUMMYFUNCTION("""COMPUTED_VALUE"""),48)</f>
        <v>48</v>
      </c>
      <c r="I29" s="419">
        <f ca="1">IFERROR(__xludf.DUMMYFUNCTION("""COMPUTED_VALUE"""),41958)</f>
        <v>41958</v>
      </c>
      <c r="J29" s="419">
        <f ca="1">IFERROR(__xludf.DUMMYFUNCTION("""COMPUTED_VALUE"""),2435)</f>
        <v>2435</v>
      </c>
      <c r="K29" s="419">
        <f ca="1">IFERROR(__xludf.DUMMYFUNCTION("""COMPUTED_VALUE"""),4288994)</f>
        <v>4288994</v>
      </c>
      <c r="L29" s="419">
        <f ca="1">IFERROR(__xludf.DUMMYFUNCTION("""COMPUTED_VALUE"""),185)</f>
        <v>185</v>
      </c>
      <c r="M29" s="419">
        <f ca="1">IFERROR(__xludf.DUMMYFUNCTION("""COMPUTED_VALUE"""),33162)</f>
        <v>33162</v>
      </c>
      <c r="N29" s="419">
        <f ca="1">IFERROR(__xludf.DUMMYFUNCTION("""COMPUTED_VALUE"""),2250)</f>
        <v>2250</v>
      </c>
      <c r="O29" s="575">
        <f ca="1">IFERROR(__xludf.DUMMYFUNCTION("""COMPUTED_VALUE"""),4255832)</f>
        <v>4255832</v>
      </c>
      <c r="P29" s="544"/>
      <c r="Q29" s="420"/>
      <c r="R29" s="420" t="str">
        <f ca="1">IFERROR(__xludf.DUMMYFUNCTION("""COMPUTED_VALUE"""),"投信")</f>
        <v>投信</v>
      </c>
      <c r="S29" s="419">
        <f ca="1">IFERROR(__xludf.DUMMYFUNCTION("""COMPUTED_VALUE"""),0)</f>
        <v>0</v>
      </c>
      <c r="T29" s="419">
        <f ca="1">IFERROR(__xludf.DUMMYFUNCTION("""COMPUTED_VALUE"""),0)</f>
        <v>0</v>
      </c>
      <c r="U29" s="419">
        <f ca="1">IFERROR(__xludf.DUMMYFUNCTION("""COMPUTED_VALUE"""),0)</f>
        <v>0</v>
      </c>
      <c r="V29" s="419">
        <f ca="1">IFERROR(__xludf.DUMMYFUNCTION("""COMPUTED_VALUE"""),0)</f>
        <v>0</v>
      </c>
      <c r="W29" s="419">
        <f ca="1">IFERROR(__xludf.DUMMYFUNCTION("""COMPUTED_VALUE"""),0)</f>
        <v>0</v>
      </c>
      <c r="X29" s="571">
        <f ca="1">IFERROR(__xludf.DUMMYFUNCTION("""COMPUTED_VALUE"""),0)</f>
        <v>0</v>
      </c>
    </row>
    <row r="30" spans="1:24" ht="15.75" customHeight="1">
      <c r="A30" s="544"/>
      <c r="B30" s="420"/>
      <c r="C30" s="420" t="str">
        <f ca="1">IFERROR(__xludf.DUMMYFUNCTION("""COMPUTED_VALUE"""),"外資")</f>
        <v>外資</v>
      </c>
      <c r="D30" s="419">
        <f ca="1">IFERROR(__xludf.DUMMYFUNCTION("""COMPUTED_VALUE"""),476262)</f>
        <v>476262</v>
      </c>
      <c r="E30" s="419">
        <f ca="1">IFERROR(__xludf.DUMMYFUNCTION("""COMPUTED_VALUE"""),275122013)</f>
        <v>275122013</v>
      </c>
      <c r="F30" s="419">
        <f ca="1">IFERROR(__xludf.DUMMYFUNCTION("""COMPUTED_VALUE"""),475440)</f>
        <v>475440</v>
      </c>
      <c r="G30" s="419">
        <f ca="1">IFERROR(__xludf.DUMMYFUNCTION("""COMPUTED_VALUE"""),276185317)</f>
        <v>276185317</v>
      </c>
      <c r="H30" s="419">
        <f ca="1">IFERROR(__xludf.DUMMYFUNCTION("""COMPUTED_VALUE"""),822)</f>
        <v>822</v>
      </c>
      <c r="I30" s="419">
        <f ca="1">IFERROR(__xludf.DUMMYFUNCTION("""COMPUTED_VALUE"""),-1063304)</f>
        <v>-1063304</v>
      </c>
      <c r="J30" s="419">
        <f ca="1">IFERROR(__xludf.DUMMYFUNCTION("""COMPUTED_VALUE"""),229357)</f>
        <v>229357</v>
      </c>
      <c r="K30" s="419">
        <f ca="1">IFERROR(__xludf.DUMMYFUNCTION("""COMPUTED_VALUE"""),154620917)</f>
        <v>154620917</v>
      </c>
      <c r="L30" s="419">
        <f ca="1">IFERROR(__xludf.DUMMYFUNCTION("""COMPUTED_VALUE"""),664410)</f>
        <v>664410</v>
      </c>
      <c r="M30" s="419">
        <f ca="1">IFERROR(__xludf.DUMMYFUNCTION("""COMPUTED_VALUE"""),377254130)</f>
        <v>377254130</v>
      </c>
      <c r="N30" s="419">
        <f ca="1">IFERROR(__xludf.DUMMYFUNCTION("""COMPUTED_VALUE"""),-435053)</f>
        <v>-435053</v>
      </c>
      <c r="O30" s="575">
        <f ca="1">IFERROR(__xludf.DUMMYFUNCTION("""COMPUTED_VALUE"""),-222633213)</f>
        <v>-222633213</v>
      </c>
      <c r="P30" s="544"/>
      <c r="Q30" s="420"/>
      <c r="R30" s="420" t="str">
        <f ca="1">IFERROR(__xludf.DUMMYFUNCTION("""COMPUTED_VALUE"""),"外資")</f>
        <v>外資</v>
      </c>
      <c r="S30" s="419">
        <f ca="1">IFERROR(__xludf.DUMMYFUNCTION("""COMPUTED_VALUE"""),5309)</f>
        <v>5309</v>
      </c>
      <c r="T30" s="419">
        <f ca="1">IFERROR(__xludf.DUMMYFUNCTION("""COMPUTED_VALUE"""),3432883)</f>
        <v>3432883</v>
      </c>
      <c r="U30" s="419">
        <f ca="1">IFERROR(__xludf.DUMMYFUNCTION("""COMPUTED_VALUE"""),5434)</f>
        <v>5434</v>
      </c>
      <c r="V30" s="419">
        <f ca="1">IFERROR(__xludf.DUMMYFUNCTION("""COMPUTED_VALUE"""),3497463)</f>
        <v>3497463</v>
      </c>
      <c r="W30" s="419">
        <f ca="1">IFERROR(__xludf.DUMMYFUNCTION("""COMPUTED_VALUE"""),-125)</f>
        <v>-125</v>
      </c>
      <c r="X30" s="571">
        <f ca="1">IFERROR(__xludf.DUMMYFUNCTION("""COMPUTED_VALUE"""),-64580)</f>
        <v>-64580</v>
      </c>
    </row>
    <row r="31" spans="1:24" ht="15.75" customHeight="1">
      <c r="A31" s="544">
        <f ca="1">IFERROR(__xludf.DUMMYFUNCTION("""COMPUTED_VALUE"""),9)</f>
        <v>9</v>
      </c>
      <c r="B31" s="420" t="str">
        <f ca="1">IFERROR(__xludf.DUMMYFUNCTION("""COMPUTED_VALUE"""),"ETF期貨")</f>
        <v>ETF期貨</v>
      </c>
      <c r="C31" s="420" t="str">
        <f ca="1">IFERROR(__xludf.DUMMYFUNCTION("""COMPUTED_VALUE"""),"自營商")</f>
        <v>自營商</v>
      </c>
      <c r="D31" s="419">
        <f ca="1">IFERROR(__xludf.DUMMYFUNCTION("""COMPUTED_VALUE"""),6160)</f>
        <v>6160</v>
      </c>
      <c r="E31" s="419">
        <f ca="1">IFERROR(__xludf.DUMMYFUNCTION("""COMPUTED_VALUE"""),3319624)</f>
        <v>3319624</v>
      </c>
      <c r="F31" s="419">
        <f ca="1">IFERROR(__xludf.DUMMYFUNCTION("""COMPUTED_VALUE"""),5287)</f>
        <v>5287</v>
      </c>
      <c r="G31" s="419">
        <f ca="1">IFERROR(__xludf.DUMMYFUNCTION("""COMPUTED_VALUE"""),3387158)</f>
        <v>3387158</v>
      </c>
      <c r="H31" s="419">
        <f ca="1">IFERROR(__xludf.DUMMYFUNCTION("""COMPUTED_VALUE"""),873)</f>
        <v>873</v>
      </c>
      <c r="I31" s="419">
        <f ca="1">IFERROR(__xludf.DUMMYFUNCTION("""COMPUTED_VALUE"""),-67534)</f>
        <v>-67534</v>
      </c>
      <c r="J31" s="419">
        <f ca="1">IFERROR(__xludf.DUMMYFUNCTION("""COMPUTED_VALUE"""),18023)</f>
        <v>18023</v>
      </c>
      <c r="K31" s="419">
        <f ca="1">IFERROR(__xludf.DUMMYFUNCTION("""COMPUTED_VALUE"""),7409227)</f>
        <v>7409227</v>
      </c>
      <c r="L31" s="419">
        <f ca="1">IFERROR(__xludf.DUMMYFUNCTION("""COMPUTED_VALUE"""),40635)</f>
        <v>40635</v>
      </c>
      <c r="M31" s="419">
        <f ca="1">IFERROR(__xludf.DUMMYFUNCTION("""COMPUTED_VALUE"""),25437422)</f>
        <v>25437422</v>
      </c>
      <c r="N31" s="419">
        <f ca="1">IFERROR(__xludf.DUMMYFUNCTION("""COMPUTED_VALUE"""),-22612)</f>
        <v>-22612</v>
      </c>
      <c r="O31" s="575">
        <f ca="1">IFERROR(__xludf.DUMMYFUNCTION("""COMPUTED_VALUE"""),-18028195)</f>
        <v>-18028195</v>
      </c>
      <c r="P31" s="544">
        <f ca="1">IFERROR(__xludf.DUMMYFUNCTION("""COMPUTED_VALUE"""),9)</f>
        <v>9</v>
      </c>
      <c r="Q31" s="420" t="str">
        <f ca="1">IFERROR(__xludf.DUMMYFUNCTION("""COMPUTED_VALUE"""),"ETF期貨")</f>
        <v>ETF期貨</v>
      </c>
      <c r="R31" s="420" t="str">
        <f ca="1">IFERROR(__xludf.DUMMYFUNCTION("""COMPUTED_VALUE"""),"自營商")</f>
        <v>自營商</v>
      </c>
      <c r="S31" s="419">
        <f ca="1">IFERROR(__xludf.DUMMYFUNCTION("""COMPUTED_VALUE"""),839)</f>
        <v>839</v>
      </c>
      <c r="T31" s="419">
        <f ca="1">IFERROR(__xludf.DUMMYFUNCTION("""COMPUTED_VALUE"""),177753)</f>
        <v>177753</v>
      </c>
      <c r="U31" s="419">
        <f ca="1">IFERROR(__xludf.DUMMYFUNCTION("""COMPUTED_VALUE"""),1014)</f>
        <v>1014</v>
      </c>
      <c r="V31" s="419">
        <f ca="1">IFERROR(__xludf.DUMMYFUNCTION("""COMPUTED_VALUE"""),243142)</f>
        <v>243142</v>
      </c>
      <c r="W31" s="419">
        <f ca="1">IFERROR(__xludf.DUMMYFUNCTION("""COMPUTED_VALUE"""),-175)</f>
        <v>-175</v>
      </c>
      <c r="X31" s="571">
        <f ca="1">IFERROR(__xludf.DUMMYFUNCTION("""COMPUTED_VALUE"""),-65389)</f>
        <v>-65389</v>
      </c>
    </row>
    <row r="32" spans="1:24" ht="15.75" customHeight="1">
      <c r="A32" s="544"/>
      <c r="B32" s="420"/>
      <c r="C32" s="420" t="str">
        <f ca="1">IFERROR(__xludf.DUMMYFUNCTION("""COMPUTED_VALUE"""),"投信")</f>
        <v>投信</v>
      </c>
      <c r="D32" s="419">
        <f ca="1">IFERROR(__xludf.DUMMYFUNCTION("""COMPUTED_VALUE"""),1000)</f>
        <v>1000</v>
      </c>
      <c r="E32" s="419">
        <f ca="1">IFERROR(__xludf.DUMMYFUNCTION("""COMPUTED_VALUE"""),1071961)</f>
        <v>1071961</v>
      </c>
      <c r="F32" s="419">
        <f ca="1">IFERROR(__xludf.DUMMYFUNCTION("""COMPUTED_VALUE"""),1000)</f>
        <v>1000</v>
      </c>
      <c r="G32" s="419">
        <f ca="1">IFERROR(__xludf.DUMMYFUNCTION("""COMPUTED_VALUE"""),1069539)</f>
        <v>1069539</v>
      </c>
      <c r="H32" s="419">
        <f ca="1">IFERROR(__xludf.DUMMYFUNCTION("""COMPUTED_VALUE"""),0)</f>
        <v>0</v>
      </c>
      <c r="I32" s="419">
        <f ca="1">IFERROR(__xludf.DUMMYFUNCTION("""COMPUTED_VALUE"""),2422)</f>
        <v>2422</v>
      </c>
      <c r="J32" s="419">
        <f ca="1">IFERROR(__xludf.DUMMYFUNCTION("""COMPUTED_VALUE"""),11166)</f>
        <v>11166</v>
      </c>
      <c r="K32" s="419">
        <f ca="1">IFERROR(__xludf.DUMMYFUNCTION("""COMPUTED_VALUE"""),10923616)</f>
        <v>10923616</v>
      </c>
      <c r="L32" s="419">
        <f ca="1">IFERROR(__xludf.DUMMYFUNCTION("""COMPUTED_VALUE"""),50)</f>
        <v>50</v>
      </c>
      <c r="M32" s="419">
        <f ca="1">IFERROR(__xludf.DUMMYFUNCTION("""COMPUTED_VALUE"""),20635)</f>
        <v>20635</v>
      </c>
      <c r="N32" s="419">
        <f ca="1">IFERROR(__xludf.DUMMYFUNCTION("""COMPUTED_VALUE"""),11116)</f>
        <v>11116</v>
      </c>
      <c r="O32" s="575">
        <f ca="1">IFERROR(__xludf.DUMMYFUNCTION("""COMPUTED_VALUE"""),10902981)</f>
        <v>10902981</v>
      </c>
      <c r="P32" s="544"/>
      <c r="Q32" s="420"/>
      <c r="R32" s="420" t="str">
        <f ca="1">IFERROR(__xludf.DUMMYFUNCTION("""COMPUTED_VALUE"""),"投信")</f>
        <v>投信</v>
      </c>
      <c r="S32" s="419">
        <f ca="1">IFERROR(__xludf.DUMMYFUNCTION("""COMPUTED_VALUE"""),0)</f>
        <v>0</v>
      </c>
      <c r="T32" s="419">
        <f ca="1">IFERROR(__xludf.DUMMYFUNCTION("""COMPUTED_VALUE"""),0)</f>
        <v>0</v>
      </c>
      <c r="U32" s="419">
        <f ca="1">IFERROR(__xludf.DUMMYFUNCTION("""COMPUTED_VALUE"""),0)</f>
        <v>0</v>
      </c>
      <c r="V32" s="419">
        <f ca="1">IFERROR(__xludf.DUMMYFUNCTION("""COMPUTED_VALUE"""),0)</f>
        <v>0</v>
      </c>
      <c r="W32" s="419">
        <f ca="1">IFERROR(__xludf.DUMMYFUNCTION("""COMPUTED_VALUE"""),0)</f>
        <v>0</v>
      </c>
      <c r="X32" s="571">
        <f ca="1">IFERROR(__xludf.DUMMYFUNCTION("""COMPUTED_VALUE"""),0)</f>
        <v>0</v>
      </c>
    </row>
    <row r="33" spans="1:24" ht="15.75" customHeight="1">
      <c r="A33" s="544"/>
      <c r="B33" s="420"/>
      <c r="C33" s="420" t="str">
        <f ca="1">IFERROR(__xludf.DUMMYFUNCTION("""COMPUTED_VALUE"""),"外資")</f>
        <v>外資</v>
      </c>
      <c r="D33" s="419">
        <f ca="1">IFERROR(__xludf.DUMMYFUNCTION("""COMPUTED_VALUE"""),4329)</f>
        <v>4329</v>
      </c>
      <c r="E33" s="419">
        <f ca="1">IFERROR(__xludf.DUMMYFUNCTION("""COMPUTED_VALUE"""),2985423)</f>
        <v>2985423</v>
      </c>
      <c r="F33" s="419">
        <f ca="1">IFERROR(__xludf.DUMMYFUNCTION("""COMPUTED_VALUE"""),4362)</f>
        <v>4362</v>
      </c>
      <c r="G33" s="419">
        <f ca="1">IFERROR(__xludf.DUMMYFUNCTION("""COMPUTED_VALUE"""),2629159)</f>
        <v>2629159</v>
      </c>
      <c r="H33" s="419">
        <f ca="1">IFERROR(__xludf.DUMMYFUNCTION("""COMPUTED_VALUE"""),-33)</f>
        <v>-33</v>
      </c>
      <c r="I33" s="419">
        <f ca="1">IFERROR(__xludf.DUMMYFUNCTION("""COMPUTED_VALUE"""),356264)</f>
        <v>356264</v>
      </c>
      <c r="J33" s="419">
        <f ca="1">IFERROR(__xludf.DUMMYFUNCTION("""COMPUTED_VALUE"""),13816)</f>
        <v>13816</v>
      </c>
      <c r="K33" s="419">
        <f ca="1">IFERROR(__xludf.DUMMYFUNCTION("""COMPUTED_VALUE"""),10636758)</f>
        <v>10636758</v>
      </c>
      <c r="L33" s="419">
        <f ca="1">IFERROR(__xludf.DUMMYFUNCTION("""COMPUTED_VALUE"""),6742)</f>
        <v>6742</v>
      </c>
      <c r="M33" s="419">
        <f ca="1">IFERROR(__xludf.DUMMYFUNCTION("""COMPUTED_VALUE"""),5577419)</f>
        <v>5577419</v>
      </c>
      <c r="N33" s="419">
        <f ca="1">IFERROR(__xludf.DUMMYFUNCTION("""COMPUTED_VALUE"""),7074)</f>
        <v>7074</v>
      </c>
      <c r="O33" s="575">
        <f ca="1">IFERROR(__xludf.DUMMYFUNCTION("""COMPUTED_VALUE"""),5059339)</f>
        <v>5059339</v>
      </c>
      <c r="P33" s="544"/>
      <c r="Q33" s="420"/>
      <c r="R33" s="420" t="str">
        <f ca="1">IFERROR(__xludf.DUMMYFUNCTION("""COMPUTED_VALUE"""),"外資")</f>
        <v>外資</v>
      </c>
      <c r="S33" s="419">
        <f ca="1">IFERROR(__xludf.DUMMYFUNCTION("""COMPUTED_VALUE"""),877)</f>
        <v>877</v>
      </c>
      <c r="T33" s="419">
        <f ca="1">IFERROR(__xludf.DUMMYFUNCTION("""COMPUTED_VALUE"""),502918)</f>
        <v>502918</v>
      </c>
      <c r="U33" s="419">
        <f ca="1">IFERROR(__xludf.DUMMYFUNCTION("""COMPUTED_VALUE"""),994)</f>
        <v>994</v>
      </c>
      <c r="V33" s="419">
        <f ca="1">IFERROR(__xludf.DUMMYFUNCTION("""COMPUTED_VALUE"""),552351)</f>
        <v>552351</v>
      </c>
      <c r="W33" s="419">
        <f ca="1">IFERROR(__xludf.DUMMYFUNCTION("""COMPUTED_VALUE"""),-117)</f>
        <v>-117</v>
      </c>
      <c r="X33" s="571">
        <f ca="1">IFERROR(__xludf.DUMMYFUNCTION("""COMPUTED_VALUE"""),-49433)</f>
        <v>-49433</v>
      </c>
    </row>
    <row r="34" spans="1:24" ht="15.75" customHeight="1">
      <c r="A34" s="544">
        <f ca="1">IFERROR(__xludf.DUMMYFUNCTION("""COMPUTED_VALUE"""),10)</f>
        <v>10</v>
      </c>
      <c r="B34" s="420" t="str">
        <f ca="1">IFERROR(__xludf.DUMMYFUNCTION("""COMPUTED_VALUE"""),"櫃買指數期貨")</f>
        <v>櫃買指數期貨</v>
      </c>
      <c r="C34" s="420" t="str">
        <f ca="1">IFERROR(__xludf.DUMMYFUNCTION("""COMPUTED_VALUE"""),"自營商")</f>
        <v>自營商</v>
      </c>
      <c r="D34" s="419">
        <f ca="1">IFERROR(__xludf.DUMMYFUNCTION("""COMPUTED_VALUE"""),0)</f>
        <v>0</v>
      </c>
      <c r="E34" s="419">
        <f ca="1">IFERROR(__xludf.DUMMYFUNCTION("""COMPUTED_VALUE"""),0)</f>
        <v>0</v>
      </c>
      <c r="F34" s="419">
        <f ca="1">IFERROR(__xludf.DUMMYFUNCTION("""COMPUTED_VALUE"""),0)</f>
        <v>0</v>
      </c>
      <c r="G34" s="419">
        <f ca="1">IFERROR(__xludf.DUMMYFUNCTION("""COMPUTED_VALUE"""),0)</f>
        <v>0</v>
      </c>
      <c r="H34" s="419">
        <f ca="1">IFERROR(__xludf.DUMMYFUNCTION("""COMPUTED_VALUE"""),0)</f>
        <v>0</v>
      </c>
      <c r="I34" s="419">
        <f ca="1">IFERROR(__xludf.DUMMYFUNCTION("""COMPUTED_VALUE"""),0)</f>
        <v>0</v>
      </c>
      <c r="J34" s="419">
        <f ca="1">IFERROR(__xludf.DUMMYFUNCTION("""COMPUTED_VALUE"""),0)</f>
        <v>0</v>
      </c>
      <c r="K34" s="419">
        <f ca="1">IFERROR(__xludf.DUMMYFUNCTION("""COMPUTED_VALUE"""),0)</f>
        <v>0</v>
      </c>
      <c r="L34" s="419">
        <f ca="1">IFERROR(__xludf.DUMMYFUNCTION("""COMPUTED_VALUE"""),0)</f>
        <v>0</v>
      </c>
      <c r="M34" s="419">
        <f ca="1">IFERROR(__xludf.DUMMYFUNCTION("""COMPUTED_VALUE"""),0)</f>
        <v>0</v>
      </c>
      <c r="N34" s="419">
        <f ca="1">IFERROR(__xludf.DUMMYFUNCTION("""COMPUTED_VALUE"""),0)</f>
        <v>0</v>
      </c>
      <c r="O34" s="575">
        <f ca="1">IFERROR(__xludf.DUMMYFUNCTION("""COMPUTED_VALUE"""),0)</f>
        <v>0</v>
      </c>
      <c r="P34" s="544">
        <f ca="1">IFERROR(__xludf.DUMMYFUNCTION("""COMPUTED_VALUE"""),10)</f>
        <v>10</v>
      </c>
      <c r="Q34" s="420" t="str">
        <f ca="1">IFERROR(__xludf.DUMMYFUNCTION("""COMPUTED_VALUE"""),"臺灣中型100期貨")</f>
        <v>臺灣中型100期貨</v>
      </c>
      <c r="R34" s="420" t="str">
        <f ca="1">IFERROR(__xludf.DUMMYFUNCTION("""COMPUTED_VALUE"""),"自營商")</f>
        <v>自營商</v>
      </c>
      <c r="S34" s="419">
        <f ca="1">IFERROR(__xludf.DUMMYFUNCTION("""COMPUTED_VALUE"""),48)</f>
        <v>48</v>
      </c>
      <c r="T34" s="419">
        <f ca="1">IFERROR(__xludf.DUMMYFUNCTION("""COMPUTED_VALUE"""),17267)</f>
        <v>17267</v>
      </c>
      <c r="U34" s="419">
        <f ca="1">IFERROR(__xludf.DUMMYFUNCTION("""COMPUTED_VALUE"""),33)</f>
        <v>33</v>
      </c>
      <c r="V34" s="419">
        <f ca="1">IFERROR(__xludf.DUMMYFUNCTION("""COMPUTED_VALUE"""),11866)</f>
        <v>11866</v>
      </c>
      <c r="W34" s="419">
        <f ca="1">IFERROR(__xludf.DUMMYFUNCTION("""COMPUTED_VALUE"""),15)</f>
        <v>15</v>
      </c>
      <c r="X34" s="571">
        <f ca="1">IFERROR(__xludf.DUMMYFUNCTION("""COMPUTED_VALUE"""),5401)</f>
        <v>5401</v>
      </c>
    </row>
    <row r="35" spans="1:24" ht="15.75" customHeight="1">
      <c r="A35" s="544"/>
      <c r="B35" s="420"/>
      <c r="C35" s="420" t="str">
        <f ca="1">IFERROR(__xludf.DUMMYFUNCTION("""COMPUTED_VALUE"""),"投信")</f>
        <v>投信</v>
      </c>
      <c r="D35" s="419">
        <f ca="1">IFERROR(__xludf.DUMMYFUNCTION("""COMPUTED_VALUE"""),0)</f>
        <v>0</v>
      </c>
      <c r="E35" s="419">
        <f ca="1">IFERROR(__xludf.DUMMYFUNCTION("""COMPUTED_VALUE"""),0)</f>
        <v>0</v>
      </c>
      <c r="F35" s="419">
        <f ca="1">IFERROR(__xludf.DUMMYFUNCTION("""COMPUTED_VALUE"""),0)</f>
        <v>0</v>
      </c>
      <c r="G35" s="419">
        <f ca="1">IFERROR(__xludf.DUMMYFUNCTION("""COMPUTED_VALUE"""),0)</f>
        <v>0</v>
      </c>
      <c r="H35" s="419">
        <f ca="1">IFERROR(__xludf.DUMMYFUNCTION("""COMPUTED_VALUE"""),0)</f>
        <v>0</v>
      </c>
      <c r="I35" s="419">
        <f ca="1">IFERROR(__xludf.DUMMYFUNCTION("""COMPUTED_VALUE"""),0)</f>
        <v>0</v>
      </c>
      <c r="J35" s="419">
        <f ca="1">IFERROR(__xludf.DUMMYFUNCTION("""COMPUTED_VALUE"""),0)</f>
        <v>0</v>
      </c>
      <c r="K35" s="419">
        <f ca="1">IFERROR(__xludf.DUMMYFUNCTION("""COMPUTED_VALUE"""),0)</f>
        <v>0</v>
      </c>
      <c r="L35" s="419">
        <f ca="1">IFERROR(__xludf.DUMMYFUNCTION("""COMPUTED_VALUE"""),0)</f>
        <v>0</v>
      </c>
      <c r="M35" s="419">
        <f ca="1">IFERROR(__xludf.DUMMYFUNCTION("""COMPUTED_VALUE"""),0)</f>
        <v>0</v>
      </c>
      <c r="N35" s="419">
        <f ca="1">IFERROR(__xludf.DUMMYFUNCTION("""COMPUTED_VALUE"""),0)</f>
        <v>0</v>
      </c>
      <c r="O35" s="575">
        <f ca="1">IFERROR(__xludf.DUMMYFUNCTION("""COMPUTED_VALUE"""),0)</f>
        <v>0</v>
      </c>
      <c r="P35" s="544"/>
      <c r="Q35" s="420"/>
      <c r="R35" s="420" t="str">
        <f ca="1">IFERROR(__xludf.DUMMYFUNCTION("""COMPUTED_VALUE"""),"投信")</f>
        <v>投信</v>
      </c>
      <c r="S35" s="419">
        <f ca="1">IFERROR(__xludf.DUMMYFUNCTION("""COMPUTED_VALUE"""),0)</f>
        <v>0</v>
      </c>
      <c r="T35" s="419">
        <f ca="1">IFERROR(__xludf.DUMMYFUNCTION("""COMPUTED_VALUE"""),0)</f>
        <v>0</v>
      </c>
      <c r="U35" s="419">
        <f ca="1">IFERROR(__xludf.DUMMYFUNCTION("""COMPUTED_VALUE"""),0)</f>
        <v>0</v>
      </c>
      <c r="V35" s="419">
        <f ca="1">IFERROR(__xludf.DUMMYFUNCTION("""COMPUTED_VALUE"""),0)</f>
        <v>0</v>
      </c>
      <c r="W35" s="419">
        <f ca="1">IFERROR(__xludf.DUMMYFUNCTION("""COMPUTED_VALUE"""),0)</f>
        <v>0</v>
      </c>
      <c r="X35" s="571">
        <f ca="1">IFERROR(__xludf.DUMMYFUNCTION("""COMPUTED_VALUE"""),0)</f>
        <v>0</v>
      </c>
    </row>
    <row r="36" spans="1:24" ht="15.75" customHeight="1">
      <c r="A36" s="544"/>
      <c r="B36" s="420"/>
      <c r="C36" s="420" t="str">
        <f ca="1">IFERROR(__xludf.DUMMYFUNCTION("""COMPUTED_VALUE"""),"外資")</f>
        <v>外資</v>
      </c>
      <c r="D36" s="419">
        <f ca="1">IFERROR(__xludf.DUMMYFUNCTION("""COMPUTED_VALUE"""),0)</f>
        <v>0</v>
      </c>
      <c r="E36" s="419">
        <f ca="1">IFERROR(__xludf.DUMMYFUNCTION("""COMPUTED_VALUE"""),0)</f>
        <v>0</v>
      </c>
      <c r="F36" s="419">
        <f ca="1">IFERROR(__xludf.DUMMYFUNCTION("""COMPUTED_VALUE"""),0)</f>
        <v>0</v>
      </c>
      <c r="G36" s="419">
        <f ca="1">IFERROR(__xludf.DUMMYFUNCTION("""COMPUTED_VALUE"""),0)</f>
        <v>0</v>
      </c>
      <c r="H36" s="419">
        <f ca="1">IFERROR(__xludf.DUMMYFUNCTION("""COMPUTED_VALUE"""),0)</f>
        <v>0</v>
      </c>
      <c r="I36" s="419">
        <f ca="1">IFERROR(__xludf.DUMMYFUNCTION("""COMPUTED_VALUE"""),0)</f>
        <v>0</v>
      </c>
      <c r="J36" s="419">
        <f ca="1">IFERROR(__xludf.DUMMYFUNCTION("""COMPUTED_VALUE"""),0)</f>
        <v>0</v>
      </c>
      <c r="K36" s="419">
        <f ca="1">IFERROR(__xludf.DUMMYFUNCTION("""COMPUTED_VALUE"""),0)</f>
        <v>0</v>
      </c>
      <c r="L36" s="419">
        <f ca="1">IFERROR(__xludf.DUMMYFUNCTION("""COMPUTED_VALUE"""),0)</f>
        <v>0</v>
      </c>
      <c r="M36" s="419">
        <f ca="1">IFERROR(__xludf.DUMMYFUNCTION("""COMPUTED_VALUE"""),0)</f>
        <v>0</v>
      </c>
      <c r="N36" s="419">
        <f ca="1">IFERROR(__xludf.DUMMYFUNCTION("""COMPUTED_VALUE"""),0)</f>
        <v>0</v>
      </c>
      <c r="O36" s="575">
        <f ca="1">IFERROR(__xludf.DUMMYFUNCTION("""COMPUTED_VALUE"""),0)</f>
        <v>0</v>
      </c>
      <c r="P36" s="544"/>
      <c r="Q36" s="420"/>
      <c r="R36" s="420" t="str">
        <f ca="1">IFERROR(__xludf.DUMMYFUNCTION("""COMPUTED_VALUE"""),"外資")</f>
        <v>外資</v>
      </c>
      <c r="S36" s="419">
        <f ca="1">IFERROR(__xludf.DUMMYFUNCTION("""COMPUTED_VALUE"""),0)</f>
        <v>0</v>
      </c>
      <c r="T36" s="419">
        <f ca="1">IFERROR(__xludf.DUMMYFUNCTION("""COMPUTED_VALUE"""),0)</f>
        <v>0</v>
      </c>
      <c r="U36" s="419">
        <f ca="1">IFERROR(__xludf.DUMMYFUNCTION("""COMPUTED_VALUE"""),5)</f>
        <v>5</v>
      </c>
      <c r="V36" s="419">
        <f ca="1">IFERROR(__xludf.DUMMYFUNCTION("""COMPUTED_VALUE"""),1797)</f>
        <v>1797</v>
      </c>
      <c r="W36" s="419">
        <f ca="1">IFERROR(__xludf.DUMMYFUNCTION("""COMPUTED_VALUE"""),-5)</f>
        <v>-5</v>
      </c>
      <c r="X36" s="571">
        <f ca="1">IFERROR(__xludf.DUMMYFUNCTION("""COMPUTED_VALUE"""),-1797)</f>
        <v>-1797</v>
      </c>
    </row>
    <row r="37" spans="1:24" ht="15.75" customHeight="1">
      <c r="A37" s="544">
        <f ca="1">IFERROR(__xludf.DUMMYFUNCTION("""COMPUTED_VALUE"""),11)</f>
        <v>11</v>
      </c>
      <c r="B37" s="420" t="str">
        <f ca="1">IFERROR(__xludf.DUMMYFUNCTION("""COMPUTED_VALUE"""),"非金電期貨")</f>
        <v>非金電期貨</v>
      </c>
      <c r="C37" s="420" t="str">
        <f ca="1">IFERROR(__xludf.DUMMYFUNCTION("""COMPUTED_VALUE"""),"自營商")</f>
        <v>自營商</v>
      </c>
      <c r="D37" s="419">
        <f ca="1">IFERROR(__xludf.DUMMYFUNCTION("""COMPUTED_VALUE"""),103)</f>
        <v>103</v>
      </c>
      <c r="E37" s="419">
        <f ca="1">IFERROR(__xludf.DUMMYFUNCTION("""COMPUTED_VALUE"""),16658)</f>
        <v>16658</v>
      </c>
      <c r="F37" s="419">
        <f ca="1">IFERROR(__xludf.DUMMYFUNCTION("""COMPUTED_VALUE"""),68)</f>
        <v>68</v>
      </c>
      <c r="G37" s="419">
        <f ca="1">IFERROR(__xludf.DUMMYFUNCTION("""COMPUTED_VALUE"""),10996)</f>
        <v>10996</v>
      </c>
      <c r="H37" s="419">
        <f ca="1">IFERROR(__xludf.DUMMYFUNCTION("""COMPUTED_VALUE"""),35)</f>
        <v>35</v>
      </c>
      <c r="I37" s="419">
        <f ca="1">IFERROR(__xludf.DUMMYFUNCTION("""COMPUTED_VALUE"""),5662)</f>
        <v>5662</v>
      </c>
      <c r="J37" s="419">
        <f ca="1">IFERROR(__xludf.DUMMYFUNCTION("""COMPUTED_VALUE"""),278)</f>
        <v>278</v>
      </c>
      <c r="K37" s="419">
        <f ca="1">IFERROR(__xludf.DUMMYFUNCTION("""COMPUTED_VALUE"""),45003)</f>
        <v>45003</v>
      </c>
      <c r="L37" s="419">
        <f ca="1">IFERROR(__xludf.DUMMYFUNCTION("""COMPUTED_VALUE"""),399)</f>
        <v>399</v>
      </c>
      <c r="M37" s="419">
        <f ca="1">IFERROR(__xludf.DUMMYFUNCTION("""COMPUTED_VALUE"""),64499)</f>
        <v>64499</v>
      </c>
      <c r="N37" s="419">
        <f ca="1">IFERROR(__xludf.DUMMYFUNCTION("""COMPUTED_VALUE"""),-121)</f>
        <v>-121</v>
      </c>
      <c r="O37" s="575">
        <f ca="1">IFERROR(__xludf.DUMMYFUNCTION("""COMPUTED_VALUE"""),-19496)</f>
        <v>-19496</v>
      </c>
      <c r="P37" s="544">
        <f ca="1">IFERROR(__xludf.DUMMYFUNCTION("""COMPUTED_VALUE"""),11)</f>
        <v>11</v>
      </c>
      <c r="Q37" s="420" t="str">
        <f ca="1">IFERROR(__xludf.DUMMYFUNCTION("""COMPUTED_VALUE"""),"半導體30期貨")</f>
        <v>半導體30期貨</v>
      </c>
      <c r="R37" s="420" t="str">
        <f ca="1">IFERROR(__xludf.DUMMYFUNCTION("""COMPUTED_VALUE"""),"自營商")</f>
        <v>自營商</v>
      </c>
      <c r="S37" s="419">
        <f ca="1">IFERROR(__xludf.DUMMYFUNCTION("""COMPUTED_VALUE"""),12)</f>
        <v>12</v>
      </c>
      <c r="T37" s="419">
        <f ca="1">IFERROR(__xludf.DUMMYFUNCTION("""COMPUTED_VALUE"""),9493)</f>
        <v>9493</v>
      </c>
      <c r="U37" s="419">
        <f ca="1">IFERROR(__xludf.DUMMYFUNCTION("""COMPUTED_VALUE"""),14)</f>
        <v>14</v>
      </c>
      <c r="V37" s="419">
        <f ca="1">IFERROR(__xludf.DUMMYFUNCTION("""COMPUTED_VALUE"""),11072)</f>
        <v>11072</v>
      </c>
      <c r="W37" s="419">
        <f ca="1">IFERROR(__xludf.DUMMYFUNCTION("""COMPUTED_VALUE"""),-2)</f>
        <v>-2</v>
      </c>
      <c r="X37" s="571">
        <f ca="1">IFERROR(__xludf.DUMMYFUNCTION("""COMPUTED_VALUE"""),-1579)</f>
        <v>-1579</v>
      </c>
    </row>
    <row r="38" spans="1:24" ht="15.75" customHeight="1">
      <c r="A38" s="544"/>
      <c r="B38" s="420"/>
      <c r="C38" s="420" t="str">
        <f ca="1">IFERROR(__xludf.DUMMYFUNCTION("""COMPUTED_VALUE"""),"投信")</f>
        <v>投信</v>
      </c>
      <c r="D38" s="419">
        <f ca="1">IFERROR(__xludf.DUMMYFUNCTION("""COMPUTED_VALUE"""),0)</f>
        <v>0</v>
      </c>
      <c r="E38" s="419">
        <f ca="1">IFERROR(__xludf.DUMMYFUNCTION("""COMPUTED_VALUE"""),0)</f>
        <v>0</v>
      </c>
      <c r="F38" s="419">
        <f ca="1">IFERROR(__xludf.DUMMYFUNCTION("""COMPUTED_VALUE"""),0)</f>
        <v>0</v>
      </c>
      <c r="G38" s="419">
        <f ca="1">IFERROR(__xludf.DUMMYFUNCTION("""COMPUTED_VALUE"""),0)</f>
        <v>0</v>
      </c>
      <c r="H38" s="419">
        <f ca="1">IFERROR(__xludf.DUMMYFUNCTION("""COMPUTED_VALUE"""),0)</f>
        <v>0</v>
      </c>
      <c r="I38" s="419">
        <f ca="1">IFERROR(__xludf.DUMMYFUNCTION("""COMPUTED_VALUE"""),0)</f>
        <v>0</v>
      </c>
      <c r="J38" s="419">
        <f ca="1">IFERROR(__xludf.DUMMYFUNCTION("""COMPUTED_VALUE"""),0)</f>
        <v>0</v>
      </c>
      <c r="K38" s="419">
        <f ca="1">IFERROR(__xludf.DUMMYFUNCTION("""COMPUTED_VALUE"""),0)</f>
        <v>0</v>
      </c>
      <c r="L38" s="419">
        <f ca="1">IFERROR(__xludf.DUMMYFUNCTION("""COMPUTED_VALUE"""),0)</f>
        <v>0</v>
      </c>
      <c r="M38" s="419">
        <f ca="1">IFERROR(__xludf.DUMMYFUNCTION("""COMPUTED_VALUE"""),0)</f>
        <v>0</v>
      </c>
      <c r="N38" s="419">
        <f ca="1">IFERROR(__xludf.DUMMYFUNCTION("""COMPUTED_VALUE"""),0)</f>
        <v>0</v>
      </c>
      <c r="O38" s="575">
        <f ca="1">IFERROR(__xludf.DUMMYFUNCTION("""COMPUTED_VALUE"""),0)</f>
        <v>0</v>
      </c>
      <c r="P38" s="544"/>
      <c r="Q38" s="420"/>
      <c r="R38" s="420" t="str">
        <f ca="1">IFERROR(__xludf.DUMMYFUNCTION("""COMPUTED_VALUE"""),"投信")</f>
        <v>投信</v>
      </c>
      <c r="S38" s="419">
        <f ca="1">IFERROR(__xludf.DUMMYFUNCTION("""COMPUTED_VALUE"""),0)</f>
        <v>0</v>
      </c>
      <c r="T38" s="419">
        <f ca="1">IFERROR(__xludf.DUMMYFUNCTION("""COMPUTED_VALUE"""),0)</f>
        <v>0</v>
      </c>
      <c r="U38" s="419">
        <f ca="1">IFERROR(__xludf.DUMMYFUNCTION("""COMPUTED_VALUE"""),0)</f>
        <v>0</v>
      </c>
      <c r="V38" s="419">
        <f ca="1">IFERROR(__xludf.DUMMYFUNCTION("""COMPUTED_VALUE"""),0)</f>
        <v>0</v>
      </c>
      <c r="W38" s="419">
        <f ca="1">IFERROR(__xludf.DUMMYFUNCTION("""COMPUTED_VALUE"""),0)</f>
        <v>0</v>
      </c>
      <c r="X38" s="571">
        <f ca="1">IFERROR(__xludf.DUMMYFUNCTION("""COMPUTED_VALUE"""),0)</f>
        <v>0</v>
      </c>
    </row>
    <row r="39" spans="1:24" ht="15.75" customHeight="1">
      <c r="A39" s="544"/>
      <c r="B39" s="420"/>
      <c r="C39" s="420" t="str">
        <f ca="1">IFERROR(__xludf.DUMMYFUNCTION("""COMPUTED_VALUE"""),"外資")</f>
        <v>外資</v>
      </c>
      <c r="D39" s="419">
        <f ca="1">IFERROR(__xludf.DUMMYFUNCTION("""COMPUTED_VALUE"""),10)</f>
        <v>10</v>
      </c>
      <c r="E39" s="419">
        <f ca="1">IFERROR(__xludf.DUMMYFUNCTION("""COMPUTED_VALUE"""),1612)</f>
        <v>1612</v>
      </c>
      <c r="F39" s="419">
        <f ca="1">IFERROR(__xludf.DUMMYFUNCTION("""COMPUTED_VALUE"""),20)</f>
        <v>20</v>
      </c>
      <c r="G39" s="419">
        <f ca="1">IFERROR(__xludf.DUMMYFUNCTION("""COMPUTED_VALUE"""),3220)</f>
        <v>3220</v>
      </c>
      <c r="H39" s="419">
        <f ca="1">IFERROR(__xludf.DUMMYFUNCTION("""COMPUTED_VALUE"""),-10)</f>
        <v>-10</v>
      </c>
      <c r="I39" s="419">
        <f ca="1">IFERROR(__xludf.DUMMYFUNCTION("""COMPUTED_VALUE"""),-1609)</f>
        <v>-1609</v>
      </c>
      <c r="J39" s="419">
        <f ca="1">IFERROR(__xludf.DUMMYFUNCTION("""COMPUTED_VALUE"""),19)</f>
        <v>19</v>
      </c>
      <c r="K39" s="419">
        <f ca="1">IFERROR(__xludf.DUMMYFUNCTION("""COMPUTED_VALUE"""),3071)</f>
        <v>3071</v>
      </c>
      <c r="L39" s="419">
        <f ca="1">IFERROR(__xludf.DUMMYFUNCTION("""COMPUTED_VALUE"""),55)</f>
        <v>55</v>
      </c>
      <c r="M39" s="419">
        <f ca="1">IFERROR(__xludf.DUMMYFUNCTION("""COMPUTED_VALUE"""),8890)</f>
        <v>8890</v>
      </c>
      <c r="N39" s="419">
        <f ca="1">IFERROR(__xludf.DUMMYFUNCTION("""COMPUTED_VALUE"""),-36)</f>
        <v>-36</v>
      </c>
      <c r="O39" s="575">
        <f ca="1">IFERROR(__xludf.DUMMYFUNCTION("""COMPUTED_VALUE"""),-5819)</f>
        <v>-5819</v>
      </c>
      <c r="P39" s="544"/>
      <c r="Q39" s="420"/>
      <c r="R39" s="420" t="str">
        <f ca="1">IFERROR(__xludf.DUMMYFUNCTION("""COMPUTED_VALUE"""),"外資")</f>
        <v>外資</v>
      </c>
      <c r="S39" s="419">
        <f ca="1">IFERROR(__xludf.DUMMYFUNCTION("""COMPUTED_VALUE"""),0)</f>
        <v>0</v>
      </c>
      <c r="T39" s="419">
        <f ca="1">IFERROR(__xludf.DUMMYFUNCTION("""COMPUTED_VALUE"""),0)</f>
        <v>0</v>
      </c>
      <c r="U39" s="419">
        <f ca="1">IFERROR(__xludf.DUMMYFUNCTION("""COMPUTED_VALUE"""),0)</f>
        <v>0</v>
      </c>
      <c r="V39" s="419">
        <f ca="1">IFERROR(__xludf.DUMMYFUNCTION("""COMPUTED_VALUE"""),0)</f>
        <v>0</v>
      </c>
      <c r="W39" s="419">
        <f ca="1">IFERROR(__xludf.DUMMYFUNCTION("""COMPUTED_VALUE"""),0)</f>
        <v>0</v>
      </c>
      <c r="X39" s="571">
        <f ca="1">IFERROR(__xludf.DUMMYFUNCTION("""COMPUTED_VALUE"""),0)</f>
        <v>0</v>
      </c>
    </row>
    <row r="40" spans="1:24" ht="15.75" customHeight="1">
      <c r="A40" s="544">
        <f ca="1">IFERROR(__xludf.DUMMYFUNCTION("""COMPUTED_VALUE"""),12)</f>
        <v>12</v>
      </c>
      <c r="B40" s="420" t="str">
        <f ca="1">IFERROR(__xludf.DUMMYFUNCTION("""COMPUTED_VALUE"""),"富櫃200期貨")</f>
        <v>富櫃200期貨</v>
      </c>
      <c r="C40" s="420" t="str">
        <f ca="1">IFERROR(__xludf.DUMMYFUNCTION("""COMPUTED_VALUE"""),"自營商")</f>
        <v>自營商</v>
      </c>
      <c r="D40" s="419">
        <f ca="1">IFERROR(__xludf.DUMMYFUNCTION("""COMPUTED_VALUE"""),24)</f>
        <v>24</v>
      </c>
      <c r="E40" s="419">
        <f ca="1">IFERROR(__xludf.DUMMYFUNCTION("""COMPUTED_VALUE"""),22650)</f>
        <v>22650</v>
      </c>
      <c r="F40" s="419">
        <f ca="1">IFERROR(__xludf.DUMMYFUNCTION("""COMPUTED_VALUE"""),31)</f>
        <v>31</v>
      </c>
      <c r="G40" s="419">
        <f ca="1">IFERROR(__xludf.DUMMYFUNCTION("""COMPUTED_VALUE"""),29280)</f>
        <v>29280</v>
      </c>
      <c r="H40" s="419">
        <f ca="1">IFERROR(__xludf.DUMMYFUNCTION("""COMPUTED_VALUE"""),-7)</f>
        <v>-7</v>
      </c>
      <c r="I40" s="419">
        <f ca="1">IFERROR(__xludf.DUMMYFUNCTION("""COMPUTED_VALUE"""),-6630)</f>
        <v>-6630</v>
      </c>
      <c r="J40" s="419">
        <f ca="1">IFERROR(__xludf.DUMMYFUNCTION("""COMPUTED_VALUE"""),0)</f>
        <v>0</v>
      </c>
      <c r="K40" s="419">
        <f ca="1">IFERROR(__xludf.DUMMYFUNCTION("""COMPUTED_VALUE"""),0)</f>
        <v>0</v>
      </c>
      <c r="L40" s="419">
        <f ca="1">IFERROR(__xludf.DUMMYFUNCTION("""COMPUTED_VALUE"""),26)</f>
        <v>26</v>
      </c>
      <c r="M40" s="419">
        <f ca="1">IFERROR(__xludf.DUMMYFUNCTION("""COMPUTED_VALUE"""),24172)</f>
        <v>24172</v>
      </c>
      <c r="N40" s="419">
        <f ca="1">IFERROR(__xludf.DUMMYFUNCTION("""COMPUTED_VALUE"""),-26)</f>
        <v>-26</v>
      </c>
      <c r="O40" s="575">
        <f ca="1">IFERROR(__xludf.DUMMYFUNCTION("""COMPUTED_VALUE"""),-24172)</f>
        <v>-24172</v>
      </c>
      <c r="P40" s="544">
        <f ca="1">IFERROR(__xludf.DUMMYFUNCTION("""COMPUTED_VALUE"""),12)</f>
        <v>12</v>
      </c>
      <c r="Q40" s="420" t="str">
        <f ca="1">IFERROR(__xludf.DUMMYFUNCTION("""COMPUTED_VALUE"""),"東證期貨")</f>
        <v>東證期貨</v>
      </c>
      <c r="R40" s="420" t="str">
        <f ca="1">IFERROR(__xludf.DUMMYFUNCTION("""COMPUTED_VALUE"""),"自營商")</f>
        <v>自營商</v>
      </c>
      <c r="S40" s="419">
        <f ca="1">IFERROR(__xludf.DUMMYFUNCTION("""COMPUTED_VALUE"""),211)</f>
        <v>211</v>
      </c>
      <c r="T40" s="419">
        <f ca="1">IFERROR(__xludf.DUMMYFUNCTION("""COMPUTED_VALUE"""),176704)</f>
        <v>176704</v>
      </c>
      <c r="U40" s="419">
        <f ca="1">IFERROR(__xludf.DUMMYFUNCTION("""COMPUTED_VALUE"""),186)</f>
        <v>186</v>
      </c>
      <c r="V40" s="419">
        <f ca="1">IFERROR(__xludf.DUMMYFUNCTION("""COMPUTED_VALUE"""),155982)</f>
        <v>155982</v>
      </c>
      <c r="W40" s="419">
        <f ca="1">IFERROR(__xludf.DUMMYFUNCTION("""COMPUTED_VALUE"""),25)</f>
        <v>25</v>
      </c>
      <c r="X40" s="571">
        <f ca="1">IFERROR(__xludf.DUMMYFUNCTION("""COMPUTED_VALUE"""),20722)</f>
        <v>20722</v>
      </c>
    </row>
    <row r="41" spans="1:24" ht="15.75" customHeight="1">
      <c r="A41" s="544"/>
      <c r="B41" s="420"/>
      <c r="C41" s="420" t="str">
        <f ca="1">IFERROR(__xludf.DUMMYFUNCTION("""COMPUTED_VALUE"""),"投信")</f>
        <v>投信</v>
      </c>
      <c r="D41" s="419">
        <f ca="1">IFERROR(__xludf.DUMMYFUNCTION("""COMPUTED_VALUE"""),29)</f>
        <v>29</v>
      </c>
      <c r="E41" s="419">
        <f ca="1">IFERROR(__xludf.DUMMYFUNCTION("""COMPUTED_VALUE"""),27415)</f>
        <v>27415</v>
      </c>
      <c r="F41" s="419">
        <f ca="1">IFERROR(__xludf.DUMMYFUNCTION("""COMPUTED_VALUE"""),29)</f>
        <v>29</v>
      </c>
      <c r="G41" s="419">
        <f ca="1">IFERROR(__xludf.DUMMYFUNCTION("""COMPUTED_VALUE"""),27356)</f>
        <v>27356</v>
      </c>
      <c r="H41" s="419">
        <f ca="1">IFERROR(__xludf.DUMMYFUNCTION("""COMPUTED_VALUE"""),0)</f>
        <v>0</v>
      </c>
      <c r="I41" s="419">
        <f ca="1">IFERROR(__xludf.DUMMYFUNCTION("""COMPUTED_VALUE"""),59)</f>
        <v>59</v>
      </c>
      <c r="J41" s="419">
        <f ca="1">IFERROR(__xludf.DUMMYFUNCTION("""COMPUTED_VALUE"""),52)</f>
        <v>52</v>
      </c>
      <c r="K41" s="419">
        <f ca="1">IFERROR(__xludf.DUMMYFUNCTION("""COMPUTED_VALUE"""),48351)</f>
        <v>48351</v>
      </c>
      <c r="L41" s="419">
        <f ca="1">IFERROR(__xludf.DUMMYFUNCTION("""COMPUTED_VALUE"""),0)</f>
        <v>0</v>
      </c>
      <c r="M41" s="419">
        <f ca="1">IFERROR(__xludf.DUMMYFUNCTION("""COMPUTED_VALUE"""),0)</f>
        <v>0</v>
      </c>
      <c r="N41" s="419">
        <f ca="1">IFERROR(__xludf.DUMMYFUNCTION("""COMPUTED_VALUE"""),52)</f>
        <v>52</v>
      </c>
      <c r="O41" s="575">
        <f ca="1">IFERROR(__xludf.DUMMYFUNCTION("""COMPUTED_VALUE"""),48351)</f>
        <v>48351</v>
      </c>
      <c r="P41" s="544"/>
      <c r="Q41" s="420"/>
      <c r="R41" s="420" t="str">
        <f ca="1">IFERROR(__xludf.DUMMYFUNCTION("""COMPUTED_VALUE"""),"投信")</f>
        <v>投信</v>
      </c>
      <c r="S41" s="419">
        <f ca="1">IFERROR(__xludf.DUMMYFUNCTION("""COMPUTED_VALUE"""),0)</f>
        <v>0</v>
      </c>
      <c r="T41" s="419">
        <f ca="1">IFERROR(__xludf.DUMMYFUNCTION("""COMPUTED_VALUE"""),0)</f>
        <v>0</v>
      </c>
      <c r="U41" s="419">
        <f ca="1">IFERROR(__xludf.DUMMYFUNCTION("""COMPUTED_VALUE"""),0)</f>
        <v>0</v>
      </c>
      <c r="V41" s="419">
        <f ca="1">IFERROR(__xludf.DUMMYFUNCTION("""COMPUTED_VALUE"""),0)</f>
        <v>0</v>
      </c>
      <c r="W41" s="419">
        <f ca="1">IFERROR(__xludf.DUMMYFUNCTION("""COMPUTED_VALUE"""),0)</f>
        <v>0</v>
      </c>
      <c r="X41" s="571">
        <f ca="1">IFERROR(__xludf.DUMMYFUNCTION("""COMPUTED_VALUE"""),0)</f>
        <v>0</v>
      </c>
    </row>
    <row r="42" spans="1:24" ht="15.75" customHeight="1">
      <c r="A42" s="544"/>
      <c r="B42" s="420"/>
      <c r="C42" s="420" t="str">
        <f ca="1">IFERROR(__xludf.DUMMYFUNCTION("""COMPUTED_VALUE"""),"外資")</f>
        <v>外資</v>
      </c>
      <c r="D42" s="419">
        <f ca="1">IFERROR(__xludf.DUMMYFUNCTION("""COMPUTED_VALUE"""),7)</f>
        <v>7</v>
      </c>
      <c r="E42" s="419">
        <f ca="1">IFERROR(__xludf.DUMMYFUNCTION("""COMPUTED_VALUE"""),6603)</f>
        <v>6603</v>
      </c>
      <c r="F42" s="419">
        <f ca="1">IFERROR(__xludf.DUMMYFUNCTION("""COMPUTED_VALUE"""),0)</f>
        <v>0</v>
      </c>
      <c r="G42" s="419">
        <f ca="1">IFERROR(__xludf.DUMMYFUNCTION("""COMPUTED_VALUE"""),0)</f>
        <v>0</v>
      </c>
      <c r="H42" s="419">
        <f ca="1">IFERROR(__xludf.DUMMYFUNCTION("""COMPUTED_VALUE"""),7)</f>
        <v>7</v>
      </c>
      <c r="I42" s="419">
        <f ca="1">IFERROR(__xludf.DUMMYFUNCTION("""COMPUTED_VALUE"""),6603)</f>
        <v>6603</v>
      </c>
      <c r="J42" s="419">
        <f ca="1">IFERROR(__xludf.DUMMYFUNCTION("""COMPUTED_VALUE"""),0)</f>
        <v>0</v>
      </c>
      <c r="K42" s="419">
        <f ca="1">IFERROR(__xludf.DUMMYFUNCTION("""COMPUTED_VALUE"""),0)</f>
        <v>0</v>
      </c>
      <c r="L42" s="419">
        <f ca="1">IFERROR(__xludf.DUMMYFUNCTION("""COMPUTED_VALUE"""),0)</f>
        <v>0</v>
      </c>
      <c r="M42" s="419">
        <f ca="1">IFERROR(__xludf.DUMMYFUNCTION("""COMPUTED_VALUE"""),0)</f>
        <v>0</v>
      </c>
      <c r="N42" s="419">
        <f ca="1">IFERROR(__xludf.DUMMYFUNCTION("""COMPUTED_VALUE"""),0)</f>
        <v>0</v>
      </c>
      <c r="O42" s="575">
        <f ca="1">IFERROR(__xludf.DUMMYFUNCTION("""COMPUTED_VALUE"""),0)</f>
        <v>0</v>
      </c>
      <c r="P42" s="544"/>
      <c r="Q42" s="420"/>
      <c r="R42" s="420" t="str">
        <f ca="1">IFERROR(__xludf.DUMMYFUNCTION("""COMPUTED_VALUE"""),"外資")</f>
        <v>外資</v>
      </c>
      <c r="S42" s="419">
        <f ca="1">IFERROR(__xludf.DUMMYFUNCTION("""COMPUTED_VALUE"""),183)</f>
        <v>183</v>
      </c>
      <c r="T42" s="419">
        <f ca="1">IFERROR(__xludf.DUMMYFUNCTION("""COMPUTED_VALUE"""),153480)</f>
        <v>153480</v>
      </c>
      <c r="U42" s="419">
        <f ca="1">IFERROR(__xludf.DUMMYFUNCTION("""COMPUTED_VALUE"""),208)</f>
        <v>208</v>
      </c>
      <c r="V42" s="419">
        <f ca="1">IFERROR(__xludf.DUMMYFUNCTION("""COMPUTED_VALUE"""),174194)</f>
        <v>174194</v>
      </c>
      <c r="W42" s="419">
        <f ca="1">IFERROR(__xludf.DUMMYFUNCTION("""COMPUTED_VALUE"""),-25)</f>
        <v>-25</v>
      </c>
      <c r="X42" s="571">
        <f ca="1">IFERROR(__xludf.DUMMYFUNCTION("""COMPUTED_VALUE"""),-20714)</f>
        <v>-20714</v>
      </c>
    </row>
    <row r="43" spans="1:24" ht="15.75" customHeight="1">
      <c r="A43" s="544">
        <f ca="1">IFERROR(__xludf.DUMMYFUNCTION("""COMPUTED_VALUE"""),13)</f>
        <v>13</v>
      </c>
      <c r="B43" s="420" t="str">
        <f ca="1">IFERROR(__xludf.DUMMYFUNCTION("""COMPUTED_VALUE"""),"臺灣中型100期貨")</f>
        <v>臺灣中型100期貨</v>
      </c>
      <c r="C43" s="420" t="str">
        <f ca="1">IFERROR(__xludf.DUMMYFUNCTION("""COMPUTED_VALUE"""),"自營商")</f>
        <v>自營商</v>
      </c>
      <c r="D43" s="419">
        <f ca="1">IFERROR(__xludf.DUMMYFUNCTION("""COMPUTED_VALUE"""),265)</f>
        <v>265</v>
      </c>
      <c r="E43" s="419">
        <f ca="1">IFERROR(__xludf.DUMMYFUNCTION("""COMPUTED_VALUE"""),95733)</f>
        <v>95733</v>
      </c>
      <c r="F43" s="419">
        <f ca="1">IFERROR(__xludf.DUMMYFUNCTION("""COMPUTED_VALUE"""),233)</f>
        <v>233</v>
      </c>
      <c r="G43" s="419">
        <f ca="1">IFERROR(__xludf.DUMMYFUNCTION("""COMPUTED_VALUE"""),84152)</f>
        <v>84152</v>
      </c>
      <c r="H43" s="419">
        <f ca="1">IFERROR(__xludf.DUMMYFUNCTION("""COMPUTED_VALUE"""),32)</f>
        <v>32</v>
      </c>
      <c r="I43" s="419">
        <f ca="1">IFERROR(__xludf.DUMMYFUNCTION("""COMPUTED_VALUE"""),11582)</f>
        <v>11582</v>
      </c>
      <c r="J43" s="419">
        <f ca="1">IFERROR(__xludf.DUMMYFUNCTION("""COMPUTED_VALUE"""),794)</f>
        <v>794</v>
      </c>
      <c r="K43" s="419">
        <f ca="1">IFERROR(__xludf.DUMMYFUNCTION("""COMPUTED_VALUE"""),284907)</f>
        <v>284907</v>
      </c>
      <c r="L43" s="419">
        <f ca="1">IFERROR(__xludf.DUMMYFUNCTION("""COMPUTED_VALUE"""),575)</f>
        <v>575</v>
      </c>
      <c r="M43" s="419">
        <f ca="1">IFERROR(__xludf.DUMMYFUNCTION("""COMPUTED_VALUE"""),206290)</f>
        <v>206290</v>
      </c>
      <c r="N43" s="419">
        <f ca="1">IFERROR(__xludf.DUMMYFUNCTION("""COMPUTED_VALUE"""),219)</f>
        <v>219</v>
      </c>
      <c r="O43" s="575">
        <f ca="1">IFERROR(__xludf.DUMMYFUNCTION("""COMPUTED_VALUE"""),78617)</f>
        <v>78617</v>
      </c>
      <c r="P43" s="544">
        <f ca="1">IFERROR(__xludf.DUMMYFUNCTION("""COMPUTED_VALUE"""),13)</f>
        <v>13</v>
      </c>
      <c r="Q43" s="420" t="str">
        <f ca="1">IFERROR(__xludf.DUMMYFUNCTION("""COMPUTED_VALUE"""),"美國標普500期貨")</f>
        <v>美國標普500期貨</v>
      </c>
      <c r="R43" s="420" t="str">
        <f ca="1">IFERROR(__xludf.DUMMYFUNCTION("""COMPUTED_VALUE"""),"自營商")</f>
        <v>自營商</v>
      </c>
      <c r="S43" s="419">
        <f ca="1">IFERROR(__xludf.DUMMYFUNCTION("""COMPUTED_VALUE"""),0)</f>
        <v>0</v>
      </c>
      <c r="T43" s="419">
        <f ca="1">IFERROR(__xludf.DUMMYFUNCTION("""COMPUTED_VALUE"""),0)</f>
        <v>0</v>
      </c>
      <c r="U43" s="419">
        <f ca="1">IFERROR(__xludf.DUMMYFUNCTION("""COMPUTED_VALUE"""),10)</f>
        <v>10</v>
      </c>
      <c r="V43" s="419">
        <f ca="1">IFERROR(__xludf.DUMMYFUNCTION("""COMPUTED_VALUE"""),15665)</f>
        <v>15665</v>
      </c>
      <c r="W43" s="419">
        <f ca="1">IFERROR(__xludf.DUMMYFUNCTION("""COMPUTED_VALUE"""),-10)</f>
        <v>-10</v>
      </c>
      <c r="X43" s="571">
        <f ca="1">IFERROR(__xludf.DUMMYFUNCTION("""COMPUTED_VALUE"""),-15665)</f>
        <v>-15665</v>
      </c>
    </row>
    <row r="44" spans="1:24" ht="15.75" customHeight="1">
      <c r="A44" s="544"/>
      <c r="B44" s="420"/>
      <c r="C44" s="420" t="str">
        <f ca="1">IFERROR(__xludf.DUMMYFUNCTION("""COMPUTED_VALUE"""),"投信")</f>
        <v>投信</v>
      </c>
      <c r="D44" s="419">
        <f ca="1">IFERROR(__xludf.DUMMYFUNCTION("""COMPUTED_VALUE"""),0)</f>
        <v>0</v>
      </c>
      <c r="E44" s="419">
        <f ca="1">IFERROR(__xludf.DUMMYFUNCTION("""COMPUTED_VALUE"""),0)</f>
        <v>0</v>
      </c>
      <c r="F44" s="419">
        <f ca="1">IFERROR(__xludf.DUMMYFUNCTION("""COMPUTED_VALUE"""),0)</f>
        <v>0</v>
      </c>
      <c r="G44" s="419">
        <f ca="1">IFERROR(__xludf.DUMMYFUNCTION("""COMPUTED_VALUE"""),0)</f>
        <v>0</v>
      </c>
      <c r="H44" s="419">
        <f ca="1">IFERROR(__xludf.DUMMYFUNCTION("""COMPUTED_VALUE"""),0)</f>
        <v>0</v>
      </c>
      <c r="I44" s="419">
        <f ca="1">IFERROR(__xludf.DUMMYFUNCTION("""COMPUTED_VALUE"""),0)</f>
        <v>0</v>
      </c>
      <c r="J44" s="419">
        <f ca="1">IFERROR(__xludf.DUMMYFUNCTION("""COMPUTED_VALUE"""),0)</f>
        <v>0</v>
      </c>
      <c r="K44" s="419">
        <f ca="1">IFERROR(__xludf.DUMMYFUNCTION("""COMPUTED_VALUE"""),0)</f>
        <v>0</v>
      </c>
      <c r="L44" s="419">
        <f ca="1">IFERROR(__xludf.DUMMYFUNCTION("""COMPUTED_VALUE"""),0)</f>
        <v>0</v>
      </c>
      <c r="M44" s="419">
        <f ca="1">IFERROR(__xludf.DUMMYFUNCTION("""COMPUTED_VALUE"""),0)</f>
        <v>0</v>
      </c>
      <c r="N44" s="419">
        <f ca="1">IFERROR(__xludf.DUMMYFUNCTION("""COMPUTED_VALUE"""),0)</f>
        <v>0</v>
      </c>
      <c r="O44" s="575">
        <f ca="1">IFERROR(__xludf.DUMMYFUNCTION("""COMPUTED_VALUE"""),0)</f>
        <v>0</v>
      </c>
      <c r="P44" s="544"/>
      <c r="Q44" s="420"/>
      <c r="R44" s="420" t="str">
        <f ca="1">IFERROR(__xludf.DUMMYFUNCTION("""COMPUTED_VALUE"""),"投信")</f>
        <v>投信</v>
      </c>
      <c r="S44" s="419">
        <f ca="1">IFERROR(__xludf.DUMMYFUNCTION("""COMPUTED_VALUE"""),0)</f>
        <v>0</v>
      </c>
      <c r="T44" s="419">
        <f ca="1">IFERROR(__xludf.DUMMYFUNCTION("""COMPUTED_VALUE"""),0)</f>
        <v>0</v>
      </c>
      <c r="U44" s="419">
        <f ca="1">IFERROR(__xludf.DUMMYFUNCTION("""COMPUTED_VALUE"""),0)</f>
        <v>0</v>
      </c>
      <c r="V44" s="419">
        <f ca="1">IFERROR(__xludf.DUMMYFUNCTION("""COMPUTED_VALUE"""),0)</f>
        <v>0</v>
      </c>
      <c r="W44" s="419">
        <f ca="1">IFERROR(__xludf.DUMMYFUNCTION("""COMPUTED_VALUE"""),0)</f>
        <v>0</v>
      </c>
      <c r="X44" s="571">
        <f ca="1">IFERROR(__xludf.DUMMYFUNCTION("""COMPUTED_VALUE"""),0)</f>
        <v>0</v>
      </c>
    </row>
    <row r="45" spans="1:24" ht="15.75" customHeight="1">
      <c r="A45" s="544"/>
      <c r="B45" s="420"/>
      <c r="C45" s="420" t="str">
        <f ca="1">IFERROR(__xludf.DUMMYFUNCTION("""COMPUTED_VALUE"""),"外資")</f>
        <v>外資</v>
      </c>
      <c r="D45" s="419">
        <f ca="1">IFERROR(__xludf.DUMMYFUNCTION("""COMPUTED_VALUE"""),5)</f>
        <v>5</v>
      </c>
      <c r="E45" s="419">
        <f ca="1">IFERROR(__xludf.DUMMYFUNCTION("""COMPUTED_VALUE"""),1808)</f>
        <v>1808</v>
      </c>
      <c r="F45" s="419">
        <f ca="1">IFERROR(__xludf.DUMMYFUNCTION("""COMPUTED_VALUE"""),26)</f>
        <v>26</v>
      </c>
      <c r="G45" s="419">
        <f ca="1">IFERROR(__xludf.DUMMYFUNCTION("""COMPUTED_VALUE"""),9399)</f>
        <v>9399</v>
      </c>
      <c r="H45" s="419">
        <f ca="1">IFERROR(__xludf.DUMMYFUNCTION("""COMPUTED_VALUE"""),-21)</f>
        <v>-21</v>
      </c>
      <c r="I45" s="419">
        <f ca="1">IFERROR(__xludf.DUMMYFUNCTION("""COMPUTED_VALUE"""),-7591)</f>
        <v>-7591</v>
      </c>
      <c r="J45" s="419">
        <f ca="1">IFERROR(__xludf.DUMMYFUNCTION("""COMPUTED_VALUE"""),0)</f>
        <v>0</v>
      </c>
      <c r="K45" s="419">
        <f ca="1">IFERROR(__xludf.DUMMYFUNCTION("""COMPUTED_VALUE"""),0)</f>
        <v>0</v>
      </c>
      <c r="L45" s="419">
        <f ca="1">IFERROR(__xludf.DUMMYFUNCTION("""COMPUTED_VALUE"""),0)</f>
        <v>0</v>
      </c>
      <c r="M45" s="419">
        <f ca="1">IFERROR(__xludf.DUMMYFUNCTION("""COMPUTED_VALUE"""),0)</f>
        <v>0</v>
      </c>
      <c r="N45" s="419">
        <f ca="1">IFERROR(__xludf.DUMMYFUNCTION("""COMPUTED_VALUE"""),0)</f>
        <v>0</v>
      </c>
      <c r="O45" s="575">
        <f ca="1">IFERROR(__xludf.DUMMYFUNCTION("""COMPUTED_VALUE"""),0)</f>
        <v>0</v>
      </c>
      <c r="P45" s="544"/>
      <c r="Q45" s="420"/>
      <c r="R45" s="420" t="str">
        <f ca="1">IFERROR(__xludf.DUMMYFUNCTION("""COMPUTED_VALUE"""),"外資")</f>
        <v>外資</v>
      </c>
      <c r="S45" s="419">
        <f ca="1">IFERROR(__xludf.DUMMYFUNCTION("""COMPUTED_VALUE"""),12)</f>
        <v>12</v>
      </c>
      <c r="T45" s="419">
        <f ca="1">IFERROR(__xludf.DUMMYFUNCTION("""COMPUTED_VALUE"""),18761)</f>
        <v>18761</v>
      </c>
      <c r="U45" s="419">
        <f ca="1">IFERROR(__xludf.DUMMYFUNCTION("""COMPUTED_VALUE"""),0)</f>
        <v>0</v>
      </c>
      <c r="V45" s="419">
        <f ca="1">IFERROR(__xludf.DUMMYFUNCTION("""COMPUTED_VALUE"""),0)</f>
        <v>0</v>
      </c>
      <c r="W45" s="419">
        <f ca="1">IFERROR(__xludf.DUMMYFUNCTION("""COMPUTED_VALUE"""),12)</f>
        <v>12</v>
      </c>
      <c r="X45" s="571">
        <f ca="1">IFERROR(__xludf.DUMMYFUNCTION("""COMPUTED_VALUE"""),18761)</f>
        <v>18761</v>
      </c>
    </row>
    <row r="46" spans="1:24" ht="15.75" customHeight="1">
      <c r="A46" s="544">
        <f ca="1">IFERROR(__xludf.DUMMYFUNCTION("""COMPUTED_VALUE"""),14)</f>
        <v>14</v>
      </c>
      <c r="B46" s="420" t="str">
        <f ca="1">IFERROR(__xludf.DUMMYFUNCTION("""COMPUTED_VALUE"""),"臺灣永續期貨")</f>
        <v>臺灣永續期貨</v>
      </c>
      <c r="C46" s="420" t="str">
        <f ca="1">IFERROR(__xludf.DUMMYFUNCTION("""COMPUTED_VALUE"""),"自營商")</f>
        <v>自營商</v>
      </c>
      <c r="D46" s="419">
        <f ca="1">IFERROR(__xludf.DUMMYFUNCTION("""COMPUTED_VALUE"""),145)</f>
        <v>145</v>
      </c>
      <c r="E46" s="419">
        <f ca="1">IFERROR(__xludf.DUMMYFUNCTION("""COMPUTED_VALUE"""),373116)</f>
        <v>373116</v>
      </c>
      <c r="F46" s="419">
        <f ca="1">IFERROR(__xludf.DUMMYFUNCTION("""COMPUTED_VALUE"""),145)</f>
        <v>145</v>
      </c>
      <c r="G46" s="419">
        <f ca="1">IFERROR(__xludf.DUMMYFUNCTION("""COMPUTED_VALUE"""),373116)</f>
        <v>373116</v>
      </c>
      <c r="H46" s="419">
        <f ca="1">IFERROR(__xludf.DUMMYFUNCTION("""COMPUTED_VALUE"""),0)</f>
        <v>0</v>
      </c>
      <c r="I46" s="419">
        <f ca="1">IFERROR(__xludf.DUMMYFUNCTION("""COMPUTED_VALUE"""),0)</f>
        <v>0</v>
      </c>
      <c r="J46" s="419">
        <f ca="1">IFERROR(__xludf.DUMMYFUNCTION("""COMPUTED_VALUE"""),58)</f>
        <v>58</v>
      </c>
      <c r="K46" s="419">
        <f ca="1">IFERROR(__xludf.DUMMYFUNCTION("""COMPUTED_VALUE"""),148556)</f>
        <v>148556</v>
      </c>
      <c r="L46" s="419">
        <f ca="1">IFERROR(__xludf.DUMMYFUNCTION("""COMPUTED_VALUE"""),58)</f>
        <v>58</v>
      </c>
      <c r="M46" s="419">
        <f ca="1">IFERROR(__xludf.DUMMYFUNCTION("""COMPUTED_VALUE"""),148556)</f>
        <v>148556</v>
      </c>
      <c r="N46" s="419">
        <f ca="1">IFERROR(__xludf.DUMMYFUNCTION("""COMPUTED_VALUE"""),0)</f>
        <v>0</v>
      </c>
      <c r="O46" s="575">
        <f ca="1">IFERROR(__xludf.DUMMYFUNCTION("""COMPUTED_VALUE"""),0)</f>
        <v>0</v>
      </c>
      <c r="P46" s="544">
        <f ca="1">IFERROR(__xludf.DUMMYFUNCTION("""COMPUTED_VALUE"""),14)</f>
        <v>14</v>
      </c>
      <c r="Q46" s="420" t="str">
        <f ca="1">IFERROR(__xludf.DUMMYFUNCTION("""COMPUTED_VALUE"""),"美國那斯達克100期貨")</f>
        <v>美國那斯達克100期貨</v>
      </c>
      <c r="R46" s="420" t="str">
        <f ca="1">IFERROR(__xludf.DUMMYFUNCTION("""COMPUTED_VALUE"""),"自營商")</f>
        <v>自營商</v>
      </c>
      <c r="S46" s="419">
        <f ca="1">IFERROR(__xludf.DUMMYFUNCTION("""COMPUTED_VALUE"""),0)</f>
        <v>0</v>
      </c>
      <c r="T46" s="419">
        <f ca="1">IFERROR(__xludf.DUMMYFUNCTION("""COMPUTED_VALUE"""),0)</f>
        <v>0</v>
      </c>
      <c r="U46" s="419">
        <f ca="1">IFERROR(__xludf.DUMMYFUNCTION("""COMPUTED_VALUE"""),0)</f>
        <v>0</v>
      </c>
      <c r="V46" s="419">
        <f ca="1">IFERROR(__xludf.DUMMYFUNCTION("""COMPUTED_VALUE"""),0)</f>
        <v>0</v>
      </c>
      <c r="W46" s="419">
        <f ca="1">IFERROR(__xludf.DUMMYFUNCTION("""COMPUTED_VALUE"""),0)</f>
        <v>0</v>
      </c>
      <c r="X46" s="571">
        <f ca="1">IFERROR(__xludf.DUMMYFUNCTION("""COMPUTED_VALUE"""),0)</f>
        <v>0</v>
      </c>
    </row>
    <row r="47" spans="1:24" ht="15.75" customHeight="1">
      <c r="A47" s="544"/>
      <c r="B47" s="420"/>
      <c r="C47" s="420" t="str">
        <f ca="1">IFERROR(__xludf.DUMMYFUNCTION("""COMPUTED_VALUE"""),"投信")</f>
        <v>投信</v>
      </c>
      <c r="D47" s="419">
        <f ca="1">IFERROR(__xludf.DUMMYFUNCTION("""COMPUTED_VALUE"""),0)</f>
        <v>0</v>
      </c>
      <c r="E47" s="419">
        <f ca="1">IFERROR(__xludf.DUMMYFUNCTION("""COMPUTED_VALUE"""),0)</f>
        <v>0</v>
      </c>
      <c r="F47" s="419">
        <f ca="1">IFERROR(__xludf.DUMMYFUNCTION("""COMPUTED_VALUE"""),0)</f>
        <v>0</v>
      </c>
      <c r="G47" s="419">
        <f ca="1">IFERROR(__xludf.DUMMYFUNCTION("""COMPUTED_VALUE"""),0)</f>
        <v>0</v>
      </c>
      <c r="H47" s="419">
        <f ca="1">IFERROR(__xludf.DUMMYFUNCTION("""COMPUTED_VALUE"""),0)</f>
        <v>0</v>
      </c>
      <c r="I47" s="419">
        <f ca="1">IFERROR(__xludf.DUMMYFUNCTION("""COMPUTED_VALUE"""),0)</f>
        <v>0</v>
      </c>
      <c r="J47" s="419">
        <f ca="1">IFERROR(__xludf.DUMMYFUNCTION("""COMPUTED_VALUE"""),0)</f>
        <v>0</v>
      </c>
      <c r="K47" s="419">
        <f ca="1">IFERROR(__xludf.DUMMYFUNCTION("""COMPUTED_VALUE"""),0)</f>
        <v>0</v>
      </c>
      <c r="L47" s="419">
        <f ca="1">IFERROR(__xludf.DUMMYFUNCTION("""COMPUTED_VALUE"""),0)</f>
        <v>0</v>
      </c>
      <c r="M47" s="419">
        <f ca="1">IFERROR(__xludf.DUMMYFUNCTION("""COMPUTED_VALUE"""),0)</f>
        <v>0</v>
      </c>
      <c r="N47" s="419">
        <f ca="1">IFERROR(__xludf.DUMMYFUNCTION("""COMPUTED_VALUE"""),0)</f>
        <v>0</v>
      </c>
      <c r="O47" s="575">
        <f ca="1">IFERROR(__xludf.DUMMYFUNCTION("""COMPUTED_VALUE"""),0)</f>
        <v>0</v>
      </c>
      <c r="P47" s="544"/>
      <c r="Q47" s="420"/>
      <c r="R47" s="420" t="str">
        <f ca="1">IFERROR(__xludf.DUMMYFUNCTION("""COMPUTED_VALUE"""),"投信")</f>
        <v>投信</v>
      </c>
      <c r="S47" s="419">
        <f ca="1">IFERROR(__xludf.DUMMYFUNCTION("""COMPUTED_VALUE"""),0)</f>
        <v>0</v>
      </c>
      <c r="T47" s="419">
        <f ca="1">IFERROR(__xludf.DUMMYFUNCTION("""COMPUTED_VALUE"""),0)</f>
        <v>0</v>
      </c>
      <c r="U47" s="419">
        <f ca="1">IFERROR(__xludf.DUMMYFUNCTION("""COMPUTED_VALUE"""),0)</f>
        <v>0</v>
      </c>
      <c r="V47" s="419">
        <f ca="1">IFERROR(__xludf.DUMMYFUNCTION("""COMPUTED_VALUE"""),0)</f>
        <v>0</v>
      </c>
      <c r="W47" s="419">
        <f ca="1">IFERROR(__xludf.DUMMYFUNCTION("""COMPUTED_VALUE"""),0)</f>
        <v>0</v>
      </c>
      <c r="X47" s="571">
        <f ca="1">IFERROR(__xludf.DUMMYFUNCTION("""COMPUTED_VALUE"""),0)</f>
        <v>0</v>
      </c>
    </row>
    <row r="48" spans="1:24" ht="15.75" customHeight="1">
      <c r="A48" s="544"/>
      <c r="B48" s="420"/>
      <c r="C48" s="420" t="str">
        <f ca="1">IFERROR(__xludf.DUMMYFUNCTION("""COMPUTED_VALUE"""),"外資")</f>
        <v>外資</v>
      </c>
      <c r="D48" s="419">
        <f ca="1">IFERROR(__xludf.DUMMYFUNCTION("""COMPUTED_VALUE"""),0)</f>
        <v>0</v>
      </c>
      <c r="E48" s="419">
        <f ca="1">IFERROR(__xludf.DUMMYFUNCTION("""COMPUTED_VALUE"""),0)</f>
        <v>0</v>
      </c>
      <c r="F48" s="419">
        <f ca="1">IFERROR(__xludf.DUMMYFUNCTION("""COMPUTED_VALUE"""),0)</f>
        <v>0</v>
      </c>
      <c r="G48" s="419">
        <f ca="1">IFERROR(__xludf.DUMMYFUNCTION("""COMPUTED_VALUE"""),0)</f>
        <v>0</v>
      </c>
      <c r="H48" s="419">
        <f ca="1">IFERROR(__xludf.DUMMYFUNCTION("""COMPUTED_VALUE"""),0)</f>
        <v>0</v>
      </c>
      <c r="I48" s="419">
        <f ca="1">IFERROR(__xludf.DUMMYFUNCTION("""COMPUTED_VALUE"""),0)</f>
        <v>0</v>
      </c>
      <c r="J48" s="419">
        <f ca="1">IFERROR(__xludf.DUMMYFUNCTION("""COMPUTED_VALUE"""),0)</f>
        <v>0</v>
      </c>
      <c r="K48" s="419">
        <f ca="1">IFERROR(__xludf.DUMMYFUNCTION("""COMPUTED_VALUE"""),0)</f>
        <v>0</v>
      </c>
      <c r="L48" s="419">
        <f ca="1">IFERROR(__xludf.DUMMYFUNCTION("""COMPUTED_VALUE"""),0)</f>
        <v>0</v>
      </c>
      <c r="M48" s="419">
        <f ca="1">IFERROR(__xludf.DUMMYFUNCTION("""COMPUTED_VALUE"""),0)</f>
        <v>0</v>
      </c>
      <c r="N48" s="419">
        <f ca="1">IFERROR(__xludf.DUMMYFUNCTION("""COMPUTED_VALUE"""),0)</f>
        <v>0</v>
      </c>
      <c r="O48" s="575">
        <f ca="1">IFERROR(__xludf.DUMMYFUNCTION("""COMPUTED_VALUE"""),0)</f>
        <v>0</v>
      </c>
      <c r="P48" s="544"/>
      <c r="Q48" s="420"/>
      <c r="R48" s="420" t="str">
        <f ca="1">IFERROR(__xludf.DUMMYFUNCTION("""COMPUTED_VALUE"""),"外資")</f>
        <v>外資</v>
      </c>
      <c r="S48" s="419">
        <f ca="1">IFERROR(__xludf.DUMMYFUNCTION("""COMPUTED_VALUE"""),119)</f>
        <v>119</v>
      </c>
      <c r="T48" s="419">
        <f ca="1">IFERROR(__xludf.DUMMYFUNCTION("""COMPUTED_VALUE"""),179676)</f>
        <v>179676</v>
      </c>
      <c r="U48" s="419">
        <f ca="1">IFERROR(__xludf.DUMMYFUNCTION("""COMPUTED_VALUE"""),128)</f>
        <v>128</v>
      </c>
      <c r="V48" s="419">
        <f ca="1">IFERROR(__xludf.DUMMYFUNCTION("""COMPUTED_VALUE"""),193121)</f>
        <v>193121</v>
      </c>
      <c r="W48" s="419">
        <f ca="1">IFERROR(__xludf.DUMMYFUNCTION("""COMPUTED_VALUE"""),-9)</f>
        <v>-9</v>
      </c>
      <c r="X48" s="571">
        <f ca="1">IFERROR(__xludf.DUMMYFUNCTION("""COMPUTED_VALUE"""),-13445)</f>
        <v>-13445</v>
      </c>
    </row>
    <row r="49" spans="1:24" ht="15.75" customHeight="1">
      <c r="A49" s="544">
        <f ca="1">IFERROR(__xludf.DUMMYFUNCTION("""COMPUTED_VALUE"""),15)</f>
        <v>15</v>
      </c>
      <c r="B49" s="420" t="str">
        <f ca="1">IFERROR(__xludf.DUMMYFUNCTION("""COMPUTED_VALUE"""),"臺灣生技期貨")</f>
        <v>臺灣生技期貨</v>
      </c>
      <c r="C49" s="420" t="str">
        <f ca="1">IFERROR(__xludf.DUMMYFUNCTION("""COMPUTED_VALUE"""),"自營商")</f>
        <v>自營商</v>
      </c>
      <c r="D49" s="419">
        <f ca="1">IFERROR(__xludf.DUMMYFUNCTION("""COMPUTED_VALUE"""),0)</f>
        <v>0</v>
      </c>
      <c r="E49" s="419">
        <f ca="1">IFERROR(__xludf.DUMMYFUNCTION("""COMPUTED_VALUE"""),0)</f>
        <v>0</v>
      </c>
      <c r="F49" s="419">
        <f ca="1">IFERROR(__xludf.DUMMYFUNCTION("""COMPUTED_VALUE"""),0)</f>
        <v>0</v>
      </c>
      <c r="G49" s="419">
        <f ca="1">IFERROR(__xludf.DUMMYFUNCTION("""COMPUTED_VALUE"""),0)</f>
        <v>0</v>
      </c>
      <c r="H49" s="419">
        <f ca="1">IFERROR(__xludf.DUMMYFUNCTION("""COMPUTED_VALUE"""),0)</f>
        <v>0</v>
      </c>
      <c r="I49" s="419">
        <f ca="1">IFERROR(__xludf.DUMMYFUNCTION("""COMPUTED_VALUE"""),0)</f>
        <v>0</v>
      </c>
      <c r="J49" s="419">
        <f ca="1">IFERROR(__xludf.DUMMYFUNCTION("""COMPUTED_VALUE"""),0)</f>
        <v>0</v>
      </c>
      <c r="K49" s="419">
        <f ca="1">IFERROR(__xludf.DUMMYFUNCTION("""COMPUTED_VALUE"""),0)</f>
        <v>0</v>
      </c>
      <c r="L49" s="419">
        <f ca="1">IFERROR(__xludf.DUMMYFUNCTION("""COMPUTED_VALUE"""),7)</f>
        <v>7</v>
      </c>
      <c r="M49" s="419">
        <f ca="1">IFERROR(__xludf.DUMMYFUNCTION("""COMPUTED_VALUE"""),1562)</f>
        <v>1562</v>
      </c>
      <c r="N49" s="419">
        <f ca="1">IFERROR(__xludf.DUMMYFUNCTION("""COMPUTED_VALUE"""),-7)</f>
        <v>-7</v>
      </c>
      <c r="O49" s="575">
        <f ca="1">IFERROR(__xludf.DUMMYFUNCTION("""COMPUTED_VALUE"""),-1562)</f>
        <v>-1562</v>
      </c>
      <c r="P49" s="544">
        <f ca="1">IFERROR(__xludf.DUMMYFUNCTION("""COMPUTED_VALUE"""),15)</f>
        <v>15</v>
      </c>
      <c r="Q49" s="420" t="str">
        <f ca="1">IFERROR(__xludf.DUMMYFUNCTION("""COMPUTED_VALUE"""),"美國道瓊期貨")</f>
        <v>美國道瓊期貨</v>
      </c>
      <c r="R49" s="420" t="str">
        <f ca="1">IFERROR(__xludf.DUMMYFUNCTION("""COMPUTED_VALUE"""),"自營商")</f>
        <v>自營商</v>
      </c>
      <c r="S49" s="419">
        <f ca="1">IFERROR(__xludf.DUMMYFUNCTION("""COMPUTED_VALUE"""),0)</f>
        <v>0</v>
      </c>
      <c r="T49" s="419">
        <f ca="1">IFERROR(__xludf.DUMMYFUNCTION("""COMPUTED_VALUE"""),0)</f>
        <v>0</v>
      </c>
      <c r="U49" s="419">
        <f ca="1">IFERROR(__xludf.DUMMYFUNCTION("""COMPUTED_VALUE"""),0)</f>
        <v>0</v>
      </c>
      <c r="V49" s="419">
        <f ca="1">IFERROR(__xludf.DUMMYFUNCTION("""COMPUTED_VALUE"""),0)</f>
        <v>0</v>
      </c>
      <c r="W49" s="419">
        <f ca="1">IFERROR(__xludf.DUMMYFUNCTION("""COMPUTED_VALUE"""),0)</f>
        <v>0</v>
      </c>
      <c r="X49" s="571">
        <f ca="1">IFERROR(__xludf.DUMMYFUNCTION("""COMPUTED_VALUE"""),0)</f>
        <v>0</v>
      </c>
    </row>
    <row r="50" spans="1:24" ht="15.75" customHeight="1">
      <c r="A50" s="544"/>
      <c r="B50" s="420"/>
      <c r="C50" s="420" t="str">
        <f ca="1">IFERROR(__xludf.DUMMYFUNCTION("""COMPUTED_VALUE"""),"投信")</f>
        <v>投信</v>
      </c>
      <c r="D50" s="419">
        <f ca="1">IFERROR(__xludf.DUMMYFUNCTION("""COMPUTED_VALUE"""),0)</f>
        <v>0</v>
      </c>
      <c r="E50" s="419">
        <f ca="1">IFERROR(__xludf.DUMMYFUNCTION("""COMPUTED_VALUE"""),0)</f>
        <v>0</v>
      </c>
      <c r="F50" s="419">
        <f ca="1">IFERROR(__xludf.DUMMYFUNCTION("""COMPUTED_VALUE"""),0)</f>
        <v>0</v>
      </c>
      <c r="G50" s="419">
        <f ca="1">IFERROR(__xludf.DUMMYFUNCTION("""COMPUTED_VALUE"""),0)</f>
        <v>0</v>
      </c>
      <c r="H50" s="419">
        <f ca="1">IFERROR(__xludf.DUMMYFUNCTION("""COMPUTED_VALUE"""),0)</f>
        <v>0</v>
      </c>
      <c r="I50" s="419">
        <f ca="1">IFERROR(__xludf.DUMMYFUNCTION("""COMPUTED_VALUE"""),0)</f>
        <v>0</v>
      </c>
      <c r="J50" s="419">
        <f ca="1">IFERROR(__xludf.DUMMYFUNCTION("""COMPUTED_VALUE"""),0)</f>
        <v>0</v>
      </c>
      <c r="K50" s="419">
        <f ca="1">IFERROR(__xludf.DUMMYFUNCTION("""COMPUTED_VALUE"""),0)</f>
        <v>0</v>
      </c>
      <c r="L50" s="419">
        <f ca="1">IFERROR(__xludf.DUMMYFUNCTION("""COMPUTED_VALUE"""),0)</f>
        <v>0</v>
      </c>
      <c r="M50" s="419">
        <f ca="1">IFERROR(__xludf.DUMMYFUNCTION("""COMPUTED_VALUE"""),0)</f>
        <v>0</v>
      </c>
      <c r="N50" s="419">
        <f ca="1">IFERROR(__xludf.DUMMYFUNCTION("""COMPUTED_VALUE"""),0)</f>
        <v>0</v>
      </c>
      <c r="O50" s="575">
        <f ca="1">IFERROR(__xludf.DUMMYFUNCTION("""COMPUTED_VALUE"""),0)</f>
        <v>0</v>
      </c>
      <c r="P50" s="544"/>
      <c r="Q50" s="420"/>
      <c r="R50" s="420" t="str">
        <f ca="1">IFERROR(__xludf.DUMMYFUNCTION("""COMPUTED_VALUE"""),"投信")</f>
        <v>投信</v>
      </c>
      <c r="S50" s="419">
        <f ca="1">IFERROR(__xludf.DUMMYFUNCTION("""COMPUTED_VALUE"""),0)</f>
        <v>0</v>
      </c>
      <c r="T50" s="419">
        <f ca="1">IFERROR(__xludf.DUMMYFUNCTION("""COMPUTED_VALUE"""),0)</f>
        <v>0</v>
      </c>
      <c r="U50" s="419">
        <f ca="1">IFERROR(__xludf.DUMMYFUNCTION("""COMPUTED_VALUE"""),0)</f>
        <v>0</v>
      </c>
      <c r="V50" s="419">
        <f ca="1">IFERROR(__xludf.DUMMYFUNCTION("""COMPUTED_VALUE"""),0)</f>
        <v>0</v>
      </c>
      <c r="W50" s="419">
        <f ca="1">IFERROR(__xludf.DUMMYFUNCTION("""COMPUTED_VALUE"""),0)</f>
        <v>0</v>
      </c>
      <c r="X50" s="571">
        <f ca="1">IFERROR(__xludf.DUMMYFUNCTION("""COMPUTED_VALUE"""),0)</f>
        <v>0</v>
      </c>
    </row>
    <row r="51" spans="1:24" ht="15.75" customHeight="1">
      <c r="A51" s="544"/>
      <c r="B51" s="420"/>
      <c r="C51" s="420" t="str">
        <f ca="1">IFERROR(__xludf.DUMMYFUNCTION("""COMPUTED_VALUE"""),"外資")</f>
        <v>外資</v>
      </c>
      <c r="D51" s="419">
        <f ca="1">IFERROR(__xludf.DUMMYFUNCTION("""COMPUTED_VALUE"""),0)</f>
        <v>0</v>
      </c>
      <c r="E51" s="419">
        <f ca="1">IFERROR(__xludf.DUMMYFUNCTION("""COMPUTED_VALUE"""),0)</f>
        <v>0</v>
      </c>
      <c r="F51" s="419">
        <f ca="1">IFERROR(__xludf.DUMMYFUNCTION("""COMPUTED_VALUE"""),0)</f>
        <v>0</v>
      </c>
      <c r="G51" s="419">
        <f ca="1">IFERROR(__xludf.DUMMYFUNCTION("""COMPUTED_VALUE"""),0)</f>
        <v>0</v>
      </c>
      <c r="H51" s="419">
        <f ca="1">IFERROR(__xludf.DUMMYFUNCTION("""COMPUTED_VALUE"""),0)</f>
        <v>0</v>
      </c>
      <c r="I51" s="419">
        <f ca="1">IFERROR(__xludf.DUMMYFUNCTION("""COMPUTED_VALUE"""),0)</f>
        <v>0</v>
      </c>
      <c r="J51" s="419">
        <f ca="1">IFERROR(__xludf.DUMMYFUNCTION("""COMPUTED_VALUE"""),0)</f>
        <v>0</v>
      </c>
      <c r="K51" s="419">
        <f ca="1">IFERROR(__xludf.DUMMYFUNCTION("""COMPUTED_VALUE"""),0)</f>
        <v>0</v>
      </c>
      <c r="L51" s="419">
        <f ca="1">IFERROR(__xludf.DUMMYFUNCTION("""COMPUTED_VALUE"""),0)</f>
        <v>0</v>
      </c>
      <c r="M51" s="419">
        <f ca="1">IFERROR(__xludf.DUMMYFUNCTION("""COMPUTED_VALUE"""),0)</f>
        <v>0</v>
      </c>
      <c r="N51" s="419">
        <f ca="1">IFERROR(__xludf.DUMMYFUNCTION("""COMPUTED_VALUE"""),0)</f>
        <v>0</v>
      </c>
      <c r="O51" s="575">
        <f ca="1">IFERROR(__xludf.DUMMYFUNCTION("""COMPUTED_VALUE"""),0)</f>
        <v>0</v>
      </c>
      <c r="P51" s="544"/>
      <c r="Q51" s="420"/>
      <c r="R51" s="420" t="str">
        <f ca="1">IFERROR(__xludf.DUMMYFUNCTION("""COMPUTED_VALUE"""),"外資")</f>
        <v>外資</v>
      </c>
      <c r="S51" s="419">
        <f ca="1">IFERROR(__xludf.DUMMYFUNCTION("""COMPUTED_VALUE"""),8)</f>
        <v>8</v>
      </c>
      <c r="T51" s="419">
        <f ca="1">IFERROR(__xludf.DUMMYFUNCTION("""COMPUTED_VALUE"""),8615)</f>
        <v>8615</v>
      </c>
      <c r="U51" s="419">
        <f ca="1">IFERROR(__xludf.DUMMYFUNCTION("""COMPUTED_VALUE"""),21)</f>
        <v>21</v>
      </c>
      <c r="V51" s="419">
        <f ca="1">IFERROR(__xludf.DUMMYFUNCTION("""COMPUTED_VALUE"""),22627)</f>
        <v>22627</v>
      </c>
      <c r="W51" s="419">
        <f ca="1">IFERROR(__xludf.DUMMYFUNCTION("""COMPUTED_VALUE"""),-13)</f>
        <v>-13</v>
      </c>
      <c r="X51" s="571">
        <f ca="1">IFERROR(__xludf.DUMMYFUNCTION("""COMPUTED_VALUE"""),-14012)</f>
        <v>-14012</v>
      </c>
    </row>
    <row r="52" spans="1:24" ht="15.75" customHeight="1">
      <c r="A52" s="544">
        <f ca="1">IFERROR(__xludf.DUMMYFUNCTION("""COMPUTED_VALUE"""),16)</f>
        <v>16</v>
      </c>
      <c r="B52" s="420" t="str">
        <f ca="1">IFERROR(__xludf.DUMMYFUNCTION("""COMPUTED_VALUE"""),"半導體30期貨")</f>
        <v>半導體30期貨</v>
      </c>
      <c r="C52" s="420" t="str">
        <f ca="1">IFERROR(__xludf.DUMMYFUNCTION("""COMPUTED_VALUE"""),"自營商")</f>
        <v>自營商</v>
      </c>
      <c r="D52" s="419">
        <f ca="1">IFERROR(__xludf.DUMMYFUNCTION("""COMPUTED_VALUE"""),11)</f>
        <v>11</v>
      </c>
      <c r="E52" s="419">
        <f ca="1">IFERROR(__xludf.DUMMYFUNCTION("""COMPUTED_VALUE"""),8834)</f>
        <v>8834</v>
      </c>
      <c r="F52" s="419">
        <f ca="1">IFERROR(__xludf.DUMMYFUNCTION("""COMPUTED_VALUE"""),6)</f>
        <v>6</v>
      </c>
      <c r="G52" s="419">
        <f ca="1">IFERROR(__xludf.DUMMYFUNCTION("""COMPUTED_VALUE"""),4840)</f>
        <v>4840</v>
      </c>
      <c r="H52" s="419">
        <f ca="1">IFERROR(__xludf.DUMMYFUNCTION("""COMPUTED_VALUE"""),5)</f>
        <v>5</v>
      </c>
      <c r="I52" s="419">
        <f ca="1">IFERROR(__xludf.DUMMYFUNCTION("""COMPUTED_VALUE"""),3994)</f>
        <v>3994</v>
      </c>
      <c r="J52" s="419">
        <f ca="1">IFERROR(__xludf.DUMMYFUNCTION("""COMPUTED_VALUE"""),18)</f>
        <v>18</v>
      </c>
      <c r="K52" s="419">
        <f ca="1">IFERROR(__xludf.DUMMYFUNCTION("""COMPUTED_VALUE"""),14085)</f>
        <v>14085</v>
      </c>
      <c r="L52" s="419">
        <f ca="1">IFERROR(__xludf.DUMMYFUNCTION("""COMPUTED_VALUE"""),28)</f>
        <v>28</v>
      </c>
      <c r="M52" s="419">
        <f ca="1">IFERROR(__xludf.DUMMYFUNCTION("""COMPUTED_VALUE"""),21921)</f>
        <v>21921</v>
      </c>
      <c r="N52" s="419">
        <f ca="1">IFERROR(__xludf.DUMMYFUNCTION("""COMPUTED_VALUE"""),-10)</f>
        <v>-10</v>
      </c>
      <c r="O52" s="575">
        <f ca="1">IFERROR(__xludf.DUMMYFUNCTION("""COMPUTED_VALUE"""),-7836)</f>
        <v>-7836</v>
      </c>
      <c r="P52" s="544">
        <f ca="1">IFERROR(__xludf.DUMMYFUNCTION("""COMPUTED_VALUE"""),16)</f>
        <v>16</v>
      </c>
      <c r="Q52" s="420" t="str">
        <f ca="1">IFERROR(__xludf.DUMMYFUNCTION("""COMPUTED_VALUE"""),"美國費城半導體期貨")</f>
        <v>美國費城半導體期貨</v>
      </c>
      <c r="R52" s="420" t="str">
        <f ca="1">IFERROR(__xludf.DUMMYFUNCTION("""COMPUTED_VALUE"""),"自營商")</f>
        <v>自營商</v>
      </c>
      <c r="S52" s="419">
        <f ca="1">IFERROR(__xludf.DUMMYFUNCTION("""COMPUTED_VALUE"""),15)</f>
        <v>15</v>
      </c>
      <c r="T52" s="419">
        <f ca="1">IFERROR(__xludf.DUMMYFUNCTION("""COMPUTED_VALUE"""),14814)</f>
        <v>14814</v>
      </c>
      <c r="U52" s="419">
        <f ca="1">IFERROR(__xludf.DUMMYFUNCTION("""COMPUTED_VALUE"""),4)</f>
        <v>4</v>
      </c>
      <c r="V52" s="419">
        <f ca="1">IFERROR(__xludf.DUMMYFUNCTION("""COMPUTED_VALUE"""),3949)</f>
        <v>3949</v>
      </c>
      <c r="W52" s="419">
        <f ca="1">IFERROR(__xludf.DUMMYFUNCTION("""COMPUTED_VALUE"""),11)</f>
        <v>11</v>
      </c>
      <c r="X52" s="571">
        <f ca="1">IFERROR(__xludf.DUMMYFUNCTION("""COMPUTED_VALUE"""),10865)</f>
        <v>10865</v>
      </c>
    </row>
    <row r="53" spans="1:24" ht="15.75" customHeight="1">
      <c r="A53" s="544"/>
      <c r="B53" s="420"/>
      <c r="C53" s="420" t="str">
        <f ca="1">IFERROR(__xludf.DUMMYFUNCTION("""COMPUTED_VALUE"""),"投信")</f>
        <v>投信</v>
      </c>
      <c r="D53" s="419">
        <f ca="1">IFERROR(__xludf.DUMMYFUNCTION("""COMPUTED_VALUE"""),0)</f>
        <v>0</v>
      </c>
      <c r="E53" s="419">
        <f ca="1">IFERROR(__xludf.DUMMYFUNCTION("""COMPUTED_VALUE"""),0)</f>
        <v>0</v>
      </c>
      <c r="F53" s="419">
        <f ca="1">IFERROR(__xludf.DUMMYFUNCTION("""COMPUTED_VALUE"""),0)</f>
        <v>0</v>
      </c>
      <c r="G53" s="419">
        <f ca="1">IFERROR(__xludf.DUMMYFUNCTION("""COMPUTED_VALUE"""),0)</f>
        <v>0</v>
      </c>
      <c r="H53" s="419">
        <f ca="1">IFERROR(__xludf.DUMMYFUNCTION("""COMPUTED_VALUE"""),0)</f>
        <v>0</v>
      </c>
      <c r="I53" s="419">
        <f ca="1">IFERROR(__xludf.DUMMYFUNCTION("""COMPUTED_VALUE"""),0)</f>
        <v>0</v>
      </c>
      <c r="J53" s="419">
        <f ca="1">IFERROR(__xludf.DUMMYFUNCTION("""COMPUTED_VALUE"""),0)</f>
        <v>0</v>
      </c>
      <c r="K53" s="419">
        <f ca="1">IFERROR(__xludf.DUMMYFUNCTION("""COMPUTED_VALUE"""),0)</f>
        <v>0</v>
      </c>
      <c r="L53" s="419">
        <f ca="1">IFERROR(__xludf.DUMMYFUNCTION("""COMPUTED_VALUE"""),0)</f>
        <v>0</v>
      </c>
      <c r="M53" s="419">
        <f ca="1">IFERROR(__xludf.DUMMYFUNCTION("""COMPUTED_VALUE"""),0)</f>
        <v>0</v>
      </c>
      <c r="N53" s="419">
        <f ca="1">IFERROR(__xludf.DUMMYFUNCTION("""COMPUTED_VALUE"""),0)</f>
        <v>0</v>
      </c>
      <c r="O53" s="575">
        <f ca="1">IFERROR(__xludf.DUMMYFUNCTION("""COMPUTED_VALUE"""),0)</f>
        <v>0</v>
      </c>
      <c r="P53" s="544"/>
      <c r="Q53" s="420"/>
      <c r="R53" s="420" t="str">
        <f ca="1">IFERROR(__xludf.DUMMYFUNCTION("""COMPUTED_VALUE"""),"投信")</f>
        <v>投信</v>
      </c>
      <c r="S53" s="419">
        <f ca="1">IFERROR(__xludf.DUMMYFUNCTION("""COMPUTED_VALUE"""),0)</f>
        <v>0</v>
      </c>
      <c r="T53" s="419">
        <f ca="1">IFERROR(__xludf.DUMMYFUNCTION("""COMPUTED_VALUE"""),0)</f>
        <v>0</v>
      </c>
      <c r="U53" s="419">
        <f ca="1">IFERROR(__xludf.DUMMYFUNCTION("""COMPUTED_VALUE"""),0)</f>
        <v>0</v>
      </c>
      <c r="V53" s="419">
        <f ca="1">IFERROR(__xludf.DUMMYFUNCTION("""COMPUTED_VALUE"""),0)</f>
        <v>0</v>
      </c>
      <c r="W53" s="419">
        <f ca="1">IFERROR(__xludf.DUMMYFUNCTION("""COMPUTED_VALUE"""),0)</f>
        <v>0</v>
      </c>
      <c r="X53" s="571">
        <f ca="1">IFERROR(__xludf.DUMMYFUNCTION("""COMPUTED_VALUE"""),0)</f>
        <v>0</v>
      </c>
    </row>
    <row r="54" spans="1:24" ht="15.75" customHeight="1">
      <c r="A54" s="544"/>
      <c r="B54" s="420"/>
      <c r="C54" s="420" t="str">
        <f ca="1">IFERROR(__xludf.DUMMYFUNCTION("""COMPUTED_VALUE"""),"外資")</f>
        <v>外資</v>
      </c>
      <c r="D54" s="419">
        <f ca="1">IFERROR(__xludf.DUMMYFUNCTION("""COMPUTED_VALUE"""),0)</f>
        <v>0</v>
      </c>
      <c r="E54" s="419">
        <f ca="1">IFERROR(__xludf.DUMMYFUNCTION("""COMPUTED_VALUE"""),0)</f>
        <v>0</v>
      </c>
      <c r="F54" s="419">
        <f ca="1">IFERROR(__xludf.DUMMYFUNCTION("""COMPUTED_VALUE"""),0)</f>
        <v>0</v>
      </c>
      <c r="G54" s="419">
        <f ca="1">IFERROR(__xludf.DUMMYFUNCTION("""COMPUTED_VALUE"""),0)</f>
        <v>0</v>
      </c>
      <c r="H54" s="419">
        <f ca="1">IFERROR(__xludf.DUMMYFUNCTION("""COMPUTED_VALUE"""),0)</f>
        <v>0</v>
      </c>
      <c r="I54" s="419">
        <f ca="1">IFERROR(__xludf.DUMMYFUNCTION("""COMPUTED_VALUE"""),0)</f>
        <v>0</v>
      </c>
      <c r="J54" s="419">
        <f ca="1">IFERROR(__xludf.DUMMYFUNCTION("""COMPUTED_VALUE"""),0)</f>
        <v>0</v>
      </c>
      <c r="K54" s="419">
        <f ca="1">IFERROR(__xludf.DUMMYFUNCTION("""COMPUTED_VALUE"""),0)</f>
        <v>0</v>
      </c>
      <c r="L54" s="419">
        <f ca="1">IFERROR(__xludf.DUMMYFUNCTION("""COMPUTED_VALUE"""),0)</f>
        <v>0</v>
      </c>
      <c r="M54" s="419">
        <f ca="1">IFERROR(__xludf.DUMMYFUNCTION("""COMPUTED_VALUE"""),0)</f>
        <v>0</v>
      </c>
      <c r="N54" s="419">
        <f ca="1">IFERROR(__xludf.DUMMYFUNCTION("""COMPUTED_VALUE"""),0)</f>
        <v>0</v>
      </c>
      <c r="O54" s="575">
        <f ca="1">IFERROR(__xludf.DUMMYFUNCTION("""COMPUTED_VALUE"""),0)</f>
        <v>0</v>
      </c>
      <c r="P54" s="544"/>
      <c r="Q54" s="420"/>
      <c r="R54" s="420" t="str">
        <f ca="1">IFERROR(__xludf.DUMMYFUNCTION("""COMPUTED_VALUE"""),"外資")</f>
        <v>外資</v>
      </c>
      <c r="S54" s="419">
        <f ca="1">IFERROR(__xludf.DUMMYFUNCTION("""COMPUTED_VALUE"""),0)</f>
        <v>0</v>
      </c>
      <c r="T54" s="419">
        <f ca="1">IFERROR(__xludf.DUMMYFUNCTION("""COMPUTED_VALUE"""),0)</f>
        <v>0</v>
      </c>
      <c r="U54" s="419">
        <f ca="1">IFERROR(__xludf.DUMMYFUNCTION("""COMPUTED_VALUE"""),2)</f>
        <v>2</v>
      </c>
      <c r="V54" s="419">
        <f ca="1">IFERROR(__xludf.DUMMYFUNCTION("""COMPUTED_VALUE"""),1975)</f>
        <v>1975</v>
      </c>
      <c r="W54" s="419">
        <f ca="1">IFERROR(__xludf.DUMMYFUNCTION("""COMPUTED_VALUE"""),-2)</f>
        <v>-2</v>
      </c>
      <c r="X54" s="571">
        <f ca="1">IFERROR(__xludf.DUMMYFUNCTION("""COMPUTED_VALUE"""),-1975)</f>
        <v>-1975</v>
      </c>
    </row>
    <row r="55" spans="1:24" ht="15.75" customHeight="1">
      <c r="A55" s="544">
        <f ca="1">IFERROR(__xludf.DUMMYFUNCTION("""COMPUTED_VALUE"""),17)</f>
        <v>17</v>
      </c>
      <c r="B55" s="420" t="str">
        <f ca="1">IFERROR(__xludf.DUMMYFUNCTION("""COMPUTED_VALUE"""),"航運期貨")</f>
        <v>航運期貨</v>
      </c>
      <c r="C55" s="420" t="str">
        <f ca="1">IFERROR(__xludf.DUMMYFUNCTION("""COMPUTED_VALUE"""),"自營商")</f>
        <v>自營商</v>
      </c>
      <c r="D55" s="419">
        <f ca="1">IFERROR(__xludf.DUMMYFUNCTION("""COMPUTED_VALUE"""),0)</f>
        <v>0</v>
      </c>
      <c r="E55" s="419">
        <f ca="1">IFERROR(__xludf.DUMMYFUNCTION("""COMPUTED_VALUE"""),0)</f>
        <v>0</v>
      </c>
      <c r="F55" s="419">
        <f ca="1">IFERROR(__xludf.DUMMYFUNCTION("""COMPUTED_VALUE"""),0)</f>
        <v>0</v>
      </c>
      <c r="G55" s="419">
        <f ca="1">IFERROR(__xludf.DUMMYFUNCTION("""COMPUTED_VALUE"""),0)</f>
        <v>0</v>
      </c>
      <c r="H55" s="419">
        <f ca="1">IFERROR(__xludf.DUMMYFUNCTION("""COMPUTED_VALUE"""),0)</f>
        <v>0</v>
      </c>
      <c r="I55" s="419">
        <f ca="1">IFERROR(__xludf.DUMMYFUNCTION("""COMPUTED_VALUE"""),0)</f>
        <v>0</v>
      </c>
      <c r="J55" s="419">
        <f ca="1">IFERROR(__xludf.DUMMYFUNCTION("""COMPUTED_VALUE"""),0)</f>
        <v>0</v>
      </c>
      <c r="K55" s="419">
        <f ca="1">IFERROR(__xludf.DUMMYFUNCTION("""COMPUTED_VALUE"""),0)</f>
        <v>0</v>
      </c>
      <c r="L55" s="419">
        <f ca="1">IFERROR(__xludf.DUMMYFUNCTION("""COMPUTED_VALUE"""),0)</f>
        <v>0</v>
      </c>
      <c r="M55" s="419">
        <f ca="1">IFERROR(__xludf.DUMMYFUNCTION("""COMPUTED_VALUE"""),0)</f>
        <v>0</v>
      </c>
      <c r="N55" s="419">
        <f ca="1">IFERROR(__xludf.DUMMYFUNCTION("""COMPUTED_VALUE"""),0)</f>
        <v>0</v>
      </c>
      <c r="O55" s="575">
        <f ca="1">IFERROR(__xludf.DUMMYFUNCTION("""COMPUTED_VALUE"""),0)</f>
        <v>0</v>
      </c>
      <c r="P55" s="544">
        <f ca="1">IFERROR(__xludf.DUMMYFUNCTION("""COMPUTED_VALUE"""),17)</f>
        <v>17</v>
      </c>
      <c r="Q55" s="420" t="str">
        <f ca="1">IFERROR(__xludf.DUMMYFUNCTION("""COMPUTED_VALUE"""),"英國富時100期貨")</f>
        <v>英國富時100期貨</v>
      </c>
      <c r="R55" s="420" t="str">
        <f ca="1">IFERROR(__xludf.DUMMYFUNCTION("""COMPUTED_VALUE"""),"自營商")</f>
        <v>自營商</v>
      </c>
      <c r="S55" s="419">
        <f ca="1">IFERROR(__xludf.DUMMYFUNCTION("""COMPUTED_VALUE"""),17)</f>
        <v>17</v>
      </c>
      <c r="T55" s="419">
        <f ca="1">IFERROR(__xludf.DUMMYFUNCTION("""COMPUTED_VALUE"""),9163)</f>
        <v>9163</v>
      </c>
      <c r="U55" s="419">
        <f ca="1">IFERROR(__xludf.DUMMYFUNCTION("""COMPUTED_VALUE"""),0)</f>
        <v>0</v>
      </c>
      <c r="V55" s="419">
        <f ca="1">IFERROR(__xludf.DUMMYFUNCTION("""COMPUTED_VALUE"""),0)</f>
        <v>0</v>
      </c>
      <c r="W55" s="419">
        <f ca="1">IFERROR(__xludf.DUMMYFUNCTION("""COMPUTED_VALUE"""),17)</f>
        <v>17</v>
      </c>
      <c r="X55" s="571">
        <f ca="1">IFERROR(__xludf.DUMMYFUNCTION("""COMPUTED_VALUE"""),9163)</f>
        <v>9163</v>
      </c>
    </row>
    <row r="56" spans="1:24" ht="12.5">
      <c r="A56" s="544"/>
      <c r="B56" s="420"/>
      <c r="C56" s="420" t="str">
        <f ca="1">IFERROR(__xludf.DUMMYFUNCTION("""COMPUTED_VALUE"""),"投信")</f>
        <v>投信</v>
      </c>
      <c r="D56" s="419">
        <f ca="1">IFERROR(__xludf.DUMMYFUNCTION("""COMPUTED_VALUE"""),0)</f>
        <v>0</v>
      </c>
      <c r="E56" s="419">
        <f ca="1">IFERROR(__xludf.DUMMYFUNCTION("""COMPUTED_VALUE"""),0)</f>
        <v>0</v>
      </c>
      <c r="F56" s="419">
        <f ca="1">IFERROR(__xludf.DUMMYFUNCTION("""COMPUTED_VALUE"""),0)</f>
        <v>0</v>
      </c>
      <c r="G56" s="419">
        <f ca="1">IFERROR(__xludf.DUMMYFUNCTION("""COMPUTED_VALUE"""),0)</f>
        <v>0</v>
      </c>
      <c r="H56" s="419">
        <f ca="1">IFERROR(__xludf.DUMMYFUNCTION("""COMPUTED_VALUE"""),0)</f>
        <v>0</v>
      </c>
      <c r="I56" s="419">
        <f ca="1">IFERROR(__xludf.DUMMYFUNCTION("""COMPUTED_VALUE"""),0)</f>
        <v>0</v>
      </c>
      <c r="J56" s="419">
        <f ca="1">IFERROR(__xludf.DUMMYFUNCTION("""COMPUTED_VALUE"""),0)</f>
        <v>0</v>
      </c>
      <c r="K56" s="419">
        <f ca="1">IFERROR(__xludf.DUMMYFUNCTION("""COMPUTED_VALUE"""),0)</f>
        <v>0</v>
      </c>
      <c r="L56" s="419">
        <f ca="1">IFERROR(__xludf.DUMMYFUNCTION("""COMPUTED_VALUE"""),0)</f>
        <v>0</v>
      </c>
      <c r="M56" s="419">
        <f ca="1">IFERROR(__xludf.DUMMYFUNCTION("""COMPUTED_VALUE"""),0)</f>
        <v>0</v>
      </c>
      <c r="N56" s="419">
        <f ca="1">IFERROR(__xludf.DUMMYFUNCTION("""COMPUTED_VALUE"""),0)</f>
        <v>0</v>
      </c>
      <c r="O56" s="575">
        <f ca="1">IFERROR(__xludf.DUMMYFUNCTION("""COMPUTED_VALUE"""),0)</f>
        <v>0</v>
      </c>
      <c r="P56" s="544"/>
      <c r="Q56" s="420"/>
      <c r="R56" s="420" t="str">
        <f ca="1">IFERROR(__xludf.DUMMYFUNCTION("""COMPUTED_VALUE"""),"投信")</f>
        <v>投信</v>
      </c>
      <c r="S56" s="419">
        <f ca="1">IFERROR(__xludf.DUMMYFUNCTION("""COMPUTED_VALUE"""),0)</f>
        <v>0</v>
      </c>
      <c r="T56" s="419">
        <f ca="1">IFERROR(__xludf.DUMMYFUNCTION("""COMPUTED_VALUE"""),0)</f>
        <v>0</v>
      </c>
      <c r="U56" s="419">
        <f ca="1">IFERROR(__xludf.DUMMYFUNCTION("""COMPUTED_VALUE"""),0)</f>
        <v>0</v>
      </c>
      <c r="V56" s="419">
        <f ca="1">IFERROR(__xludf.DUMMYFUNCTION("""COMPUTED_VALUE"""),0)</f>
        <v>0</v>
      </c>
      <c r="W56" s="419">
        <f ca="1">IFERROR(__xludf.DUMMYFUNCTION("""COMPUTED_VALUE"""),0)</f>
        <v>0</v>
      </c>
      <c r="X56" s="571">
        <f ca="1">IFERROR(__xludf.DUMMYFUNCTION("""COMPUTED_VALUE"""),0)</f>
        <v>0</v>
      </c>
    </row>
    <row r="57" spans="1:24" ht="12.5">
      <c r="A57" s="544"/>
      <c r="B57" s="420"/>
      <c r="C57" s="420" t="str">
        <f ca="1">IFERROR(__xludf.DUMMYFUNCTION("""COMPUTED_VALUE"""),"外資")</f>
        <v>外資</v>
      </c>
      <c r="D57" s="419">
        <f ca="1">IFERROR(__xludf.DUMMYFUNCTION("""COMPUTED_VALUE"""),0)</f>
        <v>0</v>
      </c>
      <c r="E57" s="419">
        <f ca="1">IFERROR(__xludf.DUMMYFUNCTION("""COMPUTED_VALUE"""),0)</f>
        <v>0</v>
      </c>
      <c r="F57" s="419">
        <f ca="1">IFERROR(__xludf.DUMMYFUNCTION("""COMPUTED_VALUE"""),0)</f>
        <v>0</v>
      </c>
      <c r="G57" s="419">
        <f ca="1">IFERROR(__xludf.DUMMYFUNCTION("""COMPUTED_VALUE"""),0)</f>
        <v>0</v>
      </c>
      <c r="H57" s="419">
        <f ca="1">IFERROR(__xludf.DUMMYFUNCTION("""COMPUTED_VALUE"""),0)</f>
        <v>0</v>
      </c>
      <c r="I57" s="419">
        <f ca="1">IFERROR(__xludf.DUMMYFUNCTION("""COMPUTED_VALUE"""),0)</f>
        <v>0</v>
      </c>
      <c r="J57" s="419">
        <f ca="1">IFERROR(__xludf.DUMMYFUNCTION("""COMPUTED_VALUE"""),0)</f>
        <v>0</v>
      </c>
      <c r="K57" s="419">
        <f ca="1">IFERROR(__xludf.DUMMYFUNCTION("""COMPUTED_VALUE"""),0)</f>
        <v>0</v>
      </c>
      <c r="L57" s="419">
        <f ca="1">IFERROR(__xludf.DUMMYFUNCTION("""COMPUTED_VALUE"""),0)</f>
        <v>0</v>
      </c>
      <c r="M57" s="419">
        <f ca="1">IFERROR(__xludf.DUMMYFUNCTION("""COMPUTED_VALUE"""),0)</f>
        <v>0</v>
      </c>
      <c r="N57" s="419">
        <f ca="1">IFERROR(__xludf.DUMMYFUNCTION("""COMPUTED_VALUE"""),0)</f>
        <v>0</v>
      </c>
      <c r="O57" s="575">
        <f ca="1">IFERROR(__xludf.DUMMYFUNCTION("""COMPUTED_VALUE"""),0)</f>
        <v>0</v>
      </c>
      <c r="P57" s="544"/>
      <c r="Q57" s="420"/>
      <c r="R57" s="420" t="str">
        <f ca="1">IFERROR(__xludf.DUMMYFUNCTION("""COMPUTED_VALUE"""),"外資")</f>
        <v>外資</v>
      </c>
      <c r="S57" s="419">
        <f ca="1">IFERROR(__xludf.DUMMYFUNCTION("""COMPUTED_VALUE"""),1)</f>
        <v>1</v>
      </c>
      <c r="T57" s="419">
        <f ca="1">IFERROR(__xludf.DUMMYFUNCTION("""COMPUTED_VALUE"""),540)</f>
        <v>540</v>
      </c>
      <c r="U57" s="419">
        <f ca="1">IFERROR(__xludf.DUMMYFUNCTION("""COMPUTED_VALUE"""),119)</f>
        <v>119</v>
      </c>
      <c r="V57" s="419">
        <f ca="1">IFERROR(__xludf.DUMMYFUNCTION("""COMPUTED_VALUE"""),64084)</f>
        <v>64084</v>
      </c>
      <c r="W57" s="419">
        <f ca="1">IFERROR(__xludf.DUMMYFUNCTION("""COMPUTED_VALUE"""),-118)</f>
        <v>-118</v>
      </c>
      <c r="X57" s="571">
        <f ca="1">IFERROR(__xludf.DUMMYFUNCTION("""COMPUTED_VALUE"""),-63544)</f>
        <v>-63544</v>
      </c>
    </row>
    <row r="58" spans="1:24" ht="12.5">
      <c r="A58" s="544">
        <f ca="1">IFERROR(__xludf.DUMMYFUNCTION("""COMPUTED_VALUE"""),18)</f>
        <v>18</v>
      </c>
      <c r="B58" s="420" t="str">
        <f ca="1">IFERROR(__xludf.DUMMYFUNCTION("""COMPUTED_VALUE"""),"東證期貨")</f>
        <v>東證期貨</v>
      </c>
      <c r="C58" s="420" t="str">
        <f ca="1">IFERROR(__xludf.DUMMYFUNCTION("""COMPUTED_VALUE"""),"自營商")</f>
        <v>自營商</v>
      </c>
      <c r="D58" s="419">
        <f ca="1">IFERROR(__xludf.DUMMYFUNCTION("""COMPUTED_VALUE"""),376)</f>
        <v>376</v>
      </c>
      <c r="E58" s="419">
        <f ca="1">IFERROR(__xludf.DUMMYFUNCTION("""COMPUTED_VALUE"""),315490)</f>
        <v>315490</v>
      </c>
      <c r="F58" s="419">
        <f ca="1">IFERROR(__xludf.DUMMYFUNCTION("""COMPUTED_VALUE"""),323)</f>
        <v>323</v>
      </c>
      <c r="G58" s="419">
        <f ca="1">IFERROR(__xludf.DUMMYFUNCTION("""COMPUTED_VALUE"""),271004)</f>
        <v>271004</v>
      </c>
      <c r="H58" s="419">
        <f ca="1">IFERROR(__xludf.DUMMYFUNCTION("""COMPUTED_VALUE"""),53)</f>
        <v>53</v>
      </c>
      <c r="I58" s="419">
        <f ca="1">IFERROR(__xludf.DUMMYFUNCTION("""COMPUTED_VALUE"""),44486)</f>
        <v>44486</v>
      </c>
      <c r="J58" s="419">
        <f ca="1">IFERROR(__xludf.DUMMYFUNCTION("""COMPUTED_VALUE"""),27)</f>
        <v>27</v>
      </c>
      <c r="K58" s="419">
        <f ca="1">IFERROR(__xludf.DUMMYFUNCTION("""COMPUTED_VALUE"""),22473)</f>
        <v>22473</v>
      </c>
      <c r="L58" s="419">
        <f ca="1">IFERROR(__xludf.DUMMYFUNCTION("""COMPUTED_VALUE"""),38)</f>
        <v>38</v>
      </c>
      <c r="M58" s="419">
        <f ca="1">IFERROR(__xludf.DUMMYFUNCTION("""COMPUTED_VALUE"""),31870)</f>
        <v>31870</v>
      </c>
      <c r="N58" s="419">
        <f ca="1">IFERROR(__xludf.DUMMYFUNCTION("""COMPUTED_VALUE"""),-11)</f>
        <v>-11</v>
      </c>
      <c r="O58" s="575">
        <f ca="1">IFERROR(__xludf.DUMMYFUNCTION("""COMPUTED_VALUE"""),-9397)</f>
        <v>-9397</v>
      </c>
      <c r="P58" s="544" t="str">
        <f ca="1">IFERROR(__xludf.DUMMYFUNCTION("""COMPUTED_VALUE"""),"期貨
小計")</f>
        <v>期貨
小計</v>
      </c>
      <c r="Q58" s="420"/>
      <c r="R58" s="420" t="str">
        <f ca="1">IFERROR(__xludf.DUMMYFUNCTION("""COMPUTED_VALUE"""),"自營商")</f>
        <v>自營商</v>
      </c>
      <c r="S58" s="419">
        <f ca="1">IFERROR(__xludf.DUMMYFUNCTION("""COMPUTED_VALUE"""),8110)</f>
        <v>8110</v>
      </c>
      <c r="T58" s="419">
        <f ca="1">IFERROR(__xludf.DUMMYFUNCTION("""COMPUTED_VALUE"""),12461831)</f>
        <v>12461831</v>
      </c>
      <c r="U58" s="419">
        <f ca="1">IFERROR(__xludf.DUMMYFUNCTION("""COMPUTED_VALUE"""),8299)</f>
        <v>8299</v>
      </c>
      <c r="V58" s="419">
        <f ca="1">IFERROR(__xludf.DUMMYFUNCTION("""COMPUTED_VALUE"""),13036297)</f>
        <v>13036297</v>
      </c>
      <c r="W58" s="419">
        <f ca="1">IFERROR(__xludf.DUMMYFUNCTION("""COMPUTED_VALUE"""),-189)</f>
        <v>-189</v>
      </c>
      <c r="X58" s="571">
        <f ca="1">IFERROR(__xludf.DUMMYFUNCTION("""COMPUTED_VALUE"""),-574466)</f>
        <v>-574466</v>
      </c>
    </row>
    <row r="59" spans="1:24" ht="12.5">
      <c r="A59" s="544"/>
      <c r="B59" s="420"/>
      <c r="C59" s="420" t="str">
        <f ca="1">IFERROR(__xludf.DUMMYFUNCTION("""COMPUTED_VALUE"""),"投信")</f>
        <v>投信</v>
      </c>
      <c r="D59" s="419">
        <f ca="1">IFERROR(__xludf.DUMMYFUNCTION("""COMPUTED_VALUE"""),0)</f>
        <v>0</v>
      </c>
      <c r="E59" s="419">
        <f ca="1">IFERROR(__xludf.DUMMYFUNCTION("""COMPUTED_VALUE"""),0)</f>
        <v>0</v>
      </c>
      <c r="F59" s="419">
        <f ca="1">IFERROR(__xludf.DUMMYFUNCTION("""COMPUTED_VALUE"""),0)</f>
        <v>0</v>
      </c>
      <c r="G59" s="419">
        <f ca="1">IFERROR(__xludf.DUMMYFUNCTION("""COMPUTED_VALUE"""),0)</f>
        <v>0</v>
      </c>
      <c r="H59" s="419">
        <f ca="1">IFERROR(__xludf.DUMMYFUNCTION("""COMPUTED_VALUE"""),0)</f>
        <v>0</v>
      </c>
      <c r="I59" s="419">
        <f ca="1">IFERROR(__xludf.DUMMYFUNCTION("""COMPUTED_VALUE"""),0)</f>
        <v>0</v>
      </c>
      <c r="J59" s="419">
        <f ca="1">IFERROR(__xludf.DUMMYFUNCTION("""COMPUTED_VALUE"""),0)</f>
        <v>0</v>
      </c>
      <c r="K59" s="419">
        <f ca="1">IFERROR(__xludf.DUMMYFUNCTION("""COMPUTED_VALUE"""),0)</f>
        <v>0</v>
      </c>
      <c r="L59" s="419">
        <f ca="1">IFERROR(__xludf.DUMMYFUNCTION("""COMPUTED_VALUE"""),0)</f>
        <v>0</v>
      </c>
      <c r="M59" s="419">
        <f ca="1">IFERROR(__xludf.DUMMYFUNCTION("""COMPUTED_VALUE"""),0)</f>
        <v>0</v>
      </c>
      <c r="N59" s="419">
        <f ca="1">IFERROR(__xludf.DUMMYFUNCTION("""COMPUTED_VALUE"""),0)</f>
        <v>0</v>
      </c>
      <c r="O59" s="575">
        <f ca="1">IFERROR(__xludf.DUMMYFUNCTION("""COMPUTED_VALUE"""),0)</f>
        <v>0</v>
      </c>
      <c r="P59" s="544"/>
      <c r="Q59" s="420"/>
      <c r="R59" s="420" t="str">
        <f ca="1">IFERROR(__xludf.DUMMYFUNCTION("""COMPUTED_VALUE"""),"投信")</f>
        <v>投信</v>
      </c>
      <c r="S59" s="419">
        <f ca="1">IFERROR(__xludf.DUMMYFUNCTION("""COMPUTED_VALUE"""),0)</f>
        <v>0</v>
      </c>
      <c r="T59" s="419">
        <f ca="1">IFERROR(__xludf.DUMMYFUNCTION("""COMPUTED_VALUE"""),0)</f>
        <v>0</v>
      </c>
      <c r="U59" s="419">
        <f ca="1">IFERROR(__xludf.DUMMYFUNCTION("""COMPUTED_VALUE"""),0)</f>
        <v>0</v>
      </c>
      <c r="V59" s="419">
        <f ca="1">IFERROR(__xludf.DUMMYFUNCTION("""COMPUTED_VALUE"""),0)</f>
        <v>0</v>
      </c>
      <c r="W59" s="419">
        <f ca="1">IFERROR(__xludf.DUMMYFUNCTION("""COMPUTED_VALUE"""),0)</f>
        <v>0</v>
      </c>
      <c r="X59" s="571">
        <f ca="1">IFERROR(__xludf.DUMMYFUNCTION("""COMPUTED_VALUE"""),0)</f>
        <v>0</v>
      </c>
    </row>
    <row r="60" spans="1:24" ht="12.5">
      <c r="A60" s="544"/>
      <c r="B60" s="420"/>
      <c r="C60" s="420" t="str">
        <f ca="1">IFERROR(__xludf.DUMMYFUNCTION("""COMPUTED_VALUE"""),"外資")</f>
        <v>外資</v>
      </c>
      <c r="D60" s="419">
        <f ca="1">IFERROR(__xludf.DUMMYFUNCTION("""COMPUTED_VALUE"""),216)</f>
        <v>216</v>
      </c>
      <c r="E60" s="419">
        <f ca="1">IFERROR(__xludf.DUMMYFUNCTION("""COMPUTED_VALUE"""),181223)</f>
        <v>181223</v>
      </c>
      <c r="F60" s="419">
        <f ca="1">IFERROR(__xludf.DUMMYFUNCTION("""COMPUTED_VALUE"""),267)</f>
        <v>267</v>
      </c>
      <c r="G60" s="419">
        <f ca="1">IFERROR(__xludf.DUMMYFUNCTION("""COMPUTED_VALUE"""),224019)</f>
        <v>224019</v>
      </c>
      <c r="H60" s="419">
        <f ca="1">IFERROR(__xludf.DUMMYFUNCTION("""COMPUTED_VALUE"""),-51)</f>
        <v>-51</v>
      </c>
      <c r="I60" s="419">
        <f ca="1">IFERROR(__xludf.DUMMYFUNCTION("""COMPUTED_VALUE"""),-42796)</f>
        <v>-42796</v>
      </c>
      <c r="J60" s="419">
        <f ca="1">IFERROR(__xludf.DUMMYFUNCTION("""COMPUTED_VALUE"""),0)</f>
        <v>0</v>
      </c>
      <c r="K60" s="419">
        <f ca="1">IFERROR(__xludf.DUMMYFUNCTION("""COMPUTED_VALUE"""),0)</f>
        <v>0</v>
      </c>
      <c r="L60" s="419">
        <f ca="1">IFERROR(__xludf.DUMMYFUNCTION("""COMPUTED_VALUE"""),95)</f>
        <v>95</v>
      </c>
      <c r="M60" s="419">
        <f ca="1">IFERROR(__xludf.DUMMYFUNCTION("""COMPUTED_VALUE"""),79515)</f>
        <v>79515</v>
      </c>
      <c r="N60" s="419">
        <f ca="1">IFERROR(__xludf.DUMMYFUNCTION("""COMPUTED_VALUE"""),-95)</f>
        <v>-95</v>
      </c>
      <c r="O60" s="575">
        <f ca="1">IFERROR(__xludf.DUMMYFUNCTION("""COMPUTED_VALUE"""),-79515)</f>
        <v>-79515</v>
      </c>
      <c r="P60" s="544"/>
      <c r="Q60" s="420"/>
      <c r="R60" s="420" t="str">
        <f ca="1">IFERROR(__xludf.DUMMYFUNCTION("""COMPUTED_VALUE"""),"外資")</f>
        <v>外資</v>
      </c>
      <c r="S60" s="419">
        <f ca="1">IFERROR(__xludf.DUMMYFUNCTION("""COMPUTED_VALUE"""),124170)</f>
        <v>124170</v>
      </c>
      <c r="T60" s="419">
        <f ca="1">IFERROR(__xludf.DUMMYFUNCTION("""COMPUTED_VALUE"""),244028275)</f>
        <v>244028275</v>
      </c>
      <c r="U60" s="419">
        <f ca="1">IFERROR(__xludf.DUMMYFUNCTION("""COMPUTED_VALUE"""),125922)</f>
        <v>125922</v>
      </c>
      <c r="V60" s="419">
        <f ca="1">IFERROR(__xludf.DUMMYFUNCTION("""COMPUTED_VALUE"""),246620385)</f>
        <v>246620385</v>
      </c>
      <c r="W60" s="419">
        <f ca="1">IFERROR(__xludf.DUMMYFUNCTION("""COMPUTED_VALUE"""),-1752)</f>
        <v>-1752</v>
      </c>
      <c r="X60" s="571">
        <f ca="1">IFERROR(__xludf.DUMMYFUNCTION("""COMPUTED_VALUE"""),-2592110)</f>
        <v>-2592110</v>
      </c>
    </row>
    <row r="61" spans="1:24" ht="12.5">
      <c r="A61" s="544">
        <f ca="1">IFERROR(__xludf.DUMMYFUNCTION("""COMPUTED_VALUE"""),19)</f>
        <v>19</v>
      </c>
      <c r="B61" s="420" t="str">
        <f ca="1">IFERROR(__xludf.DUMMYFUNCTION("""COMPUTED_VALUE"""),"美國標普500期貨")</f>
        <v>美國標普500期貨</v>
      </c>
      <c r="C61" s="420" t="str">
        <f ca="1">IFERROR(__xludf.DUMMYFUNCTION("""COMPUTED_VALUE"""),"自營商")</f>
        <v>自營商</v>
      </c>
      <c r="D61" s="419">
        <f ca="1">IFERROR(__xludf.DUMMYFUNCTION("""COMPUTED_VALUE"""),15)</f>
        <v>15</v>
      </c>
      <c r="E61" s="419">
        <f ca="1">IFERROR(__xludf.DUMMYFUNCTION("""COMPUTED_VALUE"""),23474)</f>
        <v>23474</v>
      </c>
      <c r="F61" s="419">
        <f ca="1">IFERROR(__xludf.DUMMYFUNCTION("""COMPUTED_VALUE"""),6)</f>
        <v>6</v>
      </c>
      <c r="G61" s="419">
        <f ca="1">IFERROR(__xludf.DUMMYFUNCTION("""COMPUTED_VALUE"""),9420)</f>
        <v>9420</v>
      </c>
      <c r="H61" s="419">
        <f ca="1">IFERROR(__xludf.DUMMYFUNCTION("""COMPUTED_VALUE"""),9)</f>
        <v>9</v>
      </c>
      <c r="I61" s="419">
        <f ca="1">IFERROR(__xludf.DUMMYFUNCTION("""COMPUTED_VALUE"""),14054)</f>
        <v>14054</v>
      </c>
      <c r="J61" s="419">
        <f ca="1">IFERROR(__xludf.DUMMYFUNCTION("""COMPUTED_VALUE"""),14)</f>
        <v>14</v>
      </c>
      <c r="K61" s="419">
        <f ca="1">IFERROR(__xludf.DUMMYFUNCTION("""COMPUTED_VALUE"""),21907)</f>
        <v>21907</v>
      </c>
      <c r="L61" s="419">
        <f ca="1">IFERROR(__xludf.DUMMYFUNCTION("""COMPUTED_VALUE"""),27)</f>
        <v>27</v>
      </c>
      <c r="M61" s="419">
        <f ca="1">IFERROR(__xludf.DUMMYFUNCTION("""COMPUTED_VALUE"""),42602)</f>
        <v>42602</v>
      </c>
      <c r="N61" s="419">
        <f ca="1">IFERROR(__xludf.DUMMYFUNCTION("""COMPUTED_VALUE"""),-13)</f>
        <v>-13</v>
      </c>
      <c r="O61" s="575">
        <f ca="1">IFERROR(__xludf.DUMMYFUNCTION("""COMPUTED_VALUE"""),-20695)</f>
        <v>-20695</v>
      </c>
      <c r="P61" s="544" t="str">
        <f ca="1">IFERROR(__xludf.DUMMYFUNCTION("""COMPUTED_VALUE"""),"*期貨合計*")</f>
        <v>*期貨合計*</v>
      </c>
      <c r="Q61" s="420"/>
      <c r="R61" s="420"/>
      <c r="S61" s="419" t="str">
        <f ca="1">IFERROR(__xludf.DUMMYFUNCTION("""COMPUTED_VALUE"""),"*132,280*")</f>
        <v>*132,280*</v>
      </c>
      <c r="T61" s="419" t="str">
        <f ca="1">IFERROR(__xludf.DUMMYFUNCTION("""COMPUTED_VALUE"""),"*256,490,106*")</f>
        <v>*256,490,106*</v>
      </c>
      <c r="U61" s="419" t="str">
        <f ca="1">IFERROR(__xludf.DUMMYFUNCTION("""COMPUTED_VALUE"""),"*134,221*")</f>
        <v>*134,221*</v>
      </c>
      <c r="V61" s="419" t="str">
        <f ca="1">IFERROR(__xludf.DUMMYFUNCTION("""COMPUTED_VALUE"""),"*259,656,682*")</f>
        <v>*259,656,682*</v>
      </c>
      <c r="W61" s="419" t="str">
        <f ca="1">IFERROR(__xludf.DUMMYFUNCTION("""COMPUTED_VALUE"""),"*-1,941*")</f>
        <v>*-1,941*</v>
      </c>
      <c r="X61" s="571" t="str">
        <f ca="1">IFERROR(__xludf.DUMMYFUNCTION("""COMPUTED_VALUE"""),"*-3,166,576*")</f>
        <v>*-3,166,576*</v>
      </c>
    </row>
    <row r="62" spans="1:24" ht="12.5">
      <c r="A62" s="544"/>
      <c r="B62" s="420"/>
      <c r="C62" s="420" t="str">
        <f ca="1">IFERROR(__xludf.DUMMYFUNCTION("""COMPUTED_VALUE"""),"投信")</f>
        <v>投信</v>
      </c>
      <c r="D62" s="419">
        <f ca="1">IFERROR(__xludf.DUMMYFUNCTION("""COMPUTED_VALUE"""),0)</f>
        <v>0</v>
      </c>
      <c r="E62" s="419">
        <f ca="1">IFERROR(__xludf.DUMMYFUNCTION("""COMPUTED_VALUE"""),0)</f>
        <v>0</v>
      </c>
      <c r="F62" s="419">
        <f ca="1">IFERROR(__xludf.DUMMYFUNCTION("""COMPUTED_VALUE"""),0)</f>
        <v>0</v>
      </c>
      <c r="G62" s="419">
        <f ca="1">IFERROR(__xludf.DUMMYFUNCTION("""COMPUTED_VALUE"""),0)</f>
        <v>0</v>
      </c>
      <c r="H62" s="419">
        <f ca="1">IFERROR(__xludf.DUMMYFUNCTION("""COMPUTED_VALUE"""),0)</f>
        <v>0</v>
      </c>
      <c r="I62" s="419">
        <f ca="1">IFERROR(__xludf.DUMMYFUNCTION("""COMPUTED_VALUE"""),0)</f>
        <v>0</v>
      </c>
      <c r="J62" s="419">
        <f ca="1">IFERROR(__xludf.DUMMYFUNCTION("""COMPUTED_VALUE"""),1)</f>
        <v>1</v>
      </c>
      <c r="K62" s="419">
        <f ca="1">IFERROR(__xludf.DUMMYFUNCTION("""COMPUTED_VALUE"""),1565)</f>
        <v>1565</v>
      </c>
      <c r="L62" s="419">
        <f ca="1">IFERROR(__xludf.DUMMYFUNCTION("""COMPUTED_VALUE"""),0)</f>
        <v>0</v>
      </c>
      <c r="M62" s="419">
        <f ca="1">IFERROR(__xludf.DUMMYFUNCTION("""COMPUTED_VALUE"""),0)</f>
        <v>0</v>
      </c>
      <c r="N62" s="419">
        <f ca="1">IFERROR(__xludf.DUMMYFUNCTION("""COMPUTED_VALUE"""),1)</f>
        <v>1</v>
      </c>
      <c r="O62" s="575">
        <f ca="1">IFERROR(__xludf.DUMMYFUNCTION("""COMPUTED_VALUE"""),1565)</f>
        <v>1565</v>
      </c>
      <c r="P62" s="577"/>
      <c r="Q62" s="266"/>
      <c r="R62" s="266"/>
      <c r="S62" s="289"/>
      <c r="T62" s="289"/>
      <c r="U62" s="289"/>
      <c r="V62" s="289"/>
      <c r="W62" s="289"/>
      <c r="X62" s="578"/>
    </row>
    <row r="63" spans="1:24" ht="12.5">
      <c r="A63" s="544"/>
      <c r="B63" s="420"/>
      <c r="C63" s="420" t="str">
        <f ca="1">IFERROR(__xludf.DUMMYFUNCTION("""COMPUTED_VALUE"""),"外資")</f>
        <v>外資</v>
      </c>
      <c r="D63" s="419">
        <f ca="1">IFERROR(__xludf.DUMMYFUNCTION("""COMPUTED_VALUE"""),8)</f>
        <v>8</v>
      </c>
      <c r="E63" s="419">
        <f ca="1">IFERROR(__xludf.DUMMYFUNCTION("""COMPUTED_VALUE"""),12522)</f>
        <v>12522</v>
      </c>
      <c r="F63" s="419">
        <f ca="1">IFERROR(__xludf.DUMMYFUNCTION("""COMPUTED_VALUE"""),16)</f>
        <v>16</v>
      </c>
      <c r="G63" s="419">
        <f ca="1">IFERROR(__xludf.DUMMYFUNCTION("""COMPUTED_VALUE"""),24984)</f>
        <v>24984</v>
      </c>
      <c r="H63" s="419">
        <f ca="1">IFERROR(__xludf.DUMMYFUNCTION("""COMPUTED_VALUE"""),-8)</f>
        <v>-8</v>
      </c>
      <c r="I63" s="419">
        <f ca="1">IFERROR(__xludf.DUMMYFUNCTION("""COMPUTED_VALUE"""),-12462)</f>
        <v>-12462</v>
      </c>
      <c r="J63" s="419">
        <f ca="1">IFERROR(__xludf.DUMMYFUNCTION("""COMPUTED_VALUE"""),41)</f>
        <v>41</v>
      </c>
      <c r="K63" s="419">
        <f ca="1">IFERROR(__xludf.DUMMYFUNCTION("""COMPUTED_VALUE"""),64326)</f>
        <v>64326</v>
      </c>
      <c r="L63" s="419">
        <f ca="1">IFERROR(__xludf.DUMMYFUNCTION("""COMPUTED_VALUE"""),94)</f>
        <v>94</v>
      </c>
      <c r="M63" s="419">
        <f ca="1">IFERROR(__xludf.DUMMYFUNCTION("""COMPUTED_VALUE"""),147091)</f>
        <v>147091</v>
      </c>
      <c r="N63" s="419">
        <f ca="1">IFERROR(__xludf.DUMMYFUNCTION("""COMPUTED_VALUE"""),-53)</f>
        <v>-53</v>
      </c>
      <c r="O63" s="575">
        <f ca="1">IFERROR(__xludf.DUMMYFUNCTION("""COMPUTED_VALUE"""),-82765)</f>
        <v>-82765</v>
      </c>
      <c r="P63" s="577"/>
      <c r="Q63" s="266"/>
      <c r="R63" s="266"/>
      <c r="S63" s="289"/>
      <c r="T63" s="289"/>
      <c r="U63" s="289"/>
      <c r="V63" s="289"/>
      <c r="W63" s="289"/>
      <c r="X63" s="578"/>
    </row>
    <row r="64" spans="1:24" ht="12.5">
      <c r="A64" s="544">
        <f ca="1">IFERROR(__xludf.DUMMYFUNCTION("""COMPUTED_VALUE"""),20)</f>
        <v>20</v>
      </c>
      <c r="B64" s="420" t="str">
        <f ca="1">IFERROR(__xludf.DUMMYFUNCTION("""COMPUTED_VALUE"""),"美國那斯達克100期貨")</f>
        <v>美國那斯達克100期貨</v>
      </c>
      <c r="C64" s="420" t="str">
        <f ca="1">IFERROR(__xludf.DUMMYFUNCTION("""COMPUTED_VALUE"""),"自營商")</f>
        <v>自營商</v>
      </c>
      <c r="D64" s="419">
        <f ca="1">IFERROR(__xludf.DUMMYFUNCTION("""COMPUTED_VALUE"""),45)</f>
        <v>45</v>
      </c>
      <c r="E64" s="419">
        <f ca="1">IFERROR(__xludf.DUMMYFUNCTION("""COMPUTED_VALUE"""),67878)</f>
        <v>67878</v>
      </c>
      <c r="F64" s="419">
        <f ca="1">IFERROR(__xludf.DUMMYFUNCTION("""COMPUTED_VALUE"""),43)</f>
        <v>43</v>
      </c>
      <c r="G64" s="419">
        <f ca="1">IFERROR(__xludf.DUMMYFUNCTION("""COMPUTED_VALUE"""),64900)</f>
        <v>64900</v>
      </c>
      <c r="H64" s="419">
        <f ca="1">IFERROR(__xludf.DUMMYFUNCTION("""COMPUTED_VALUE"""),2)</f>
        <v>2</v>
      </c>
      <c r="I64" s="419">
        <f ca="1">IFERROR(__xludf.DUMMYFUNCTION("""COMPUTED_VALUE"""),2978)</f>
        <v>2978</v>
      </c>
      <c r="J64" s="419">
        <f ca="1">IFERROR(__xludf.DUMMYFUNCTION("""COMPUTED_VALUE"""),0)</f>
        <v>0</v>
      </c>
      <c r="K64" s="419">
        <f ca="1">IFERROR(__xludf.DUMMYFUNCTION("""COMPUTED_VALUE"""),0)</f>
        <v>0</v>
      </c>
      <c r="L64" s="419">
        <f ca="1">IFERROR(__xludf.DUMMYFUNCTION("""COMPUTED_VALUE"""),187)</f>
        <v>187</v>
      </c>
      <c r="M64" s="419">
        <f ca="1">IFERROR(__xludf.DUMMYFUNCTION("""COMPUTED_VALUE"""),283065)</f>
        <v>283065</v>
      </c>
      <c r="N64" s="419">
        <f ca="1">IFERROR(__xludf.DUMMYFUNCTION("""COMPUTED_VALUE"""),-187)</f>
        <v>-187</v>
      </c>
      <c r="O64" s="575">
        <f ca="1">IFERROR(__xludf.DUMMYFUNCTION("""COMPUTED_VALUE"""),-283065)</f>
        <v>-283065</v>
      </c>
      <c r="P64" s="577"/>
      <c r="Q64" s="266"/>
      <c r="R64" s="266"/>
      <c r="S64" s="289"/>
      <c r="T64" s="289"/>
      <c r="U64" s="289"/>
      <c r="V64" s="289"/>
      <c r="W64" s="289"/>
      <c r="X64" s="578"/>
    </row>
    <row r="65" spans="1:24" ht="12.5">
      <c r="A65" s="544"/>
      <c r="B65" s="420"/>
      <c r="C65" s="420" t="str">
        <f ca="1">IFERROR(__xludf.DUMMYFUNCTION("""COMPUTED_VALUE"""),"投信")</f>
        <v>投信</v>
      </c>
      <c r="D65" s="419">
        <f ca="1">IFERROR(__xludf.DUMMYFUNCTION("""COMPUTED_VALUE"""),0)</f>
        <v>0</v>
      </c>
      <c r="E65" s="419">
        <f ca="1">IFERROR(__xludf.DUMMYFUNCTION("""COMPUTED_VALUE"""),0)</f>
        <v>0</v>
      </c>
      <c r="F65" s="419">
        <f ca="1">IFERROR(__xludf.DUMMYFUNCTION("""COMPUTED_VALUE"""),0)</f>
        <v>0</v>
      </c>
      <c r="G65" s="419">
        <f ca="1">IFERROR(__xludf.DUMMYFUNCTION("""COMPUTED_VALUE"""),0)</f>
        <v>0</v>
      </c>
      <c r="H65" s="419">
        <f ca="1">IFERROR(__xludf.DUMMYFUNCTION("""COMPUTED_VALUE"""),0)</f>
        <v>0</v>
      </c>
      <c r="I65" s="419">
        <f ca="1">IFERROR(__xludf.DUMMYFUNCTION("""COMPUTED_VALUE"""),0)</f>
        <v>0</v>
      </c>
      <c r="J65" s="419">
        <f ca="1">IFERROR(__xludf.DUMMYFUNCTION("""COMPUTED_VALUE"""),2)</f>
        <v>2</v>
      </c>
      <c r="K65" s="419">
        <f ca="1">IFERROR(__xludf.DUMMYFUNCTION("""COMPUTED_VALUE"""),3017)</f>
        <v>3017</v>
      </c>
      <c r="L65" s="419">
        <f ca="1">IFERROR(__xludf.DUMMYFUNCTION("""COMPUTED_VALUE"""),0)</f>
        <v>0</v>
      </c>
      <c r="M65" s="419">
        <f ca="1">IFERROR(__xludf.DUMMYFUNCTION("""COMPUTED_VALUE"""),0)</f>
        <v>0</v>
      </c>
      <c r="N65" s="419">
        <f ca="1">IFERROR(__xludf.DUMMYFUNCTION("""COMPUTED_VALUE"""),2)</f>
        <v>2</v>
      </c>
      <c r="O65" s="575">
        <f ca="1">IFERROR(__xludf.DUMMYFUNCTION("""COMPUTED_VALUE"""),3017)</f>
        <v>3017</v>
      </c>
      <c r="P65" s="577"/>
      <c r="Q65" s="266"/>
      <c r="R65" s="266"/>
      <c r="S65" s="289"/>
      <c r="T65" s="289"/>
      <c r="U65" s="289"/>
      <c r="V65" s="289"/>
      <c r="W65" s="289"/>
      <c r="X65" s="578"/>
    </row>
    <row r="66" spans="1:24" ht="12.5">
      <c r="A66" s="544"/>
      <c r="B66" s="420"/>
      <c r="C66" s="420" t="str">
        <f ca="1">IFERROR(__xludf.DUMMYFUNCTION("""COMPUTED_VALUE"""),"外資")</f>
        <v>外資</v>
      </c>
      <c r="D66" s="419">
        <f ca="1">IFERROR(__xludf.DUMMYFUNCTION("""COMPUTED_VALUE"""),196)</f>
        <v>196</v>
      </c>
      <c r="E66" s="419">
        <f ca="1">IFERROR(__xludf.DUMMYFUNCTION("""COMPUTED_VALUE"""),295390)</f>
        <v>295390</v>
      </c>
      <c r="F66" s="419">
        <f ca="1">IFERROR(__xludf.DUMMYFUNCTION("""COMPUTED_VALUE"""),148)</f>
        <v>148</v>
      </c>
      <c r="G66" s="419">
        <f ca="1">IFERROR(__xludf.DUMMYFUNCTION("""COMPUTED_VALUE"""),223294)</f>
        <v>223294</v>
      </c>
      <c r="H66" s="419">
        <f ca="1">IFERROR(__xludf.DUMMYFUNCTION("""COMPUTED_VALUE"""),48)</f>
        <v>48</v>
      </c>
      <c r="I66" s="419">
        <f ca="1">IFERROR(__xludf.DUMMYFUNCTION("""COMPUTED_VALUE"""),72096)</f>
        <v>72096</v>
      </c>
      <c r="J66" s="419">
        <f ca="1">IFERROR(__xludf.DUMMYFUNCTION("""COMPUTED_VALUE"""),55)</f>
        <v>55</v>
      </c>
      <c r="K66" s="419">
        <f ca="1">IFERROR(__xludf.DUMMYFUNCTION("""COMPUTED_VALUE"""),83329)</f>
        <v>83329</v>
      </c>
      <c r="L66" s="419">
        <f ca="1">IFERROR(__xludf.DUMMYFUNCTION("""COMPUTED_VALUE"""),351)</f>
        <v>351</v>
      </c>
      <c r="M66" s="419">
        <f ca="1">IFERROR(__xludf.DUMMYFUNCTION("""COMPUTED_VALUE"""),530114)</f>
        <v>530114</v>
      </c>
      <c r="N66" s="419">
        <f ca="1">IFERROR(__xludf.DUMMYFUNCTION("""COMPUTED_VALUE"""),-296)</f>
        <v>-296</v>
      </c>
      <c r="O66" s="575">
        <f ca="1">IFERROR(__xludf.DUMMYFUNCTION("""COMPUTED_VALUE"""),-446785)</f>
        <v>-446785</v>
      </c>
      <c r="P66" s="577"/>
      <c r="Q66" s="266"/>
      <c r="R66" s="266"/>
      <c r="S66" s="289"/>
      <c r="T66" s="289"/>
      <c r="U66" s="289"/>
      <c r="V66" s="289"/>
      <c r="W66" s="289"/>
      <c r="X66" s="578"/>
    </row>
    <row r="67" spans="1:24" ht="12.5">
      <c r="A67" s="544">
        <f ca="1">IFERROR(__xludf.DUMMYFUNCTION("""COMPUTED_VALUE"""),21)</f>
        <v>21</v>
      </c>
      <c r="B67" s="420" t="str">
        <f ca="1">IFERROR(__xludf.DUMMYFUNCTION("""COMPUTED_VALUE"""),"美國道瓊期貨")</f>
        <v>美國道瓊期貨</v>
      </c>
      <c r="C67" s="420" t="str">
        <f ca="1">IFERROR(__xludf.DUMMYFUNCTION("""COMPUTED_VALUE"""),"自營商")</f>
        <v>自營商</v>
      </c>
      <c r="D67" s="419">
        <f ca="1">IFERROR(__xludf.DUMMYFUNCTION("""COMPUTED_VALUE"""),4)</f>
        <v>4</v>
      </c>
      <c r="E67" s="419">
        <f ca="1">IFERROR(__xludf.DUMMYFUNCTION("""COMPUTED_VALUE"""),4334)</f>
        <v>4334</v>
      </c>
      <c r="F67" s="419">
        <f ca="1">IFERROR(__xludf.DUMMYFUNCTION("""COMPUTED_VALUE"""),3)</f>
        <v>3</v>
      </c>
      <c r="G67" s="419">
        <f ca="1">IFERROR(__xludf.DUMMYFUNCTION("""COMPUTED_VALUE"""),3256)</f>
        <v>3256</v>
      </c>
      <c r="H67" s="419">
        <f ca="1">IFERROR(__xludf.DUMMYFUNCTION("""COMPUTED_VALUE"""),1)</f>
        <v>1</v>
      </c>
      <c r="I67" s="419">
        <f ca="1">IFERROR(__xludf.DUMMYFUNCTION("""COMPUTED_VALUE"""),1078)</f>
        <v>1078</v>
      </c>
      <c r="J67" s="419">
        <f ca="1">IFERROR(__xludf.DUMMYFUNCTION("""COMPUTED_VALUE"""),0)</f>
        <v>0</v>
      </c>
      <c r="K67" s="419">
        <f ca="1">IFERROR(__xludf.DUMMYFUNCTION("""COMPUTED_VALUE"""),0)</f>
        <v>0</v>
      </c>
      <c r="L67" s="419">
        <f ca="1">IFERROR(__xludf.DUMMYFUNCTION("""COMPUTED_VALUE"""),48)</f>
        <v>48</v>
      </c>
      <c r="M67" s="419">
        <f ca="1">IFERROR(__xludf.DUMMYFUNCTION("""COMPUTED_VALUE"""),52098)</f>
        <v>52098</v>
      </c>
      <c r="N67" s="419">
        <f ca="1">IFERROR(__xludf.DUMMYFUNCTION("""COMPUTED_VALUE"""),-48)</f>
        <v>-48</v>
      </c>
      <c r="O67" s="575">
        <f ca="1">IFERROR(__xludf.DUMMYFUNCTION("""COMPUTED_VALUE"""),-52098)</f>
        <v>-52098</v>
      </c>
      <c r="P67" s="577"/>
      <c r="Q67" s="266"/>
      <c r="R67" s="266"/>
      <c r="S67" s="289"/>
      <c r="T67" s="289"/>
      <c r="U67" s="289"/>
      <c r="V67" s="289"/>
      <c r="W67" s="289"/>
      <c r="X67" s="578"/>
    </row>
    <row r="68" spans="1:24" ht="12.5">
      <c r="A68" s="544"/>
      <c r="B68" s="420"/>
      <c r="C68" s="420" t="str">
        <f ca="1">IFERROR(__xludf.DUMMYFUNCTION("""COMPUTED_VALUE"""),"投信")</f>
        <v>投信</v>
      </c>
      <c r="D68" s="419">
        <f ca="1">IFERROR(__xludf.DUMMYFUNCTION("""COMPUTED_VALUE"""),0)</f>
        <v>0</v>
      </c>
      <c r="E68" s="419">
        <f ca="1">IFERROR(__xludf.DUMMYFUNCTION("""COMPUTED_VALUE"""),0)</f>
        <v>0</v>
      </c>
      <c r="F68" s="419">
        <f ca="1">IFERROR(__xludf.DUMMYFUNCTION("""COMPUTED_VALUE"""),0)</f>
        <v>0</v>
      </c>
      <c r="G68" s="419">
        <f ca="1">IFERROR(__xludf.DUMMYFUNCTION("""COMPUTED_VALUE"""),0)</f>
        <v>0</v>
      </c>
      <c r="H68" s="419">
        <f ca="1">IFERROR(__xludf.DUMMYFUNCTION("""COMPUTED_VALUE"""),0)</f>
        <v>0</v>
      </c>
      <c r="I68" s="419">
        <f ca="1">IFERROR(__xludf.DUMMYFUNCTION("""COMPUTED_VALUE"""),0)</f>
        <v>0</v>
      </c>
      <c r="J68" s="419">
        <f ca="1">IFERROR(__xludf.DUMMYFUNCTION("""COMPUTED_VALUE"""),1)</f>
        <v>1</v>
      </c>
      <c r="K68" s="419">
        <f ca="1">IFERROR(__xludf.DUMMYFUNCTION("""COMPUTED_VALUE"""),1079)</f>
        <v>1079</v>
      </c>
      <c r="L68" s="419">
        <f ca="1">IFERROR(__xludf.DUMMYFUNCTION("""COMPUTED_VALUE"""),0)</f>
        <v>0</v>
      </c>
      <c r="M68" s="419">
        <f ca="1">IFERROR(__xludf.DUMMYFUNCTION("""COMPUTED_VALUE"""),0)</f>
        <v>0</v>
      </c>
      <c r="N68" s="419">
        <f ca="1">IFERROR(__xludf.DUMMYFUNCTION("""COMPUTED_VALUE"""),1)</f>
        <v>1</v>
      </c>
      <c r="O68" s="575">
        <f ca="1">IFERROR(__xludf.DUMMYFUNCTION("""COMPUTED_VALUE"""),1079)</f>
        <v>1079</v>
      </c>
      <c r="P68" s="577"/>
      <c r="Q68" s="266"/>
      <c r="R68" s="266"/>
      <c r="S68" s="289"/>
      <c r="T68" s="289"/>
      <c r="U68" s="289"/>
      <c r="V68" s="289"/>
      <c r="W68" s="289"/>
      <c r="X68" s="578"/>
    </row>
    <row r="69" spans="1:24" ht="12.5">
      <c r="A69" s="544"/>
      <c r="B69" s="420"/>
      <c r="C69" s="420" t="str">
        <f ca="1">IFERROR(__xludf.DUMMYFUNCTION("""COMPUTED_VALUE"""),"外資")</f>
        <v>外資</v>
      </c>
      <c r="D69" s="419">
        <f ca="1">IFERROR(__xludf.DUMMYFUNCTION("""COMPUTED_VALUE"""),35)</f>
        <v>35</v>
      </c>
      <c r="E69" s="419">
        <f ca="1">IFERROR(__xludf.DUMMYFUNCTION("""COMPUTED_VALUE"""),37812)</f>
        <v>37812</v>
      </c>
      <c r="F69" s="419">
        <f ca="1">IFERROR(__xludf.DUMMYFUNCTION("""COMPUTED_VALUE"""),47)</f>
        <v>47</v>
      </c>
      <c r="G69" s="419">
        <f ca="1">IFERROR(__xludf.DUMMYFUNCTION("""COMPUTED_VALUE"""),50754)</f>
        <v>50754</v>
      </c>
      <c r="H69" s="419">
        <f ca="1">IFERROR(__xludf.DUMMYFUNCTION("""COMPUTED_VALUE"""),-12)</f>
        <v>-12</v>
      </c>
      <c r="I69" s="419">
        <f ca="1">IFERROR(__xludf.DUMMYFUNCTION("""COMPUTED_VALUE"""),-12941)</f>
        <v>-12941</v>
      </c>
      <c r="J69" s="419">
        <f ca="1">IFERROR(__xludf.DUMMYFUNCTION("""COMPUTED_VALUE"""),170)</f>
        <v>170</v>
      </c>
      <c r="K69" s="419">
        <f ca="1">IFERROR(__xludf.DUMMYFUNCTION("""COMPUTED_VALUE"""),183978)</f>
        <v>183978</v>
      </c>
      <c r="L69" s="419">
        <f ca="1">IFERROR(__xludf.DUMMYFUNCTION("""COMPUTED_VALUE"""),67)</f>
        <v>67</v>
      </c>
      <c r="M69" s="419">
        <f ca="1">IFERROR(__xludf.DUMMYFUNCTION("""COMPUTED_VALUE"""),72325)</f>
        <v>72325</v>
      </c>
      <c r="N69" s="419">
        <f ca="1">IFERROR(__xludf.DUMMYFUNCTION("""COMPUTED_VALUE"""),103)</f>
        <v>103</v>
      </c>
      <c r="O69" s="575">
        <f ca="1">IFERROR(__xludf.DUMMYFUNCTION("""COMPUTED_VALUE"""),111653)</f>
        <v>111653</v>
      </c>
      <c r="P69" s="577"/>
      <c r="Q69" s="266"/>
      <c r="R69" s="266"/>
      <c r="S69" s="289"/>
      <c r="T69" s="289"/>
      <c r="U69" s="289"/>
      <c r="V69" s="289"/>
      <c r="W69" s="289"/>
      <c r="X69" s="578"/>
    </row>
    <row r="70" spans="1:24" ht="12.5">
      <c r="A70" s="544">
        <f ca="1">IFERROR(__xludf.DUMMYFUNCTION("""COMPUTED_VALUE"""),22)</f>
        <v>22</v>
      </c>
      <c r="B70" s="420" t="str">
        <f ca="1">IFERROR(__xludf.DUMMYFUNCTION("""COMPUTED_VALUE"""),"美國費城半導體期貨")</f>
        <v>美國費城半導體期貨</v>
      </c>
      <c r="C70" s="420" t="str">
        <f ca="1">IFERROR(__xludf.DUMMYFUNCTION("""COMPUTED_VALUE"""),"自營商")</f>
        <v>自營商</v>
      </c>
      <c r="D70" s="419">
        <f ca="1">IFERROR(__xludf.DUMMYFUNCTION("""COMPUTED_VALUE"""),16)</f>
        <v>16</v>
      </c>
      <c r="E70" s="419">
        <f ca="1">IFERROR(__xludf.DUMMYFUNCTION("""COMPUTED_VALUE"""),16090)</f>
        <v>16090</v>
      </c>
      <c r="F70" s="419">
        <f ca="1">IFERROR(__xludf.DUMMYFUNCTION("""COMPUTED_VALUE"""),17)</f>
        <v>17</v>
      </c>
      <c r="G70" s="419">
        <f ca="1">IFERROR(__xludf.DUMMYFUNCTION("""COMPUTED_VALUE"""),16983)</f>
        <v>16983</v>
      </c>
      <c r="H70" s="419">
        <f ca="1">IFERROR(__xludf.DUMMYFUNCTION("""COMPUTED_VALUE"""),-1)</f>
        <v>-1</v>
      </c>
      <c r="I70" s="419">
        <f ca="1">IFERROR(__xludf.DUMMYFUNCTION("""COMPUTED_VALUE"""),-894)</f>
        <v>-894</v>
      </c>
      <c r="J70" s="419">
        <f ca="1">IFERROR(__xludf.DUMMYFUNCTION("""COMPUTED_VALUE"""),0)</f>
        <v>0</v>
      </c>
      <c r="K70" s="419">
        <f ca="1">IFERROR(__xludf.DUMMYFUNCTION("""COMPUTED_VALUE"""),0)</f>
        <v>0</v>
      </c>
      <c r="L70" s="419">
        <f ca="1">IFERROR(__xludf.DUMMYFUNCTION("""COMPUTED_VALUE"""),483)</f>
        <v>483</v>
      </c>
      <c r="M70" s="419">
        <f ca="1">IFERROR(__xludf.DUMMYFUNCTION("""COMPUTED_VALUE"""),479909)</f>
        <v>479909</v>
      </c>
      <c r="N70" s="419">
        <f ca="1">IFERROR(__xludf.DUMMYFUNCTION("""COMPUTED_VALUE"""),-483)</f>
        <v>-483</v>
      </c>
      <c r="O70" s="575">
        <f ca="1">IFERROR(__xludf.DUMMYFUNCTION("""COMPUTED_VALUE"""),-479909)</f>
        <v>-479909</v>
      </c>
      <c r="P70" s="577"/>
      <c r="Q70" s="266"/>
      <c r="R70" s="266"/>
      <c r="S70" s="289"/>
      <c r="T70" s="289"/>
      <c r="U70" s="289"/>
      <c r="V70" s="289"/>
      <c r="W70" s="289"/>
      <c r="X70" s="578"/>
    </row>
    <row r="71" spans="1:24" ht="12.5">
      <c r="A71" s="544"/>
      <c r="B71" s="420"/>
      <c r="C71" s="420" t="str">
        <f ca="1">IFERROR(__xludf.DUMMYFUNCTION("""COMPUTED_VALUE"""),"投信")</f>
        <v>投信</v>
      </c>
      <c r="D71" s="419">
        <f ca="1">IFERROR(__xludf.DUMMYFUNCTION("""COMPUTED_VALUE"""),0)</f>
        <v>0</v>
      </c>
      <c r="E71" s="419">
        <f ca="1">IFERROR(__xludf.DUMMYFUNCTION("""COMPUTED_VALUE"""),0)</f>
        <v>0</v>
      </c>
      <c r="F71" s="419">
        <f ca="1">IFERROR(__xludf.DUMMYFUNCTION("""COMPUTED_VALUE"""),0)</f>
        <v>0</v>
      </c>
      <c r="G71" s="419">
        <f ca="1">IFERROR(__xludf.DUMMYFUNCTION("""COMPUTED_VALUE"""),0)</f>
        <v>0</v>
      </c>
      <c r="H71" s="419">
        <f ca="1">IFERROR(__xludf.DUMMYFUNCTION("""COMPUTED_VALUE"""),0)</f>
        <v>0</v>
      </c>
      <c r="I71" s="419">
        <f ca="1">IFERROR(__xludf.DUMMYFUNCTION("""COMPUTED_VALUE"""),0)</f>
        <v>0</v>
      </c>
      <c r="J71" s="419">
        <f ca="1">IFERROR(__xludf.DUMMYFUNCTION("""COMPUTED_VALUE"""),0)</f>
        <v>0</v>
      </c>
      <c r="K71" s="419">
        <f ca="1">IFERROR(__xludf.DUMMYFUNCTION("""COMPUTED_VALUE"""),0)</f>
        <v>0</v>
      </c>
      <c r="L71" s="419">
        <f ca="1">IFERROR(__xludf.DUMMYFUNCTION("""COMPUTED_VALUE"""),0)</f>
        <v>0</v>
      </c>
      <c r="M71" s="419">
        <f ca="1">IFERROR(__xludf.DUMMYFUNCTION("""COMPUTED_VALUE"""),0)</f>
        <v>0</v>
      </c>
      <c r="N71" s="419">
        <f ca="1">IFERROR(__xludf.DUMMYFUNCTION("""COMPUTED_VALUE"""),0)</f>
        <v>0</v>
      </c>
      <c r="O71" s="575">
        <f ca="1">IFERROR(__xludf.DUMMYFUNCTION("""COMPUTED_VALUE"""),0)</f>
        <v>0</v>
      </c>
      <c r="P71" s="577"/>
      <c r="Q71" s="266"/>
      <c r="R71" s="266"/>
      <c r="S71" s="289"/>
      <c r="T71" s="289"/>
      <c r="U71" s="289"/>
      <c r="V71" s="289"/>
      <c r="W71" s="289"/>
      <c r="X71" s="578"/>
    </row>
    <row r="72" spans="1:24" ht="12.5">
      <c r="A72" s="544"/>
      <c r="B72" s="420"/>
      <c r="C72" s="420" t="str">
        <f ca="1">IFERROR(__xludf.DUMMYFUNCTION("""COMPUTED_VALUE"""),"外資")</f>
        <v>外資</v>
      </c>
      <c r="D72" s="419">
        <f ca="1">IFERROR(__xludf.DUMMYFUNCTION("""COMPUTED_VALUE"""),6)</f>
        <v>6</v>
      </c>
      <c r="E72" s="419">
        <f ca="1">IFERROR(__xludf.DUMMYFUNCTION("""COMPUTED_VALUE"""),5962)</f>
        <v>5962</v>
      </c>
      <c r="F72" s="419">
        <f ca="1">IFERROR(__xludf.DUMMYFUNCTION("""COMPUTED_VALUE"""),2)</f>
        <v>2</v>
      </c>
      <c r="G72" s="419">
        <f ca="1">IFERROR(__xludf.DUMMYFUNCTION("""COMPUTED_VALUE"""),2028)</f>
        <v>2028</v>
      </c>
      <c r="H72" s="419">
        <f ca="1">IFERROR(__xludf.DUMMYFUNCTION("""COMPUTED_VALUE"""),4)</f>
        <v>4</v>
      </c>
      <c r="I72" s="419">
        <f ca="1">IFERROR(__xludf.DUMMYFUNCTION("""COMPUTED_VALUE"""),3934)</f>
        <v>3934</v>
      </c>
      <c r="J72" s="419">
        <f ca="1">IFERROR(__xludf.DUMMYFUNCTION("""COMPUTED_VALUE"""),407)</f>
        <v>407</v>
      </c>
      <c r="K72" s="419">
        <f ca="1">IFERROR(__xludf.DUMMYFUNCTION("""COMPUTED_VALUE"""),404395)</f>
        <v>404395</v>
      </c>
      <c r="L72" s="419">
        <f ca="1">IFERROR(__xludf.DUMMYFUNCTION("""COMPUTED_VALUE"""),96)</f>
        <v>96</v>
      </c>
      <c r="M72" s="419">
        <f ca="1">IFERROR(__xludf.DUMMYFUNCTION("""COMPUTED_VALUE"""),95386)</f>
        <v>95386</v>
      </c>
      <c r="N72" s="419">
        <f ca="1">IFERROR(__xludf.DUMMYFUNCTION("""COMPUTED_VALUE"""),311)</f>
        <v>311</v>
      </c>
      <c r="O72" s="575">
        <f ca="1">IFERROR(__xludf.DUMMYFUNCTION("""COMPUTED_VALUE"""),309009)</f>
        <v>309009</v>
      </c>
      <c r="P72" s="577"/>
      <c r="Q72" s="266"/>
      <c r="R72" s="266"/>
      <c r="S72" s="289"/>
      <c r="T72" s="289"/>
      <c r="U72" s="289"/>
      <c r="V72" s="289"/>
      <c r="W72" s="289"/>
      <c r="X72" s="578"/>
    </row>
    <row r="73" spans="1:24" ht="12.5">
      <c r="A73" s="544">
        <f ca="1">IFERROR(__xludf.DUMMYFUNCTION("""COMPUTED_VALUE"""),23)</f>
        <v>23</v>
      </c>
      <c r="B73" s="420" t="str">
        <f ca="1">IFERROR(__xludf.DUMMYFUNCTION("""COMPUTED_VALUE"""),"英國富時100期貨")</f>
        <v>英國富時100期貨</v>
      </c>
      <c r="C73" s="420" t="str">
        <f ca="1">IFERROR(__xludf.DUMMYFUNCTION("""COMPUTED_VALUE"""),"自營商")</f>
        <v>自營商</v>
      </c>
      <c r="D73" s="419">
        <f ca="1">IFERROR(__xludf.DUMMYFUNCTION("""COMPUTED_VALUE"""),3)</f>
        <v>3</v>
      </c>
      <c r="E73" s="419">
        <f ca="1">IFERROR(__xludf.DUMMYFUNCTION("""COMPUTED_VALUE"""),1625)</f>
        <v>1625</v>
      </c>
      <c r="F73" s="419">
        <f ca="1">IFERROR(__xludf.DUMMYFUNCTION("""COMPUTED_VALUE"""),3)</f>
        <v>3</v>
      </c>
      <c r="G73" s="419">
        <f ca="1">IFERROR(__xludf.DUMMYFUNCTION("""COMPUTED_VALUE"""),1631)</f>
        <v>1631</v>
      </c>
      <c r="H73" s="419">
        <f ca="1">IFERROR(__xludf.DUMMYFUNCTION("""COMPUTED_VALUE"""),0)</f>
        <v>0</v>
      </c>
      <c r="I73" s="419">
        <f ca="1">IFERROR(__xludf.DUMMYFUNCTION("""COMPUTED_VALUE"""),-7)</f>
        <v>-7</v>
      </c>
      <c r="J73" s="419">
        <f ca="1">IFERROR(__xludf.DUMMYFUNCTION("""COMPUTED_VALUE"""),68)</f>
        <v>68</v>
      </c>
      <c r="K73" s="419">
        <f ca="1">IFERROR(__xludf.DUMMYFUNCTION("""COMPUTED_VALUE"""),36816)</f>
        <v>36816</v>
      </c>
      <c r="L73" s="419">
        <f ca="1">IFERROR(__xludf.DUMMYFUNCTION("""COMPUTED_VALUE"""),0)</f>
        <v>0</v>
      </c>
      <c r="M73" s="419">
        <f ca="1">IFERROR(__xludf.DUMMYFUNCTION("""COMPUTED_VALUE"""),0)</f>
        <v>0</v>
      </c>
      <c r="N73" s="419">
        <f ca="1">IFERROR(__xludf.DUMMYFUNCTION("""COMPUTED_VALUE"""),68)</f>
        <v>68</v>
      </c>
      <c r="O73" s="575">
        <f ca="1">IFERROR(__xludf.DUMMYFUNCTION("""COMPUTED_VALUE"""),36816)</f>
        <v>36816</v>
      </c>
      <c r="P73" s="577"/>
      <c r="Q73" s="266"/>
      <c r="R73" s="266"/>
      <c r="S73" s="289"/>
      <c r="T73" s="289"/>
      <c r="U73" s="289"/>
      <c r="V73" s="289"/>
      <c r="W73" s="289"/>
      <c r="X73" s="578"/>
    </row>
    <row r="74" spans="1:24" ht="12.5">
      <c r="A74" s="544"/>
      <c r="B74" s="420"/>
      <c r="C74" s="420" t="str">
        <f ca="1">IFERROR(__xludf.DUMMYFUNCTION("""COMPUTED_VALUE"""),"投信")</f>
        <v>投信</v>
      </c>
      <c r="D74" s="419">
        <f ca="1">IFERROR(__xludf.DUMMYFUNCTION("""COMPUTED_VALUE"""),0)</f>
        <v>0</v>
      </c>
      <c r="E74" s="419">
        <f ca="1">IFERROR(__xludf.DUMMYFUNCTION("""COMPUTED_VALUE"""),0)</f>
        <v>0</v>
      </c>
      <c r="F74" s="419">
        <f ca="1">IFERROR(__xludf.DUMMYFUNCTION("""COMPUTED_VALUE"""),0)</f>
        <v>0</v>
      </c>
      <c r="G74" s="419">
        <f ca="1">IFERROR(__xludf.DUMMYFUNCTION("""COMPUTED_VALUE"""),0)</f>
        <v>0</v>
      </c>
      <c r="H74" s="419">
        <f ca="1">IFERROR(__xludf.DUMMYFUNCTION("""COMPUTED_VALUE"""),0)</f>
        <v>0</v>
      </c>
      <c r="I74" s="419">
        <f ca="1">IFERROR(__xludf.DUMMYFUNCTION("""COMPUTED_VALUE"""),0)</f>
        <v>0</v>
      </c>
      <c r="J74" s="419">
        <f ca="1">IFERROR(__xludf.DUMMYFUNCTION("""COMPUTED_VALUE"""),0)</f>
        <v>0</v>
      </c>
      <c r="K74" s="419">
        <f ca="1">IFERROR(__xludf.DUMMYFUNCTION("""COMPUTED_VALUE"""),0)</f>
        <v>0</v>
      </c>
      <c r="L74" s="419">
        <f ca="1">IFERROR(__xludf.DUMMYFUNCTION("""COMPUTED_VALUE"""),0)</f>
        <v>0</v>
      </c>
      <c r="M74" s="419">
        <f ca="1">IFERROR(__xludf.DUMMYFUNCTION("""COMPUTED_VALUE"""),0)</f>
        <v>0</v>
      </c>
      <c r="N74" s="419">
        <f ca="1">IFERROR(__xludf.DUMMYFUNCTION("""COMPUTED_VALUE"""),0)</f>
        <v>0</v>
      </c>
      <c r="O74" s="575">
        <f ca="1">IFERROR(__xludf.DUMMYFUNCTION("""COMPUTED_VALUE"""),0)</f>
        <v>0</v>
      </c>
      <c r="P74" s="577"/>
      <c r="Q74" s="266"/>
      <c r="R74" s="266"/>
      <c r="S74" s="289"/>
      <c r="T74" s="289"/>
      <c r="U74" s="289"/>
      <c r="V74" s="289"/>
      <c r="W74" s="289"/>
      <c r="X74" s="578"/>
    </row>
    <row r="75" spans="1:24" ht="12.5">
      <c r="A75" s="544"/>
      <c r="B75" s="420"/>
      <c r="C75" s="420" t="str">
        <f ca="1">IFERROR(__xludf.DUMMYFUNCTION("""COMPUTED_VALUE"""),"外資")</f>
        <v>外資</v>
      </c>
      <c r="D75" s="419">
        <f ca="1">IFERROR(__xludf.DUMMYFUNCTION("""COMPUTED_VALUE"""),5)</f>
        <v>5</v>
      </c>
      <c r="E75" s="419">
        <f ca="1">IFERROR(__xludf.DUMMYFUNCTION("""COMPUTED_VALUE"""),2717)</f>
        <v>2717</v>
      </c>
      <c r="F75" s="419">
        <f ca="1">IFERROR(__xludf.DUMMYFUNCTION("""COMPUTED_VALUE"""),5)</f>
        <v>5</v>
      </c>
      <c r="G75" s="419">
        <f ca="1">IFERROR(__xludf.DUMMYFUNCTION("""COMPUTED_VALUE"""),2706)</f>
        <v>2706</v>
      </c>
      <c r="H75" s="419">
        <f ca="1">IFERROR(__xludf.DUMMYFUNCTION("""COMPUTED_VALUE"""),0)</f>
        <v>0</v>
      </c>
      <c r="I75" s="419">
        <f ca="1">IFERROR(__xludf.DUMMYFUNCTION("""COMPUTED_VALUE"""),11)</f>
        <v>11</v>
      </c>
      <c r="J75" s="419">
        <f ca="1">IFERROR(__xludf.DUMMYFUNCTION("""COMPUTED_VALUE"""),125)</f>
        <v>125</v>
      </c>
      <c r="K75" s="419">
        <f ca="1">IFERROR(__xludf.DUMMYFUNCTION("""COMPUTED_VALUE"""),67638)</f>
        <v>67638</v>
      </c>
      <c r="L75" s="419">
        <f ca="1">IFERROR(__xludf.DUMMYFUNCTION("""COMPUTED_VALUE"""),13)</f>
        <v>13</v>
      </c>
      <c r="M75" s="419">
        <f ca="1">IFERROR(__xludf.DUMMYFUNCTION("""COMPUTED_VALUE"""),7081)</f>
        <v>7081</v>
      </c>
      <c r="N75" s="419">
        <f ca="1">IFERROR(__xludf.DUMMYFUNCTION("""COMPUTED_VALUE"""),112)</f>
        <v>112</v>
      </c>
      <c r="O75" s="575">
        <f ca="1">IFERROR(__xludf.DUMMYFUNCTION("""COMPUTED_VALUE"""),60557)</f>
        <v>60557</v>
      </c>
      <c r="P75" s="577"/>
      <c r="Q75" s="266"/>
      <c r="R75" s="266"/>
      <c r="S75" s="289"/>
      <c r="T75" s="289"/>
      <c r="U75" s="289"/>
      <c r="V75" s="289"/>
      <c r="W75" s="289"/>
      <c r="X75" s="578"/>
    </row>
    <row r="76" spans="1:24" ht="12.5">
      <c r="A76" s="544" t="str">
        <f ca="1">IFERROR(__xludf.DUMMYFUNCTION("""COMPUTED_VALUE"""),"期貨
小計")</f>
        <v>期貨
小計</v>
      </c>
      <c r="B76" s="420"/>
      <c r="C76" s="420" t="str">
        <f ca="1">IFERROR(__xludf.DUMMYFUNCTION("""COMPUTED_VALUE"""),"自營商")</f>
        <v>自營商</v>
      </c>
      <c r="D76" s="419">
        <f ca="1">IFERROR(__xludf.DUMMYFUNCTION("""COMPUTED_VALUE"""),109787)</f>
        <v>109787</v>
      </c>
      <c r="E76" s="419">
        <f ca="1">IFERROR(__xludf.DUMMYFUNCTION("""COMPUTED_VALUE"""),127163135)</f>
        <v>127163135</v>
      </c>
      <c r="F76" s="419">
        <f ca="1">IFERROR(__xludf.DUMMYFUNCTION("""COMPUTED_VALUE"""),107195)</f>
        <v>107195</v>
      </c>
      <c r="G76" s="419">
        <f ca="1">IFERROR(__xludf.DUMMYFUNCTION("""COMPUTED_VALUE"""),116022170)</f>
        <v>116022170</v>
      </c>
      <c r="H76" s="419">
        <f ca="1">IFERROR(__xludf.DUMMYFUNCTION("""COMPUTED_VALUE"""),2592)</f>
        <v>2592</v>
      </c>
      <c r="I76" s="419">
        <f ca="1">IFERROR(__xludf.DUMMYFUNCTION("""COMPUTED_VALUE"""),11140964)</f>
        <v>11140964</v>
      </c>
      <c r="J76" s="419">
        <f ca="1">IFERROR(__xludf.DUMMYFUNCTION("""COMPUTED_VALUE"""),148508)</f>
        <v>148508</v>
      </c>
      <c r="K76" s="419">
        <f ca="1">IFERROR(__xludf.DUMMYFUNCTION("""COMPUTED_VALUE"""),119935122)</f>
        <v>119935122</v>
      </c>
      <c r="L76" s="419">
        <f ca="1">IFERROR(__xludf.DUMMYFUNCTION("""COMPUTED_VALUE"""),426980)</f>
        <v>426980</v>
      </c>
      <c r="M76" s="419">
        <f ca="1">IFERROR(__xludf.DUMMYFUNCTION("""COMPUTED_VALUE"""),309920632)</f>
        <v>309920632</v>
      </c>
      <c r="N76" s="419">
        <f ca="1">IFERROR(__xludf.DUMMYFUNCTION("""COMPUTED_VALUE"""),-278472)</f>
        <v>-278472</v>
      </c>
      <c r="O76" s="575">
        <f ca="1">IFERROR(__xludf.DUMMYFUNCTION("""COMPUTED_VALUE"""),-189985510)</f>
        <v>-189985510</v>
      </c>
      <c r="P76" s="577"/>
      <c r="Q76" s="266"/>
      <c r="R76" s="266"/>
      <c r="S76" s="289"/>
      <c r="T76" s="289"/>
      <c r="U76" s="289"/>
      <c r="V76" s="289"/>
      <c r="W76" s="289"/>
      <c r="X76" s="578"/>
    </row>
    <row r="77" spans="1:24" ht="12.5">
      <c r="A77" s="544"/>
      <c r="B77" s="420"/>
      <c r="C77" s="420" t="str">
        <f ca="1">IFERROR(__xludf.DUMMYFUNCTION("""COMPUTED_VALUE"""),"投信")</f>
        <v>投信</v>
      </c>
      <c r="D77" s="419">
        <f ca="1">IFERROR(__xludf.DUMMYFUNCTION("""COMPUTED_VALUE"""),7803)</f>
        <v>7803</v>
      </c>
      <c r="E77" s="419">
        <f ca="1">IFERROR(__xludf.DUMMYFUNCTION("""COMPUTED_VALUE"""),62963953)</f>
        <v>62963953</v>
      </c>
      <c r="F77" s="419">
        <f ca="1">IFERROR(__xludf.DUMMYFUNCTION("""COMPUTED_VALUE"""),9781)</f>
        <v>9781</v>
      </c>
      <c r="G77" s="419">
        <f ca="1">IFERROR(__xludf.DUMMYFUNCTION("""COMPUTED_VALUE"""),81112018)</f>
        <v>81112018</v>
      </c>
      <c r="H77" s="419">
        <f ca="1">IFERROR(__xludf.DUMMYFUNCTION("""COMPUTED_VALUE"""),-1978)</f>
        <v>-1978</v>
      </c>
      <c r="I77" s="419">
        <f ca="1">IFERROR(__xludf.DUMMYFUNCTION("""COMPUTED_VALUE"""),-18148066)</f>
        <v>-18148066</v>
      </c>
      <c r="J77" s="419">
        <f ca="1">IFERROR(__xludf.DUMMYFUNCTION("""COMPUTED_VALUE"""),97851)</f>
        <v>97851</v>
      </c>
      <c r="K77" s="419">
        <f ca="1">IFERROR(__xludf.DUMMYFUNCTION("""COMPUTED_VALUE"""),786043737)</f>
        <v>786043737</v>
      </c>
      <c r="L77" s="419">
        <f ca="1">IFERROR(__xludf.DUMMYFUNCTION("""COMPUTED_VALUE"""),3836)</f>
        <v>3836</v>
      </c>
      <c r="M77" s="419">
        <f ca="1">IFERROR(__xludf.DUMMYFUNCTION("""COMPUTED_VALUE"""),32072112)</f>
        <v>32072112</v>
      </c>
      <c r="N77" s="419">
        <f ca="1">IFERROR(__xludf.DUMMYFUNCTION("""COMPUTED_VALUE"""),94015)</f>
        <v>94015</v>
      </c>
      <c r="O77" s="575">
        <f ca="1">IFERROR(__xludf.DUMMYFUNCTION("""COMPUTED_VALUE"""),753971625)</f>
        <v>753971625</v>
      </c>
      <c r="P77" s="577"/>
      <c r="Q77" s="266"/>
      <c r="R77" s="266"/>
      <c r="S77" s="289"/>
      <c r="T77" s="289"/>
      <c r="U77" s="289"/>
      <c r="V77" s="289"/>
      <c r="W77" s="289"/>
      <c r="X77" s="578"/>
    </row>
    <row r="78" spans="1:24" ht="13" thickBot="1">
      <c r="A78" s="535"/>
      <c r="B78" s="537"/>
      <c r="C78" s="537" t="str">
        <f ca="1">IFERROR(__xludf.DUMMYFUNCTION("""COMPUTED_VALUE"""),"外資")</f>
        <v>外資</v>
      </c>
      <c r="D78" s="536">
        <f ca="1">IFERROR(__xludf.DUMMYFUNCTION("""COMPUTED_VALUE"""),768148)</f>
        <v>768148</v>
      </c>
      <c r="E78" s="536">
        <f ca="1">IFERROR(__xludf.DUMMYFUNCTION("""COMPUTED_VALUE"""),1051232447)</f>
        <v>1051232447</v>
      </c>
      <c r="F78" s="536">
        <f ca="1">IFERROR(__xludf.DUMMYFUNCTION("""COMPUTED_VALUE"""),767185)</f>
        <v>767185</v>
      </c>
      <c r="G78" s="536">
        <f ca="1">IFERROR(__xludf.DUMMYFUNCTION("""COMPUTED_VALUE"""),1040471234)</f>
        <v>1040471234</v>
      </c>
      <c r="H78" s="536">
        <f ca="1">IFERROR(__xludf.DUMMYFUNCTION("""COMPUTED_VALUE"""),963)</f>
        <v>963</v>
      </c>
      <c r="I78" s="536">
        <f ca="1">IFERROR(__xludf.DUMMYFUNCTION("""COMPUTED_VALUE"""),10761212)</f>
        <v>10761212</v>
      </c>
      <c r="J78" s="536">
        <f ca="1">IFERROR(__xludf.DUMMYFUNCTION("""COMPUTED_VALUE"""),272537)</f>
        <v>272537</v>
      </c>
      <c r="K78" s="536">
        <f ca="1">IFERROR(__xludf.DUMMYFUNCTION("""COMPUTED_VALUE"""),300258279)</f>
        <v>300258279</v>
      </c>
      <c r="L78" s="536">
        <f ca="1">IFERROR(__xludf.DUMMYFUNCTION("""COMPUTED_VALUE"""),775415)</f>
        <v>775415</v>
      </c>
      <c r="M78" s="536">
        <f ca="1">IFERROR(__xludf.DUMMYFUNCTION("""COMPUTED_VALUE"""),1298566918)</f>
        <v>1298566918</v>
      </c>
      <c r="N78" s="536">
        <f ca="1">IFERROR(__xludf.DUMMYFUNCTION("""COMPUTED_VALUE"""),-502878)</f>
        <v>-502878</v>
      </c>
      <c r="O78" s="576">
        <f ca="1">IFERROR(__xludf.DUMMYFUNCTION("""COMPUTED_VALUE"""),-998308639)</f>
        <v>-998308639</v>
      </c>
      <c r="P78" s="549"/>
      <c r="Q78" s="538"/>
      <c r="R78" s="538"/>
      <c r="S78" s="579"/>
      <c r="T78" s="579"/>
      <c r="U78" s="579"/>
      <c r="V78" s="579"/>
      <c r="W78" s="579"/>
      <c r="X78" s="580"/>
    </row>
    <row r="79" spans="1:24" ht="12.5">
      <c r="A79" s="4" t="str">
        <f ca="1">IFERROR(__xludf.DUMMYFUNCTION("""COMPUTED_VALUE"""),"*期貨合計*")</f>
        <v>*期貨合計*</v>
      </c>
      <c r="B79" s="4"/>
      <c r="C79" s="4"/>
      <c r="D79" s="4" t="str">
        <f ca="1">IFERROR(__xludf.DUMMYFUNCTION("""COMPUTED_VALUE"""),"*885,738*")</f>
        <v>*885,738*</v>
      </c>
      <c r="E79" s="4" t="str">
        <f ca="1">IFERROR(__xludf.DUMMYFUNCTION("""COMPUTED_VALUE"""),"*1,241,359,535*")</f>
        <v>*1,241,359,535*</v>
      </c>
      <c r="F79" s="4" t="str">
        <f ca="1">IFERROR(__xludf.DUMMYFUNCTION("""COMPUTED_VALUE"""),"*884,161*")</f>
        <v>*884,161*</v>
      </c>
      <c r="G79" s="4" t="str">
        <f ca="1">IFERROR(__xludf.DUMMYFUNCTION("""COMPUTED_VALUE"""),"*1,237,605,422*")</f>
        <v>*1,237,605,422*</v>
      </c>
      <c r="H79" s="4" t="str">
        <f ca="1">IFERROR(__xludf.DUMMYFUNCTION("""COMPUTED_VALUE"""),"*1,577*")</f>
        <v>*1,577*</v>
      </c>
      <c r="I79" s="4" t="str">
        <f ca="1">IFERROR(__xludf.DUMMYFUNCTION("""COMPUTED_VALUE"""),"*3,754,110*")</f>
        <v>*3,754,110*</v>
      </c>
      <c r="J79" s="4" t="str">
        <f ca="1">IFERROR(__xludf.DUMMYFUNCTION("""COMPUTED_VALUE"""),"* 518,896*")</f>
        <v>* 518,896*</v>
      </c>
      <c r="K79" s="4" t="str">
        <f ca="1">IFERROR(__xludf.DUMMYFUNCTION("""COMPUTED_VALUE"""),"* 1,206,237,138*")</f>
        <v>* 1,206,237,138*</v>
      </c>
      <c r="L79" s="4" t="str">
        <f ca="1">IFERROR(__xludf.DUMMYFUNCTION("""COMPUTED_VALUE"""),"* 1,206,231*")</f>
        <v>* 1,206,231*</v>
      </c>
      <c r="M79" s="4" t="str">
        <f ca="1">IFERROR(__xludf.DUMMYFUNCTION("""COMPUTED_VALUE"""),"* 1,640,559,662*")</f>
        <v>* 1,640,559,662*</v>
      </c>
      <c r="N79" s="4" t="str">
        <f ca="1">IFERROR(__xludf.DUMMYFUNCTION("""COMPUTED_VALUE"""),"* -687,335*")</f>
        <v>* -687,335*</v>
      </c>
      <c r="O79" s="4" t="str">
        <f ca="1">IFERROR(__xludf.DUMMYFUNCTION("""COMPUTED_VALUE"""),"* -434,322,524*")</f>
        <v>* -434,322,524*</v>
      </c>
    </row>
  </sheetData>
  <phoneticPr fontId="43" type="noConversion"/>
  <conditionalFormatting sqref="H7:I78">
    <cfRule type="cellIs" priority="1" operator="greaterThan">
      <formula>0</formula>
    </cfRule>
    <cfRule type="cellIs" dxfId="13" priority="4" operator="greaterThan">
      <formula>0</formula>
    </cfRule>
    <cfRule type="cellIs" dxfId="12" priority="5" operator="lessThan">
      <formula>0</formula>
    </cfRule>
  </conditionalFormatting>
  <conditionalFormatting sqref="N7:O78">
    <cfRule type="cellIs" priority="2" operator="greaterThan">
      <formula>0</formula>
    </cfRule>
    <cfRule type="cellIs" dxfId="11" priority="6" operator="greaterThan">
      <formula>0</formula>
    </cfRule>
    <cfRule type="cellIs" dxfId="10" priority="7" operator="lessThan">
      <formula>0</formula>
    </cfRule>
  </conditionalFormatting>
  <conditionalFormatting sqref="W7:X78">
    <cfRule type="cellIs" priority="3" operator="greaterThan">
      <formula>0</formula>
    </cfRule>
    <cfRule type="cellIs" dxfId="9" priority="8" operator="greaterThan">
      <formula>0</formula>
    </cfRule>
    <cfRule type="cellIs" dxfId="8" priority="9" operator="lessThan">
      <formula>0</formula>
    </cfRule>
  </conditionalFormatting>
  <hyperlinks>
    <hyperlink ref="B1" r:id="rId1" xr:uid="{00000000-0004-0000-0C00-000000000000}"/>
    <hyperlink ref="Q1" r:id="rId2" xr:uid="{00000000-0004-0000-0C00-00000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  <outlinePr summaryBelow="0" summaryRight="0"/>
  </sheetPr>
  <dimension ref="A1:AO1000"/>
  <sheetViews>
    <sheetView workbookViewId="0">
      <pane ySplit="2" topLeftCell="A39" activePane="bottomLeft" state="frozen"/>
      <selection pane="bottomLeft" activeCell="N56" sqref="N56"/>
    </sheetView>
  </sheetViews>
  <sheetFormatPr defaultColWidth="12.6328125" defaultRowHeight="15.75" customHeight="1"/>
  <cols>
    <col min="1" max="1" width="43.81640625" bestFit="1" customWidth="1"/>
    <col min="2" max="2" width="29.36328125" bestFit="1" customWidth="1"/>
    <col min="3" max="3" width="8.36328125" bestFit="1" customWidth="1"/>
    <col min="4" max="4" width="8.453125" bestFit="1" customWidth="1"/>
    <col min="5" max="5" width="7.54296875" bestFit="1" customWidth="1"/>
    <col min="6" max="6" width="11.81640625" bestFit="1" customWidth="1"/>
    <col min="7" max="7" width="1.453125" customWidth="1"/>
    <col min="8" max="8" width="21.81640625" bestFit="1" customWidth="1"/>
    <col min="9" max="9" width="43.81640625" bestFit="1" customWidth="1"/>
    <col min="10" max="10" width="27.7265625" bestFit="1" customWidth="1"/>
    <col min="11" max="11" width="8.453125" bestFit="1" customWidth="1"/>
    <col min="12" max="12" width="10.08984375" bestFit="1" customWidth="1"/>
    <col min="13" max="13" width="11.81640625" bestFit="1" customWidth="1"/>
    <col min="14" max="14" width="1.453125" customWidth="1"/>
    <col min="15" max="15" width="21.81640625" bestFit="1" customWidth="1"/>
    <col min="16" max="16" width="24.453125" bestFit="1" customWidth="1"/>
    <col min="17" max="17" width="8.36328125" bestFit="1" customWidth="1"/>
    <col min="18" max="18" width="7.453125" bestFit="1" customWidth="1"/>
    <col min="19" max="19" width="7.54296875" bestFit="1" customWidth="1"/>
    <col min="20" max="20" width="8.54296875" bestFit="1" customWidth="1"/>
    <col min="21" max="21" width="9.81640625" bestFit="1" customWidth="1"/>
    <col min="22" max="22" width="8.453125" bestFit="1" customWidth="1"/>
    <col min="23" max="23" width="1.453125" customWidth="1"/>
    <col min="24" max="24" width="21.81640625" bestFit="1" customWidth="1"/>
    <col min="25" max="25" width="22.7265625" bestFit="1" customWidth="1"/>
    <col min="26" max="26" width="8.36328125" bestFit="1" customWidth="1"/>
    <col min="27" max="27" width="7.453125" bestFit="1" customWidth="1"/>
    <col min="28" max="28" width="7.54296875" bestFit="1" customWidth="1"/>
    <col min="29" max="29" width="8.54296875" bestFit="1" customWidth="1"/>
    <col min="30" max="30" width="8.81640625" bestFit="1" customWidth="1"/>
    <col min="31" max="31" width="7.453125" bestFit="1" customWidth="1"/>
    <col min="32" max="32" width="1.453125" customWidth="1"/>
  </cols>
  <sheetData>
    <row r="1" spans="1:41" ht="22" customHeight="1">
      <c r="A1" s="581" t="s">
        <v>263</v>
      </c>
      <c r="B1" s="582"/>
      <c r="C1" s="582"/>
      <c r="D1" s="582"/>
      <c r="E1" s="582"/>
      <c r="F1" s="583"/>
      <c r="G1" s="8"/>
      <c r="H1" s="581" t="s">
        <v>264</v>
      </c>
      <c r="I1" s="606"/>
      <c r="J1" s="606"/>
      <c r="K1" s="606"/>
      <c r="L1" s="606"/>
      <c r="M1" s="607"/>
      <c r="N1" s="8"/>
      <c r="O1" s="581" t="s">
        <v>265</v>
      </c>
      <c r="P1" s="613"/>
      <c r="Q1" s="613"/>
      <c r="R1" s="613"/>
      <c r="S1" s="614"/>
      <c r="T1" s="613"/>
      <c r="U1" s="613"/>
      <c r="V1" s="607"/>
      <c r="W1" s="8"/>
      <c r="X1" s="581" t="s">
        <v>266</v>
      </c>
      <c r="Y1" s="613"/>
      <c r="Z1" s="613"/>
      <c r="AA1" s="613"/>
      <c r="AB1" s="613"/>
      <c r="AC1" s="613"/>
      <c r="AD1" s="613"/>
      <c r="AE1" s="607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spans="1:41" ht="15.75" customHeight="1">
      <c r="A2" s="584" t="str">
        <f ca="1">IFERROR(__xludf.DUMMYFUNCTION("""COMPUTED_VALUE"""),"名次")</f>
        <v>名次</v>
      </c>
      <c r="B2" s="585" t="str">
        <f ca="1">IFERROR(__xludf.DUMMYFUNCTION("""COMPUTED_VALUE"""),"股票名稱")</f>
        <v>股票名稱</v>
      </c>
      <c r="C2" s="586" t="str">
        <f ca="1">IFERROR(__xludf.DUMMYFUNCTION("""COMPUTED_VALUE"""),"收盤價")</f>
        <v>收盤價</v>
      </c>
      <c r="D2" s="587" t="str">
        <f ca="1">IFERROR(__xludf.DUMMYFUNCTION("""COMPUTED_VALUE"""),"漲跌")</f>
        <v>漲跌</v>
      </c>
      <c r="E2" s="586" t="str">
        <f ca="1">IFERROR(__xludf.DUMMYFUNCTION("""COMPUTED_VALUE"""),"漲跌幅")</f>
        <v>漲跌幅</v>
      </c>
      <c r="F2" s="588" t="str">
        <f ca="1">IFERROR(__xludf.DUMMYFUNCTION("""COMPUTED_VALUE"""),"成交值(千元)")</f>
        <v>成交值(千元)</v>
      </c>
      <c r="G2" s="56"/>
      <c r="H2" s="584" t="str">
        <f ca="1">IFERROR(__xludf.DUMMYFUNCTION("""COMPUTED_VALUE"""),"名次")</f>
        <v>名次</v>
      </c>
      <c r="I2" s="585" t="str">
        <f ca="1">IFERROR(__xludf.DUMMYFUNCTION("""COMPUTED_VALUE"""),"股票名稱")</f>
        <v>股票名稱</v>
      </c>
      <c r="J2" s="587" t="str">
        <f ca="1">IFERROR(__xludf.DUMMYFUNCTION("""COMPUTED_VALUE"""),"收盤價")</f>
        <v>收盤價</v>
      </c>
      <c r="K2" s="586" t="str">
        <f ca="1">IFERROR(__xludf.DUMMYFUNCTION("""COMPUTED_VALUE"""),"漲跌")</f>
        <v>漲跌</v>
      </c>
      <c r="L2" s="586" t="str">
        <f ca="1">IFERROR(__xludf.DUMMYFUNCTION("""COMPUTED_VALUE"""),"漲跌幅")</f>
        <v>漲跌幅</v>
      </c>
      <c r="M2" s="608" t="str">
        <f ca="1">IFERROR(__xludf.DUMMYFUNCTION("""COMPUTED_VALUE"""),"成交值(千元)")</f>
        <v>成交值(千元)</v>
      </c>
      <c r="N2" s="8"/>
      <c r="O2" s="615" t="str">
        <f ca="1">IFERROR(__xludf.DUMMYFUNCTION("""COMPUTED_VALUE"""),"名次")</f>
        <v>名次</v>
      </c>
      <c r="P2" s="616" t="str">
        <f ca="1">IFERROR(__xludf.DUMMYFUNCTION("""COMPUTED_VALUE"""),"股票名稱")</f>
        <v>股票名稱</v>
      </c>
      <c r="Q2" s="616" t="str">
        <f ca="1">IFERROR(__xludf.DUMMYFUNCTION("""COMPUTED_VALUE"""),"收盤價")</f>
        <v>收盤價</v>
      </c>
      <c r="R2" s="616" t="str">
        <f ca="1">IFERROR(__xludf.DUMMYFUNCTION("""COMPUTED_VALUE"""),"漲跌")</f>
        <v>漲跌</v>
      </c>
      <c r="S2" s="616" t="str">
        <f ca="1">IFERROR(__xludf.DUMMYFUNCTION("""COMPUTED_VALUE"""),"漲跌幅")</f>
        <v>漲跌幅</v>
      </c>
      <c r="T2" s="616" t="str">
        <f ca="1">IFERROR(__xludf.DUMMYFUNCTION("""COMPUTED_VALUE"""),"融券餘額")</f>
        <v>融券餘額</v>
      </c>
      <c r="U2" s="616" t="str">
        <f ca="1">IFERROR(__xludf.DUMMYFUNCTION("""COMPUTED_VALUE"""),"融資餘額")</f>
        <v>融資餘額</v>
      </c>
      <c r="V2" s="608" t="str">
        <f ca="1">IFERROR(__xludf.DUMMYFUNCTION("""COMPUTED_VALUE"""),"券資比")</f>
        <v>券資比</v>
      </c>
      <c r="W2" s="8"/>
      <c r="X2" s="617" t="str">
        <f ca="1">IFERROR(__xludf.DUMMYFUNCTION("""COMPUTED_VALUE"""),"名次")</f>
        <v>名次</v>
      </c>
      <c r="Y2" s="616" t="str">
        <f ca="1">IFERROR(__xludf.DUMMYFUNCTION("""COMPUTED_VALUE"""),"股票名稱")</f>
        <v>股票名稱</v>
      </c>
      <c r="Z2" s="616" t="str">
        <f ca="1">IFERROR(__xludf.DUMMYFUNCTION("""COMPUTED_VALUE"""),"收盤價")</f>
        <v>收盤價</v>
      </c>
      <c r="AA2" s="616" t="str">
        <f ca="1">IFERROR(__xludf.DUMMYFUNCTION("""COMPUTED_VALUE"""),"漲跌")</f>
        <v>漲跌</v>
      </c>
      <c r="AB2" s="616" t="str">
        <f ca="1">IFERROR(__xludf.DUMMYFUNCTION("""COMPUTED_VALUE"""),"漲跌幅")</f>
        <v>漲跌幅</v>
      </c>
      <c r="AC2" s="616" t="str">
        <f ca="1">IFERROR(__xludf.DUMMYFUNCTION("""COMPUTED_VALUE"""),"融券餘額")</f>
        <v>融券餘額</v>
      </c>
      <c r="AD2" s="616" t="str">
        <f ca="1">IFERROR(__xludf.DUMMYFUNCTION("""COMPUTED_VALUE"""),"融資餘額")</f>
        <v>融資餘額</v>
      </c>
      <c r="AE2" s="608" t="str">
        <f ca="1">IFERROR(__xludf.DUMMYFUNCTION("""COMPUTED_VALUE"""),"券資比")</f>
        <v>券資比</v>
      </c>
      <c r="AF2" s="8"/>
      <c r="AG2" s="8"/>
      <c r="AH2" s="8"/>
      <c r="AI2" s="8"/>
      <c r="AJ2" s="8"/>
      <c r="AK2" s="8"/>
      <c r="AL2" s="8"/>
      <c r="AM2" s="8"/>
      <c r="AN2" s="8"/>
      <c r="AO2" s="8"/>
    </row>
    <row r="3" spans="1:41" ht="15.75" customHeight="1">
      <c r="A3" s="589">
        <f ca="1">IFERROR(__xludf.DUMMYFUNCTION("""COMPUTED_VALUE"""),1)</f>
        <v>1</v>
      </c>
      <c r="B3" s="590" t="str">
        <f ca="1">IFERROR(__xludf.DUMMYFUNCTION("""COMPUTED_VALUE"""),"2408 南亞科")</f>
        <v>2408 南亞科</v>
      </c>
      <c r="C3" s="591">
        <f ca="1">IFERROR(__xludf.DUMMYFUNCTION("""COMPUTED_VALUE"""),512)</f>
        <v>512</v>
      </c>
      <c r="D3" s="725">
        <v>-2</v>
      </c>
      <c r="E3" s="729">
        <v>-3.8999999999999998E-3</v>
      </c>
      <c r="F3" s="593">
        <f ca="1">IFERROR(__xludf.DUMMYFUNCTION("""COMPUTED_VALUE"""),54418832)</f>
        <v>54418832</v>
      </c>
      <c r="G3" s="57">
        <f t="shared" ref="G3:G52" ca="1" si="0">D3/(C3-D3)</f>
        <v>-3.8910505836575876E-3</v>
      </c>
      <c r="H3" s="589">
        <f ca="1">IFERROR(__xludf.DUMMYFUNCTION("""COMPUTED_VALUE"""),1)</f>
        <v>1</v>
      </c>
      <c r="I3" s="590" t="str">
        <f ca="1">IFERROR(__xludf.DUMMYFUNCTION("""COMPUTED_VALUE"""),"8299 群聯")</f>
        <v>8299 群聯</v>
      </c>
      <c r="J3" s="609">
        <f ca="1">IFERROR(__xludf.DUMMYFUNCTION("""COMPUTED_VALUE"""),2080)</f>
        <v>2080</v>
      </c>
      <c r="K3" s="728">
        <v>-200</v>
      </c>
      <c r="L3" s="729">
        <v>-8.77E-2</v>
      </c>
      <c r="M3" s="598">
        <f ca="1">IFERROR(__xludf.DUMMYFUNCTION("""COMPUTED_VALUE"""),36269760)</f>
        <v>36269760</v>
      </c>
      <c r="N3" s="58">
        <f t="shared" ref="N3:N52" ca="1" si="1">K3/(J3-K3)</f>
        <v>-8.771929824561403E-2</v>
      </c>
      <c r="O3" s="595">
        <f ca="1">IFERROR(__xludf.DUMMYFUNCTION("""COMPUTED_VALUE"""),1)</f>
        <v>1</v>
      </c>
      <c r="P3" s="499" t="str">
        <f ca="1">IFERROR(__xludf.DUMMYFUNCTION("""COMPUTED_VALUE"""),"00852L國泰美國道瓊正2")</f>
        <v>00852L國泰美國道瓊正2</v>
      </c>
      <c r="Q3" s="499">
        <f ca="1">IFERROR(__xludf.DUMMYFUNCTION("""COMPUTED_VALUE"""),36.5)</f>
        <v>36.5</v>
      </c>
      <c r="R3" s="726">
        <v>0.05</v>
      </c>
      <c r="S3" s="730">
        <v>1.4000000000000002E-3</v>
      </c>
      <c r="T3" s="511">
        <f ca="1">IFERROR(__xludf.DUMMYFUNCTION("""COMPUTED_VALUE"""),54)</f>
        <v>54</v>
      </c>
      <c r="U3" s="511">
        <f ca="1">IFERROR(__xludf.DUMMYFUNCTION("""COMPUTED_VALUE"""),39)</f>
        <v>39</v>
      </c>
      <c r="V3" s="732">
        <f ca="1">IFERROR(__xludf.DUMMYFUNCTION("""COMPUTED_VALUE"""),1.3846)</f>
        <v>1.3846000000000001</v>
      </c>
      <c r="W3" s="57">
        <f t="shared" ref="W3:W52" ca="1" si="2">R3/(Q3-R3)</f>
        <v>1.3717421124828531E-3</v>
      </c>
      <c r="X3" s="618">
        <f ca="1">IFERROR(__xludf.DUMMYFUNCTION("""COMPUTED_VALUE"""),1)</f>
        <v>1</v>
      </c>
      <c r="Y3" s="499" t="str">
        <f ca="1">IFERROR(__xludf.DUMMYFUNCTION("""COMPUTED_VALUE"""),"009825聯邦美國金融創新")</f>
        <v>009825聯邦美國金融創新</v>
      </c>
      <c r="Z3" s="499">
        <f ca="1">IFERROR(__xludf.DUMMYFUNCTION("""COMPUTED_VALUE"""),10.24)</f>
        <v>10.24</v>
      </c>
      <c r="AA3" s="726">
        <v>0.14000000000000001</v>
      </c>
      <c r="AB3" s="730">
        <v>1.3899999999999999E-2</v>
      </c>
      <c r="AC3" s="511">
        <f ca="1">IFERROR(__xludf.DUMMYFUNCTION("""COMPUTED_VALUE"""),142)</f>
        <v>142</v>
      </c>
      <c r="AD3" s="511">
        <f ca="1">IFERROR(__xludf.DUMMYFUNCTION("""COMPUTED_VALUE"""),217)</f>
        <v>217</v>
      </c>
      <c r="AE3" s="732">
        <f ca="1">IFERROR(__xludf.DUMMYFUNCTION("""COMPUTED_VALUE"""),0.6544)</f>
        <v>0.65439999999999998</v>
      </c>
      <c r="AF3" s="57">
        <f t="shared" ref="AF3:AF52" ca="1" si="3">AA3/(Z3-AA3)</f>
        <v>1.3861386138613863E-2</v>
      </c>
      <c r="AG3" s="8"/>
      <c r="AH3" s="8"/>
      <c r="AI3" s="8"/>
      <c r="AJ3" s="8"/>
      <c r="AK3" s="8"/>
      <c r="AL3" s="8"/>
      <c r="AM3" s="8"/>
      <c r="AN3" s="8"/>
      <c r="AO3" s="8"/>
    </row>
    <row r="4" spans="1:41" ht="15.75" customHeight="1">
      <c r="A4" s="589">
        <f ca="1">IFERROR(__xludf.DUMMYFUNCTION("""COMPUTED_VALUE"""),2)</f>
        <v>2</v>
      </c>
      <c r="B4" s="590" t="str">
        <f ca="1">IFERROR(__xludf.DUMMYFUNCTION("""COMPUTED_VALUE"""),"2330 台積電")</f>
        <v>2330 台積電</v>
      </c>
      <c r="C4" s="594">
        <f ca="1">IFERROR(__xludf.DUMMYFUNCTION("""COMPUTED_VALUE"""),2395)</f>
        <v>2395</v>
      </c>
      <c r="D4" s="725">
        <v>-40</v>
      </c>
      <c r="E4" s="729">
        <v>-1.6400000000000001E-2</v>
      </c>
      <c r="F4" s="593">
        <f ca="1">IFERROR(__xludf.DUMMYFUNCTION("""COMPUTED_VALUE"""),51159731)</f>
        <v>51159731</v>
      </c>
      <c r="G4" s="57">
        <f t="shared" ca="1" si="0"/>
        <v>-1.6427104722792608E-2</v>
      </c>
      <c r="H4" s="589">
        <f ca="1">IFERROR(__xludf.DUMMYFUNCTION("""COMPUTED_VALUE"""),2)</f>
        <v>2</v>
      </c>
      <c r="I4" s="590" t="str">
        <f ca="1">IFERROR(__xludf.DUMMYFUNCTION("""COMPUTED_VALUE"""),"8358 金居")</f>
        <v>8358 金居</v>
      </c>
      <c r="J4" s="592">
        <f ca="1">IFERROR(__xludf.DUMMYFUNCTION("""COMPUTED_VALUE"""),428.5)</f>
        <v>428.5</v>
      </c>
      <c r="K4" s="728">
        <v>7.5</v>
      </c>
      <c r="L4" s="729">
        <v>1.78E-2</v>
      </c>
      <c r="M4" s="598">
        <f ca="1">IFERROR(__xludf.DUMMYFUNCTION("""COMPUTED_VALUE"""),19719151)</f>
        <v>19719151</v>
      </c>
      <c r="N4" s="58">
        <f t="shared" ca="1" si="1"/>
        <v>1.7814726840855107E-2</v>
      </c>
      <c r="O4" s="595">
        <f ca="1">IFERROR(__xludf.DUMMYFUNCTION("""COMPUTED_VALUE"""),2)</f>
        <v>2</v>
      </c>
      <c r="P4" s="499" t="str">
        <f ca="1">IFERROR(__xludf.DUMMYFUNCTION("""COMPUTED_VALUE"""),"009811統一美國50")</f>
        <v>009811統一美國50</v>
      </c>
      <c r="Q4" s="499">
        <f ca="1">IFERROR(__xludf.DUMMYFUNCTION("""COMPUTED_VALUE"""),13.46)</f>
        <v>13.46</v>
      </c>
      <c r="R4" s="726">
        <v>-0.03</v>
      </c>
      <c r="S4" s="730">
        <v>-2.2000000000000001E-3</v>
      </c>
      <c r="T4" s="511">
        <f ca="1">IFERROR(__xludf.DUMMYFUNCTION("""COMPUTED_VALUE"""),35)</f>
        <v>35</v>
      </c>
      <c r="U4" s="511">
        <f ca="1">IFERROR(__xludf.DUMMYFUNCTION("""COMPUTED_VALUE"""),39)</f>
        <v>39</v>
      </c>
      <c r="V4" s="732">
        <f ca="1">IFERROR(__xludf.DUMMYFUNCTION("""COMPUTED_VALUE"""),0.8974)</f>
        <v>0.89739999999999998</v>
      </c>
      <c r="W4" s="57">
        <f t="shared" ca="1" si="2"/>
        <v>-2.223869532987398E-3</v>
      </c>
      <c r="X4" s="618">
        <f ca="1">IFERROR(__xludf.DUMMYFUNCTION("""COMPUTED_VALUE"""),2)</f>
        <v>2</v>
      </c>
      <c r="Y4" s="499" t="str">
        <f ca="1">IFERROR(__xludf.DUMMYFUNCTION("""COMPUTED_VALUE"""),"5464 霖宏")</f>
        <v>5464 霖宏</v>
      </c>
      <c r="Z4" s="499">
        <f ca="1">IFERROR(__xludf.DUMMYFUNCTION("""COMPUTED_VALUE"""),75.4)</f>
        <v>75.400000000000006</v>
      </c>
      <c r="AA4" s="726">
        <v>1.2</v>
      </c>
      <c r="AB4" s="730">
        <v>1.6200000000000003E-2</v>
      </c>
      <c r="AC4" s="511">
        <f ca="1">IFERROR(__xludf.DUMMYFUNCTION("""COMPUTED_VALUE"""),3179)</f>
        <v>3179</v>
      </c>
      <c r="AD4" s="511">
        <f ca="1">IFERROR(__xludf.DUMMYFUNCTION("""COMPUTED_VALUE"""),8535)</f>
        <v>8535</v>
      </c>
      <c r="AE4" s="732">
        <f ca="1">IFERROR(__xludf.DUMMYFUNCTION("""COMPUTED_VALUE"""),0.3725)</f>
        <v>0.3725</v>
      </c>
      <c r="AF4" s="57">
        <f t="shared" ca="1" si="3"/>
        <v>1.6172506738544472E-2</v>
      </c>
      <c r="AG4" s="8"/>
      <c r="AH4" s="8"/>
      <c r="AI4" s="8"/>
      <c r="AJ4" s="8"/>
      <c r="AK4" s="8"/>
      <c r="AL4" s="8"/>
      <c r="AM4" s="8"/>
      <c r="AN4" s="8"/>
      <c r="AO4" s="8"/>
    </row>
    <row r="5" spans="1:41" ht="15.75" customHeight="1">
      <c r="A5" s="589">
        <f ca="1">IFERROR(__xludf.DUMMYFUNCTION("""COMPUTED_VALUE"""),3)</f>
        <v>3</v>
      </c>
      <c r="B5" s="590" t="str">
        <f ca="1">IFERROR(__xludf.DUMMYFUNCTION("""COMPUTED_VALUE"""),"2327 國巨*")</f>
        <v>2327 國巨*</v>
      </c>
      <c r="C5" s="591">
        <f ca="1">IFERROR(__xludf.DUMMYFUNCTION("""COMPUTED_VALUE"""),622)</f>
        <v>622</v>
      </c>
      <c r="D5" s="725">
        <v>-40</v>
      </c>
      <c r="E5" s="729">
        <v>-6.0400000000000002E-2</v>
      </c>
      <c r="F5" s="593">
        <f ca="1">IFERROR(__xludf.DUMMYFUNCTION("""COMPUTED_VALUE"""),47061773)</f>
        <v>47061773</v>
      </c>
      <c r="G5" s="57">
        <f t="shared" ca="1" si="0"/>
        <v>-6.0422960725075532E-2</v>
      </c>
      <c r="H5" s="589">
        <f ca="1">IFERROR(__xludf.DUMMYFUNCTION("""COMPUTED_VALUE"""),3)</f>
        <v>3</v>
      </c>
      <c r="I5" s="590" t="str">
        <f ca="1">IFERROR(__xludf.DUMMYFUNCTION("""COMPUTED_VALUE"""),"6488 環球晶")</f>
        <v>6488 環球晶</v>
      </c>
      <c r="J5" s="609">
        <f ca="1">IFERROR(__xludf.DUMMYFUNCTION("""COMPUTED_VALUE"""),1010)</f>
        <v>1010</v>
      </c>
      <c r="K5" s="728">
        <v>-15</v>
      </c>
      <c r="L5" s="729">
        <v>-1.46E-2</v>
      </c>
      <c r="M5" s="598">
        <f ca="1">IFERROR(__xludf.DUMMYFUNCTION("""COMPUTED_VALUE"""),15766227)</f>
        <v>15766227</v>
      </c>
      <c r="N5" s="58">
        <f t="shared" ca="1" si="1"/>
        <v>-1.4634146341463415E-2</v>
      </c>
      <c r="O5" s="595">
        <f ca="1">IFERROR(__xludf.DUMMYFUNCTION("""COMPUTED_VALUE"""),3)</f>
        <v>3</v>
      </c>
      <c r="P5" s="499" t="str">
        <f ca="1">IFERROR(__xludf.DUMMYFUNCTION("""COMPUTED_VALUE"""),"00715L期街口布蘭特正2")</f>
        <v>00715L期街口布蘭特正2</v>
      </c>
      <c r="Q5" s="499">
        <f ca="1">IFERROR(__xludf.DUMMYFUNCTION("""COMPUTED_VALUE"""),46.31)</f>
        <v>46.31</v>
      </c>
      <c r="R5" s="726">
        <v>-1.65</v>
      </c>
      <c r="S5" s="730">
        <v>-3.44E-2</v>
      </c>
      <c r="T5" s="511">
        <f ca="1">IFERROR(__xludf.DUMMYFUNCTION("""COMPUTED_VALUE"""),5282)</f>
        <v>5282</v>
      </c>
      <c r="U5" s="511">
        <f ca="1">IFERROR(__xludf.DUMMYFUNCTION("""COMPUTED_VALUE"""),9108)</f>
        <v>9108</v>
      </c>
      <c r="V5" s="732">
        <f ca="1">IFERROR(__xludf.DUMMYFUNCTION("""COMPUTED_VALUE"""),0.5799)</f>
        <v>0.57989999999999997</v>
      </c>
      <c r="W5" s="57">
        <f t="shared" ca="1" si="2"/>
        <v>-3.4403669724770637E-2</v>
      </c>
      <c r="X5" s="618">
        <f ca="1">IFERROR(__xludf.DUMMYFUNCTION("""COMPUTED_VALUE"""),3)</f>
        <v>3</v>
      </c>
      <c r="Y5" s="499" t="str">
        <f ca="1">IFERROR(__xludf.DUMMYFUNCTION("""COMPUTED_VALUE"""),"3388 崇越電")</f>
        <v>3388 崇越電</v>
      </c>
      <c r="Z5" s="499">
        <f ca="1">IFERROR(__xludf.DUMMYFUNCTION("""COMPUTED_VALUE"""),83.9)</f>
        <v>83.9</v>
      </c>
      <c r="AA5" s="726">
        <v>7.6</v>
      </c>
      <c r="AB5" s="730">
        <v>9.9599999999999994E-2</v>
      </c>
      <c r="AC5" s="511">
        <f ca="1">IFERROR(__xludf.DUMMYFUNCTION("""COMPUTED_VALUE"""),688)</f>
        <v>688</v>
      </c>
      <c r="AD5" s="511">
        <f ca="1">IFERROR(__xludf.DUMMYFUNCTION("""COMPUTED_VALUE"""),1956)</f>
        <v>1956</v>
      </c>
      <c r="AE5" s="732">
        <f ca="1">IFERROR(__xludf.DUMMYFUNCTION("""COMPUTED_VALUE"""),0.3517)</f>
        <v>0.35170000000000001</v>
      </c>
      <c r="AF5" s="57">
        <f t="shared" ca="1" si="3"/>
        <v>9.960681520314546E-2</v>
      </c>
      <c r="AG5" s="8"/>
      <c r="AH5" s="8"/>
      <c r="AI5" s="8"/>
      <c r="AJ5" s="8"/>
      <c r="AK5" s="8"/>
      <c r="AL5" s="8"/>
      <c r="AM5" s="8"/>
      <c r="AN5" s="8"/>
      <c r="AO5" s="8"/>
    </row>
    <row r="6" spans="1:41" ht="15.75" customHeight="1">
      <c r="A6" s="589">
        <f ca="1">IFERROR(__xludf.DUMMYFUNCTION("""COMPUTED_VALUE"""),4)</f>
        <v>4</v>
      </c>
      <c r="B6" s="590" t="str">
        <f ca="1">IFERROR(__xludf.DUMMYFUNCTION("""COMPUTED_VALUE"""),"2454 聯發科")</f>
        <v>2454 聯發科</v>
      </c>
      <c r="C6" s="594">
        <f ca="1">IFERROR(__xludf.DUMMYFUNCTION("""COMPUTED_VALUE"""),4210)</f>
        <v>4210</v>
      </c>
      <c r="D6" s="725">
        <v>-15</v>
      </c>
      <c r="E6" s="729">
        <v>-3.5999999999999999E-3</v>
      </c>
      <c r="F6" s="593">
        <f ca="1">IFERROR(__xludf.DUMMYFUNCTION("""COMPUTED_VALUE"""),45791288)</f>
        <v>45791288</v>
      </c>
      <c r="G6" s="57">
        <f t="shared" ca="1" si="0"/>
        <v>-3.5502958579881655E-3</v>
      </c>
      <c r="H6" s="589">
        <f ca="1">IFERROR(__xludf.DUMMYFUNCTION("""COMPUTED_VALUE"""),4)</f>
        <v>4</v>
      </c>
      <c r="I6" s="590" t="str">
        <f ca="1">IFERROR(__xludf.DUMMYFUNCTION("""COMPUTED_VALUE"""),"6182 合晶")</f>
        <v>6182 合晶</v>
      </c>
      <c r="J6" s="592">
        <f ca="1">IFERROR(__xludf.DUMMYFUNCTION("""COMPUTED_VALUE"""),111.5)</f>
        <v>111.5</v>
      </c>
      <c r="K6" s="728">
        <v>-1.5</v>
      </c>
      <c r="L6" s="729">
        <v>-1.3299999999999999E-2</v>
      </c>
      <c r="M6" s="598">
        <f ca="1">IFERROR(__xludf.DUMMYFUNCTION("""COMPUTED_VALUE"""),14207739)</f>
        <v>14207739</v>
      </c>
      <c r="N6" s="58">
        <f t="shared" ca="1" si="1"/>
        <v>-1.3274336283185841E-2</v>
      </c>
      <c r="O6" s="595">
        <f ca="1">IFERROR(__xludf.DUMMYFUNCTION("""COMPUTED_VALUE"""),4)</f>
        <v>4</v>
      </c>
      <c r="P6" s="499" t="str">
        <f ca="1">IFERROR(__xludf.DUMMYFUNCTION("""COMPUTED_VALUE"""),"3708 上緯投控")</f>
        <v>3708 上緯投控</v>
      </c>
      <c r="Q6" s="499">
        <f ca="1">IFERROR(__xludf.DUMMYFUNCTION("""COMPUTED_VALUE"""),100.5)</f>
        <v>100.5</v>
      </c>
      <c r="R6" s="726">
        <v>-2.5</v>
      </c>
      <c r="S6" s="730">
        <v>-2.4299999999999999E-2</v>
      </c>
      <c r="T6" s="511">
        <f ca="1">IFERROR(__xludf.DUMMYFUNCTION("""COMPUTED_VALUE"""),1476)</f>
        <v>1476</v>
      </c>
      <c r="U6" s="511">
        <f ca="1">IFERROR(__xludf.DUMMYFUNCTION("""COMPUTED_VALUE"""),2986)</f>
        <v>2986</v>
      </c>
      <c r="V6" s="732">
        <f ca="1">IFERROR(__xludf.DUMMYFUNCTION("""COMPUTED_VALUE"""),0.4943)</f>
        <v>0.49430000000000002</v>
      </c>
      <c r="W6" s="57">
        <f t="shared" ca="1" si="2"/>
        <v>-2.4271844660194174E-2</v>
      </c>
      <c r="X6" s="618">
        <f ca="1">IFERROR(__xludf.DUMMYFUNCTION("""COMPUTED_VALUE"""),4)</f>
        <v>4</v>
      </c>
      <c r="Y6" s="499" t="str">
        <f ca="1">IFERROR(__xludf.DUMMYFUNCTION("""COMPUTED_VALUE"""),"6967 汎瑋材料")</f>
        <v>6967 汎瑋材料</v>
      </c>
      <c r="Z6" s="499">
        <f ca="1">IFERROR(__xludf.DUMMYFUNCTION("""COMPUTED_VALUE"""),68.8)</f>
        <v>68.8</v>
      </c>
      <c r="AA6" s="726">
        <v>-1.7</v>
      </c>
      <c r="AB6" s="730">
        <v>-2.41E-2</v>
      </c>
      <c r="AC6" s="511">
        <f ca="1">IFERROR(__xludf.DUMMYFUNCTION("""COMPUTED_VALUE"""),96)</f>
        <v>96</v>
      </c>
      <c r="AD6" s="511">
        <f ca="1">IFERROR(__xludf.DUMMYFUNCTION("""COMPUTED_VALUE"""),372)</f>
        <v>372</v>
      </c>
      <c r="AE6" s="732">
        <f ca="1">IFERROR(__xludf.DUMMYFUNCTION("""COMPUTED_VALUE"""),0.2581)</f>
        <v>0.2581</v>
      </c>
      <c r="AF6" s="57">
        <f t="shared" ca="1" si="3"/>
        <v>-2.4113475177304965E-2</v>
      </c>
      <c r="AG6" s="8"/>
      <c r="AH6" s="8"/>
      <c r="AI6" s="8"/>
      <c r="AJ6" s="8"/>
      <c r="AK6" s="8"/>
      <c r="AL6" s="8"/>
      <c r="AM6" s="8"/>
      <c r="AN6" s="8"/>
      <c r="AO6" s="8"/>
    </row>
    <row r="7" spans="1:41" ht="15.75" customHeight="1">
      <c r="A7" s="589">
        <f ca="1">IFERROR(__xludf.DUMMYFUNCTION("""COMPUTED_VALUE"""),5)</f>
        <v>5</v>
      </c>
      <c r="B7" s="590" t="str">
        <f ca="1">IFERROR(__xludf.DUMMYFUNCTION("""COMPUTED_VALUE"""),"2344 華邦電")</f>
        <v>2344 華邦電</v>
      </c>
      <c r="C7" s="591">
        <f ca="1">IFERROR(__xludf.DUMMYFUNCTION("""COMPUTED_VALUE"""),183.5)</f>
        <v>183.5</v>
      </c>
      <c r="D7" s="725">
        <v>6.5</v>
      </c>
      <c r="E7" s="729">
        <v>3.6700000000000003E-2</v>
      </c>
      <c r="F7" s="593">
        <f ca="1">IFERROR(__xludf.DUMMYFUNCTION("""COMPUTED_VALUE"""),44751045)</f>
        <v>44751045</v>
      </c>
      <c r="G7" s="57">
        <f t="shared" ca="1" si="0"/>
        <v>3.6723163841807911E-2</v>
      </c>
      <c r="H7" s="589">
        <f ca="1">IFERROR(__xludf.DUMMYFUNCTION("""COMPUTED_VALUE"""),5)</f>
        <v>5</v>
      </c>
      <c r="I7" s="590" t="str">
        <f ca="1">IFERROR(__xludf.DUMMYFUNCTION("""COMPUTED_VALUE"""),"3374 精材")</f>
        <v>3374 精材</v>
      </c>
      <c r="J7" s="592">
        <f ca="1">IFERROR(__xludf.DUMMYFUNCTION("""COMPUTED_VALUE"""),325)</f>
        <v>325</v>
      </c>
      <c r="K7" s="728">
        <v>0</v>
      </c>
      <c r="L7" s="729">
        <v>0</v>
      </c>
      <c r="M7" s="598">
        <f ca="1">IFERROR(__xludf.DUMMYFUNCTION("""COMPUTED_VALUE"""),6174295)</f>
        <v>6174295</v>
      </c>
      <c r="N7" s="58">
        <f t="shared" ca="1" si="1"/>
        <v>0</v>
      </c>
      <c r="O7" s="595">
        <f ca="1">IFERROR(__xludf.DUMMYFUNCTION("""COMPUTED_VALUE"""),5)</f>
        <v>5</v>
      </c>
      <c r="P7" s="499" t="str">
        <f ca="1">IFERROR(__xludf.DUMMYFUNCTION("""COMPUTED_VALUE"""),"2436 偉詮電")</f>
        <v>2436 偉詮電</v>
      </c>
      <c r="Q7" s="499">
        <f ca="1">IFERROR(__xludf.DUMMYFUNCTION("""COMPUTED_VALUE"""),69.1)</f>
        <v>69.099999999999994</v>
      </c>
      <c r="R7" s="726">
        <v>-2.1</v>
      </c>
      <c r="S7" s="730">
        <v>-2.9499999999999998E-2</v>
      </c>
      <c r="T7" s="511">
        <f ca="1">IFERROR(__xludf.DUMMYFUNCTION("""COMPUTED_VALUE"""),2765)</f>
        <v>2765</v>
      </c>
      <c r="U7" s="511">
        <f ca="1">IFERROR(__xludf.DUMMYFUNCTION("""COMPUTED_VALUE"""),6179)</f>
        <v>6179</v>
      </c>
      <c r="V7" s="732">
        <f ca="1">IFERROR(__xludf.DUMMYFUNCTION("""COMPUTED_VALUE"""),0.4475)</f>
        <v>0.44750000000000001</v>
      </c>
      <c r="W7" s="57">
        <f t="shared" ca="1" si="2"/>
        <v>-2.9494382022471916E-2</v>
      </c>
      <c r="X7" s="618">
        <f ca="1">IFERROR(__xludf.DUMMYFUNCTION("""COMPUTED_VALUE"""),5)</f>
        <v>5</v>
      </c>
      <c r="Y7" s="499" t="str">
        <f ca="1">IFERROR(__xludf.DUMMYFUNCTION("""COMPUTED_VALUE"""),"6547 高端疫苗")</f>
        <v>6547 高端疫苗</v>
      </c>
      <c r="Z7" s="499">
        <f ca="1">IFERROR(__xludf.DUMMYFUNCTION("""COMPUTED_VALUE"""),51.5)</f>
        <v>51.5</v>
      </c>
      <c r="AA7" s="726">
        <v>-0.7</v>
      </c>
      <c r="AB7" s="730">
        <v>-1.34E-2</v>
      </c>
      <c r="AC7" s="511">
        <f ca="1">IFERROR(__xludf.DUMMYFUNCTION("""COMPUTED_VALUE"""),2478)</f>
        <v>2478</v>
      </c>
      <c r="AD7" s="511">
        <f ca="1">IFERROR(__xludf.DUMMYFUNCTION("""COMPUTED_VALUE"""),11658)</f>
        <v>11658</v>
      </c>
      <c r="AE7" s="732">
        <f ca="1">IFERROR(__xludf.DUMMYFUNCTION("""COMPUTED_VALUE"""),0.2126)</f>
        <v>0.21260000000000001</v>
      </c>
      <c r="AF7" s="57">
        <f t="shared" ca="1" si="3"/>
        <v>-1.3409961685823753E-2</v>
      </c>
      <c r="AG7" s="8"/>
      <c r="AH7" s="8"/>
      <c r="AI7" s="8"/>
      <c r="AJ7" s="8"/>
      <c r="AK7" s="8"/>
      <c r="AL7" s="8"/>
      <c r="AM7" s="8"/>
      <c r="AN7" s="8"/>
      <c r="AO7" s="8"/>
    </row>
    <row r="8" spans="1:41" ht="15.75" customHeight="1">
      <c r="A8" s="589">
        <f ca="1">IFERROR(__xludf.DUMMYFUNCTION("""COMPUTED_VALUE"""),6)</f>
        <v>6</v>
      </c>
      <c r="B8" s="590" t="str">
        <f ca="1">IFERROR(__xludf.DUMMYFUNCTION("""COMPUTED_VALUE"""),"6770 力積電")</f>
        <v>6770 力積電</v>
      </c>
      <c r="C8" s="591">
        <f ca="1">IFERROR(__xludf.DUMMYFUNCTION("""COMPUTED_VALUE"""),78.4)</f>
        <v>78.400000000000006</v>
      </c>
      <c r="D8" s="725">
        <v>3.5</v>
      </c>
      <c r="E8" s="729">
        <v>4.6699999999999998E-2</v>
      </c>
      <c r="F8" s="593">
        <f ca="1">IFERROR(__xludf.DUMMYFUNCTION("""COMPUTED_VALUE"""),41709109)</f>
        <v>41709109</v>
      </c>
      <c r="G8" s="57">
        <f t="shared" ca="1" si="0"/>
        <v>4.6728971962616821E-2</v>
      </c>
      <c r="H8" s="589">
        <f ca="1">IFERROR(__xludf.DUMMYFUNCTION("""COMPUTED_VALUE"""),6)</f>
        <v>6</v>
      </c>
      <c r="I8" s="590" t="str">
        <f ca="1">IFERROR(__xludf.DUMMYFUNCTION("""COMPUTED_VALUE"""),"6187 萬潤")</f>
        <v>6187 萬潤</v>
      </c>
      <c r="J8" s="609">
        <f ca="1">IFERROR(__xludf.DUMMYFUNCTION("""COMPUTED_VALUE"""),1275)</f>
        <v>1275</v>
      </c>
      <c r="K8" s="728">
        <v>5</v>
      </c>
      <c r="L8" s="729">
        <v>3.8999999999999998E-3</v>
      </c>
      <c r="M8" s="598">
        <f ca="1">IFERROR(__xludf.DUMMYFUNCTION("""COMPUTED_VALUE"""),6004511)</f>
        <v>6004511</v>
      </c>
      <c r="N8" s="58">
        <f t="shared" ca="1" si="1"/>
        <v>3.937007874015748E-3</v>
      </c>
      <c r="O8" s="595">
        <f ca="1">IFERROR(__xludf.DUMMYFUNCTION("""COMPUTED_VALUE"""),6)</f>
        <v>6</v>
      </c>
      <c r="P8" s="499" t="str">
        <f ca="1">IFERROR(__xludf.DUMMYFUNCTION("""COMPUTED_VALUE"""),"2892 第一金")</f>
        <v>2892 第一金</v>
      </c>
      <c r="Q8" s="499">
        <f ca="1">IFERROR(__xludf.DUMMYFUNCTION("""COMPUTED_VALUE"""),33.35)</f>
        <v>33.35</v>
      </c>
      <c r="R8" s="726">
        <v>0.2</v>
      </c>
      <c r="S8" s="730">
        <v>6.0000000000000001E-3</v>
      </c>
      <c r="T8" s="511">
        <f ca="1">IFERROR(__xludf.DUMMYFUNCTION("""COMPUTED_VALUE"""),817)</f>
        <v>817</v>
      </c>
      <c r="U8" s="511">
        <f ca="1">IFERROR(__xludf.DUMMYFUNCTION("""COMPUTED_VALUE"""),2292)</f>
        <v>2292</v>
      </c>
      <c r="V8" s="732">
        <f ca="1">IFERROR(__xludf.DUMMYFUNCTION("""COMPUTED_VALUE"""),0.3565)</f>
        <v>0.35649999999999998</v>
      </c>
      <c r="W8" s="57">
        <f t="shared" ca="1" si="2"/>
        <v>6.0331825037707393E-3</v>
      </c>
      <c r="X8" s="618">
        <f ca="1">IFERROR(__xludf.DUMMYFUNCTION("""COMPUTED_VALUE"""),6)</f>
        <v>6</v>
      </c>
      <c r="Y8" s="499" t="str">
        <f ca="1">IFERROR(__xludf.DUMMYFUNCTION("""COMPUTED_VALUE"""),"6569 醫揚")</f>
        <v>6569 醫揚</v>
      </c>
      <c r="Z8" s="499">
        <f ca="1">IFERROR(__xludf.DUMMYFUNCTION("""COMPUTED_VALUE"""),92.5)</f>
        <v>92.5</v>
      </c>
      <c r="AA8" s="726">
        <v>-1.2</v>
      </c>
      <c r="AB8" s="730">
        <v>-1.2800000000000001E-2</v>
      </c>
      <c r="AC8" s="511">
        <f ca="1">IFERROR(__xludf.DUMMYFUNCTION("""COMPUTED_VALUE"""),52)</f>
        <v>52</v>
      </c>
      <c r="AD8" s="511">
        <f ca="1">IFERROR(__xludf.DUMMYFUNCTION("""COMPUTED_VALUE"""),301)</f>
        <v>301</v>
      </c>
      <c r="AE8" s="732">
        <f ca="1">IFERROR(__xludf.DUMMYFUNCTION("""COMPUTED_VALUE"""),0.1728)</f>
        <v>0.17280000000000001</v>
      </c>
      <c r="AF8" s="57">
        <f t="shared" ca="1" si="3"/>
        <v>-1.2806830309498399E-2</v>
      </c>
      <c r="AG8" s="8"/>
      <c r="AH8" s="8"/>
      <c r="AI8" s="8"/>
      <c r="AJ8" s="8"/>
      <c r="AK8" s="8"/>
      <c r="AL8" s="8"/>
      <c r="AM8" s="8"/>
      <c r="AN8" s="8"/>
      <c r="AO8" s="8"/>
    </row>
    <row r="9" spans="1:41" ht="15.75" customHeight="1">
      <c r="A9" s="589">
        <f ca="1">IFERROR(__xludf.DUMMYFUNCTION("""COMPUTED_VALUE"""),7)</f>
        <v>7</v>
      </c>
      <c r="B9" s="590" t="str">
        <f ca="1">IFERROR(__xludf.DUMMYFUNCTION("""COMPUTED_VALUE"""),"1303 南亞")</f>
        <v>1303 南亞</v>
      </c>
      <c r="C9" s="591">
        <f ca="1">IFERROR(__xludf.DUMMYFUNCTION("""COMPUTED_VALUE"""),207.5)</f>
        <v>207.5</v>
      </c>
      <c r="D9" s="725">
        <v>18.5</v>
      </c>
      <c r="E9" s="729">
        <v>9.7900000000000001E-2</v>
      </c>
      <c r="F9" s="593">
        <f ca="1">IFERROR(__xludf.DUMMYFUNCTION("""COMPUTED_VALUE"""),31684015)</f>
        <v>31684015</v>
      </c>
      <c r="G9" s="57">
        <f t="shared" ca="1" si="0"/>
        <v>9.7883597883597878E-2</v>
      </c>
      <c r="H9" s="589">
        <f ca="1">IFERROR(__xludf.DUMMYFUNCTION("""COMPUTED_VALUE"""),7)</f>
        <v>7</v>
      </c>
      <c r="I9" s="590" t="str">
        <f ca="1">IFERROR(__xludf.DUMMYFUNCTION("""COMPUTED_VALUE"""),"6274 台燿")</f>
        <v>6274 台燿</v>
      </c>
      <c r="J9" s="609">
        <f ca="1">IFERROR(__xludf.DUMMYFUNCTION("""COMPUTED_VALUE"""),1675)</f>
        <v>1675</v>
      </c>
      <c r="K9" s="728">
        <v>75</v>
      </c>
      <c r="L9" s="729">
        <v>4.6899999999999997E-2</v>
      </c>
      <c r="M9" s="598">
        <f ca="1">IFERROR(__xludf.DUMMYFUNCTION("""COMPUTED_VALUE"""),5929221)</f>
        <v>5929221</v>
      </c>
      <c r="N9" s="58">
        <f t="shared" ca="1" si="1"/>
        <v>4.6875E-2</v>
      </c>
      <c r="O9" s="595">
        <f ca="1">IFERROR(__xludf.DUMMYFUNCTION("""COMPUTED_VALUE"""),7)</f>
        <v>7</v>
      </c>
      <c r="P9" s="499" t="str">
        <f ca="1">IFERROR(__xludf.DUMMYFUNCTION("""COMPUTED_VALUE"""),"2880 華南金")</f>
        <v>2880 華南金</v>
      </c>
      <c r="Q9" s="499">
        <f ca="1">IFERROR(__xludf.DUMMYFUNCTION("""COMPUTED_VALUE"""),38.95)</f>
        <v>38.950000000000003</v>
      </c>
      <c r="R9" s="726">
        <v>-0.15</v>
      </c>
      <c r="S9" s="730">
        <v>-3.8E-3</v>
      </c>
      <c r="T9" s="511">
        <f ca="1">IFERROR(__xludf.DUMMYFUNCTION("""COMPUTED_VALUE"""),838)</f>
        <v>838</v>
      </c>
      <c r="U9" s="511">
        <f ca="1">IFERROR(__xludf.DUMMYFUNCTION("""COMPUTED_VALUE"""),2496)</f>
        <v>2496</v>
      </c>
      <c r="V9" s="732">
        <f ca="1">IFERROR(__xludf.DUMMYFUNCTION("""COMPUTED_VALUE"""),0.3357)</f>
        <v>0.3357</v>
      </c>
      <c r="W9" s="57">
        <f t="shared" ca="1" si="2"/>
        <v>-3.8363171355498718E-3</v>
      </c>
      <c r="X9" s="618">
        <f ca="1">IFERROR(__xludf.DUMMYFUNCTION("""COMPUTED_VALUE"""),7)</f>
        <v>7</v>
      </c>
      <c r="Y9" s="499" t="str">
        <f ca="1">IFERROR(__xludf.DUMMYFUNCTION("""COMPUTED_VALUE"""),"5351 鈺創")</f>
        <v>5351 鈺創</v>
      </c>
      <c r="Z9" s="499">
        <f ca="1">IFERROR(__xludf.DUMMYFUNCTION("""COMPUTED_VALUE"""),133)</f>
        <v>133</v>
      </c>
      <c r="AA9" s="726">
        <v>4</v>
      </c>
      <c r="AB9" s="730">
        <v>3.1E-2</v>
      </c>
      <c r="AC9" s="511">
        <f ca="1">IFERROR(__xludf.DUMMYFUNCTION("""COMPUTED_VALUE"""),1784)</f>
        <v>1784</v>
      </c>
      <c r="AD9" s="511">
        <f ca="1">IFERROR(__xludf.DUMMYFUNCTION("""COMPUTED_VALUE"""),11937)</f>
        <v>11937</v>
      </c>
      <c r="AE9" s="732">
        <f ca="1">IFERROR(__xludf.DUMMYFUNCTION("""COMPUTED_VALUE"""),0.1495)</f>
        <v>0.14949999999999999</v>
      </c>
      <c r="AF9" s="57">
        <f t="shared" ca="1" si="3"/>
        <v>3.1007751937984496E-2</v>
      </c>
      <c r="AG9" s="8"/>
      <c r="AH9" s="8"/>
      <c r="AI9" s="8"/>
      <c r="AJ9" s="8"/>
      <c r="AK9" s="8"/>
      <c r="AL9" s="8"/>
      <c r="AM9" s="8"/>
      <c r="AN9" s="8"/>
      <c r="AO9" s="8"/>
    </row>
    <row r="10" spans="1:41" ht="15.75" customHeight="1">
      <c r="A10" s="589">
        <f ca="1">IFERROR(__xludf.DUMMYFUNCTION("""COMPUTED_VALUE"""),8)</f>
        <v>8</v>
      </c>
      <c r="B10" s="590" t="str">
        <f ca="1">IFERROR(__xludf.DUMMYFUNCTION("""COMPUTED_VALUE"""),"4958 臻鼎-KY")</f>
        <v>4958 臻鼎-KY</v>
      </c>
      <c r="C10" s="591">
        <f ca="1">IFERROR(__xludf.DUMMYFUNCTION("""COMPUTED_VALUE"""),489.5)</f>
        <v>489.5</v>
      </c>
      <c r="D10" s="725">
        <v>12</v>
      </c>
      <c r="E10" s="729">
        <v>2.5099999999999997E-2</v>
      </c>
      <c r="F10" s="593">
        <f ca="1">IFERROR(__xludf.DUMMYFUNCTION("""COMPUTED_VALUE"""),31237060)</f>
        <v>31237060</v>
      </c>
      <c r="G10" s="57">
        <f t="shared" ca="1" si="0"/>
        <v>2.5130890052356022E-2</v>
      </c>
      <c r="H10" s="589">
        <f ca="1">IFERROR(__xludf.DUMMYFUNCTION("""COMPUTED_VALUE"""),8)</f>
        <v>8</v>
      </c>
      <c r="I10" s="590" t="str">
        <f ca="1">IFERROR(__xludf.DUMMYFUNCTION("""COMPUTED_VALUE"""),"3105 穩懋")</f>
        <v>3105 穩懋</v>
      </c>
      <c r="J10" s="592">
        <f ca="1">IFERROR(__xludf.DUMMYFUNCTION("""COMPUTED_VALUE"""),378)</f>
        <v>378</v>
      </c>
      <c r="K10" s="728">
        <v>-9</v>
      </c>
      <c r="L10" s="729">
        <v>-2.3300000000000001E-2</v>
      </c>
      <c r="M10" s="598">
        <f ca="1">IFERROR(__xludf.DUMMYFUNCTION("""COMPUTED_VALUE"""),5804221)</f>
        <v>5804221</v>
      </c>
      <c r="N10" s="58">
        <f t="shared" ca="1" si="1"/>
        <v>-2.3255813953488372E-2</v>
      </c>
      <c r="O10" s="595">
        <f ca="1">IFERROR(__xludf.DUMMYFUNCTION("""COMPUTED_VALUE"""),8)</f>
        <v>8</v>
      </c>
      <c r="P10" s="499" t="str">
        <f ca="1">IFERROR(__xludf.DUMMYFUNCTION("""COMPUTED_VALUE"""),"6116 彩晶")</f>
        <v>6116 彩晶</v>
      </c>
      <c r="Q10" s="499">
        <f ca="1">IFERROR(__xludf.DUMMYFUNCTION("""COMPUTED_VALUE"""),13.9)</f>
        <v>13.9</v>
      </c>
      <c r="R10" s="726">
        <v>-0.05</v>
      </c>
      <c r="S10" s="730">
        <v>-3.5999999999999999E-3</v>
      </c>
      <c r="T10" s="511">
        <f ca="1">IFERROR(__xludf.DUMMYFUNCTION("""COMPUTED_VALUE"""),11300)</f>
        <v>11300</v>
      </c>
      <c r="U10" s="511">
        <f ca="1">IFERROR(__xludf.DUMMYFUNCTION("""COMPUTED_VALUE"""),35009)</f>
        <v>35009</v>
      </c>
      <c r="V10" s="732">
        <f ca="1">IFERROR(__xludf.DUMMYFUNCTION("""COMPUTED_VALUE"""),0.3228)</f>
        <v>0.32279999999999998</v>
      </c>
      <c r="W10" s="57">
        <f t="shared" ca="1" si="2"/>
        <v>-3.5842293906810036E-3</v>
      </c>
      <c r="X10" s="618">
        <f ca="1">IFERROR(__xludf.DUMMYFUNCTION("""COMPUTED_VALUE"""),8)</f>
        <v>8</v>
      </c>
      <c r="Y10" s="499" t="str">
        <f ca="1">IFERROR(__xludf.DUMMYFUNCTION("""COMPUTED_VALUE"""),"3441 聯一光")</f>
        <v>3441 聯一光</v>
      </c>
      <c r="Z10" s="499">
        <f ca="1">IFERROR(__xludf.DUMMYFUNCTION("""COMPUTED_VALUE"""),83.8)</f>
        <v>83.8</v>
      </c>
      <c r="AA10" s="726">
        <v>-1.2</v>
      </c>
      <c r="AB10" s="730">
        <v>-1.41E-2</v>
      </c>
      <c r="AC10" s="511">
        <f ca="1">IFERROR(__xludf.DUMMYFUNCTION("""COMPUTED_VALUE"""),529)</f>
        <v>529</v>
      </c>
      <c r="AD10" s="511">
        <f ca="1">IFERROR(__xludf.DUMMYFUNCTION("""COMPUTED_VALUE"""),3767)</f>
        <v>3767</v>
      </c>
      <c r="AE10" s="732">
        <f ca="1">IFERROR(__xludf.DUMMYFUNCTION("""COMPUTED_VALUE"""),0.1404)</f>
        <v>0.1404</v>
      </c>
      <c r="AF10" s="57">
        <f t="shared" ca="1" si="3"/>
        <v>-1.4117647058823528E-2</v>
      </c>
      <c r="AG10" s="8"/>
      <c r="AH10" s="8"/>
      <c r="AI10" s="8"/>
      <c r="AJ10" s="8"/>
      <c r="AK10" s="8"/>
      <c r="AL10" s="8"/>
      <c r="AM10" s="8"/>
      <c r="AN10" s="8"/>
      <c r="AO10" s="8"/>
    </row>
    <row r="11" spans="1:41" ht="15.75" customHeight="1">
      <c r="A11" s="589">
        <f ca="1">IFERROR(__xludf.DUMMYFUNCTION("""COMPUTED_VALUE"""),9)</f>
        <v>9</v>
      </c>
      <c r="B11" s="590" t="str">
        <f ca="1">IFERROR(__xludf.DUMMYFUNCTION("""COMPUTED_VALUE"""),"8046 南電")</f>
        <v>8046 南電</v>
      </c>
      <c r="C11" s="594">
        <f ca="1">IFERROR(__xludf.DUMMYFUNCTION("""COMPUTED_VALUE"""),1305)</f>
        <v>1305</v>
      </c>
      <c r="D11" s="725">
        <v>90</v>
      </c>
      <c r="E11" s="729">
        <v>7.4099999999999999E-2</v>
      </c>
      <c r="F11" s="593">
        <f ca="1">IFERROR(__xludf.DUMMYFUNCTION("""COMPUTED_VALUE"""),30116152)</f>
        <v>30116152</v>
      </c>
      <c r="G11" s="57">
        <f t="shared" ca="1" si="0"/>
        <v>7.407407407407407E-2</v>
      </c>
      <c r="H11" s="589">
        <f ca="1">IFERROR(__xludf.DUMMYFUNCTION("""COMPUTED_VALUE"""),9)</f>
        <v>9</v>
      </c>
      <c r="I11" s="590" t="str">
        <f ca="1">IFERROR(__xludf.DUMMYFUNCTION("""COMPUTED_VALUE"""),"5274 信驊")</f>
        <v>5274 信驊</v>
      </c>
      <c r="J11" s="609">
        <f ca="1">IFERROR(__xludf.DUMMYFUNCTION("""COMPUTED_VALUE"""),17690)</f>
        <v>17690</v>
      </c>
      <c r="K11" s="728">
        <v>200</v>
      </c>
      <c r="L11" s="729">
        <v>1.14E-2</v>
      </c>
      <c r="M11" s="598">
        <f ca="1">IFERROR(__xludf.DUMMYFUNCTION("""COMPUTED_VALUE"""),5137947)</f>
        <v>5137947</v>
      </c>
      <c r="N11" s="58">
        <f t="shared" ca="1" si="1"/>
        <v>1.1435105774728416E-2</v>
      </c>
      <c r="O11" s="595">
        <f ca="1">IFERROR(__xludf.DUMMYFUNCTION("""COMPUTED_VALUE"""),9)</f>
        <v>9</v>
      </c>
      <c r="P11" s="499" t="str">
        <f ca="1">IFERROR(__xludf.DUMMYFUNCTION("""COMPUTED_VALUE"""),"00640L富邦日本正2")</f>
        <v>00640L富邦日本正2</v>
      </c>
      <c r="Q11" s="499">
        <f ca="1">IFERROR(__xludf.DUMMYFUNCTION("""COMPUTED_VALUE"""),113.55)</f>
        <v>113.55</v>
      </c>
      <c r="R11" s="726">
        <v>0.6</v>
      </c>
      <c r="S11" s="730">
        <v>5.3E-3</v>
      </c>
      <c r="T11" s="511">
        <f ca="1">IFERROR(__xludf.DUMMYFUNCTION("""COMPUTED_VALUE"""),36)</f>
        <v>36</v>
      </c>
      <c r="U11" s="511">
        <f ca="1">IFERROR(__xludf.DUMMYFUNCTION("""COMPUTED_VALUE"""),128)</f>
        <v>128</v>
      </c>
      <c r="V11" s="732">
        <f ca="1">IFERROR(__xludf.DUMMYFUNCTION("""COMPUTED_VALUE"""),0.2813)</f>
        <v>0.28129999999999999</v>
      </c>
      <c r="W11" s="57">
        <f t="shared" ca="1" si="2"/>
        <v>5.3120849933598934E-3</v>
      </c>
      <c r="X11" s="618">
        <f ca="1">IFERROR(__xludf.DUMMYFUNCTION("""COMPUTED_VALUE"""),9)</f>
        <v>9</v>
      </c>
      <c r="Y11" s="499" t="str">
        <f ca="1">IFERROR(__xludf.DUMMYFUNCTION("""COMPUTED_VALUE"""),"3691 碩禾")</f>
        <v>3691 碩禾</v>
      </c>
      <c r="Z11" s="499">
        <f ca="1">IFERROR(__xludf.DUMMYFUNCTION("""COMPUTED_VALUE"""),110)</f>
        <v>110</v>
      </c>
      <c r="AA11" s="726">
        <v>-12</v>
      </c>
      <c r="AB11" s="730">
        <v>-9.8400000000000001E-2</v>
      </c>
      <c r="AC11" s="511">
        <f ca="1">IFERROR(__xludf.DUMMYFUNCTION("""COMPUTED_VALUE"""),371)</f>
        <v>371</v>
      </c>
      <c r="AD11" s="511">
        <f ca="1">IFERROR(__xludf.DUMMYFUNCTION("""COMPUTED_VALUE"""),2690)</f>
        <v>2690</v>
      </c>
      <c r="AE11" s="732">
        <f ca="1">IFERROR(__xludf.DUMMYFUNCTION("""COMPUTED_VALUE"""),0.1379)</f>
        <v>0.13789999999999999</v>
      </c>
      <c r="AF11" s="57">
        <f t="shared" ca="1" si="3"/>
        <v>-9.8360655737704916E-2</v>
      </c>
      <c r="AG11" s="8"/>
      <c r="AH11" s="8"/>
      <c r="AI11" s="8"/>
      <c r="AJ11" s="8"/>
      <c r="AK11" s="8"/>
      <c r="AL11" s="8"/>
      <c r="AM11" s="8"/>
      <c r="AN11" s="8"/>
      <c r="AO11" s="8"/>
    </row>
    <row r="12" spans="1:41" ht="15.75" customHeight="1">
      <c r="A12" s="589">
        <f ca="1">IFERROR(__xludf.DUMMYFUNCTION("""COMPUTED_VALUE"""),10)</f>
        <v>10</v>
      </c>
      <c r="B12" s="590" t="str">
        <f ca="1">IFERROR(__xludf.DUMMYFUNCTION("""COMPUTED_VALUE"""),"2308 台達電")</f>
        <v>2308 台達電</v>
      </c>
      <c r="C12" s="594">
        <f ca="1">IFERROR(__xludf.DUMMYFUNCTION("""COMPUTED_VALUE"""),1885)</f>
        <v>1885</v>
      </c>
      <c r="D12" s="725">
        <v>0</v>
      </c>
      <c r="E12" s="729">
        <v>0</v>
      </c>
      <c r="F12" s="593">
        <f ca="1">IFERROR(__xludf.DUMMYFUNCTION("""COMPUTED_VALUE"""),26791405)</f>
        <v>26791405</v>
      </c>
      <c r="G12" s="57">
        <f t="shared" ca="1" si="0"/>
        <v>0</v>
      </c>
      <c r="H12" s="589">
        <f ca="1">IFERROR(__xludf.DUMMYFUNCTION("""COMPUTED_VALUE"""),10)</f>
        <v>10</v>
      </c>
      <c r="I12" s="590" t="str">
        <f ca="1">IFERROR(__xludf.DUMMYFUNCTION("""COMPUTED_VALUE"""),"5483 中美晶")</f>
        <v>5483 中美晶</v>
      </c>
      <c r="J12" s="592">
        <f ca="1">IFERROR(__xludf.DUMMYFUNCTION("""COMPUTED_VALUE"""),188)</f>
        <v>188</v>
      </c>
      <c r="K12" s="728">
        <v>0.5</v>
      </c>
      <c r="L12" s="729">
        <v>2.7000000000000001E-3</v>
      </c>
      <c r="M12" s="598">
        <f ca="1">IFERROR(__xludf.DUMMYFUNCTION("""COMPUTED_VALUE"""),4884790)</f>
        <v>4884790</v>
      </c>
      <c r="N12" s="58">
        <f t="shared" ca="1" si="1"/>
        <v>2.6666666666666666E-3</v>
      </c>
      <c r="O12" s="595">
        <f ca="1">IFERROR(__xludf.DUMMYFUNCTION("""COMPUTED_VALUE"""),10)</f>
        <v>10</v>
      </c>
      <c r="P12" s="499" t="str">
        <f ca="1">IFERROR(__xludf.DUMMYFUNCTION("""COMPUTED_VALUE"""),"1529 樂事綠能")</f>
        <v>1529 樂事綠能</v>
      </c>
      <c r="Q12" s="499">
        <f ca="1">IFERROR(__xludf.DUMMYFUNCTION("""COMPUTED_VALUE"""),16.95)</f>
        <v>16.95</v>
      </c>
      <c r="R12" s="726">
        <v>-0.05</v>
      </c>
      <c r="S12" s="730">
        <v>-2.8999999999999998E-3</v>
      </c>
      <c r="T12" s="511">
        <f ca="1">IFERROR(__xludf.DUMMYFUNCTION("""COMPUTED_VALUE"""),651)</f>
        <v>651</v>
      </c>
      <c r="U12" s="511">
        <f ca="1">IFERROR(__xludf.DUMMYFUNCTION("""COMPUTED_VALUE"""),2732)</f>
        <v>2732</v>
      </c>
      <c r="V12" s="732">
        <f ca="1">IFERROR(__xludf.DUMMYFUNCTION("""COMPUTED_VALUE"""),0.2383)</f>
        <v>0.23830000000000001</v>
      </c>
      <c r="W12" s="57">
        <f t="shared" ca="1" si="2"/>
        <v>-2.9411764705882353E-3</v>
      </c>
      <c r="X12" s="618">
        <f ca="1">IFERROR(__xludf.DUMMYFUNCTION("""COMPUTED_VALUE"""),10)</f>
        <v>10</v>
      </c>
      <c r="Y12" s="499" t="str">
        <f ca="1">IFERROR(__xludf.DUMMYFUNCTION("""COMPUTED_VALUE"""),"5371 中光電")</f>
        <v>5371 中光電</v>
      </c>
      <c r="Z12" s="499">
        <f ca="1">IFERROR(__xludf.DUMMYFUNCTION("""COMPUTED_VALUE"""),90.1)</f>
        <v>90.1</v>
      </c>
      <c r="AA12" s="726">
        <v>3.8</v>
      </c>
      <c r="AB12" s="730">
        <v>4.3999999999999997E-2</v>
      </c>
      <c r="AC12" s="511">
        <f ca="1">IFERROR(__xludf.DUMMYFUNCTION("""COMPUTED_VALUE"""),2138)</f>
        <v>2138</v>
      </c>
      <c r="AD12" s="511">
        <f ca="1">IFERROR(__xludf.DUMMYFUNCTION("""COMPUTED_VALUE"""),15959)</f>
        <v>15959</v>
      </c>
      <c r="AE12" s="732">
        <f ca="1">IFERROR(__xludf.DUMMYFUNCTION("""COMPUTED_VALUE"""),0.134)</f>
        <v>0.13400000000000001</v>
      </c>
      <c r="AF12" s="57">
        <f t="shared" ca="1" si="3"/>
        <v>4.4032444959443799E-2</v>
      </c>
      <c r="AG12" s="8"/>
      <c r="AH12" s="8"/>
      <c r="AI12" s="8"/>
      <c r="AJ12" s="8"/>
      <c r="AK12" s="8"/>
      <c r="AL12" s="8"/>
      <c r="AM12" s="8"/>
      <c r="AN12" s="8"/>
      <c r="AO12" s="8"/>
    </row>
    <row r="13" spans="1:41" ht="15.75" customHeight="1">
      <c r="A13" s="589">
        <f ca="1">IFERROR(__xludf.DUMMYFUNCTION("""COMPUTED_VALUE"""),11)</f>
        <v>11</v>
      </c>
      <c r="B13" s="590" t="str">
        <f ca="1">IFERROR(__xludf.DUMMYFUNCTION("""COMPUTED_VALUE"""),"3017 奇鋐")</f>
        <v>3017 奇鋐</v>
      </c>
      <c r="C13" s="594">
        <f ca="1">IFERROR(__xludf.DUMMYFUNCTION("""COMPUTED_VALUE"""),3235)</f>
        <v>3235</v>
      </c>
      <c r="D13" s="725">
        <v>35</v>
      </c>
      <c r="E13" s="729">
        <v>1.09E-2</v>
      </c>
      <c r="F13" s="593">
        <f ca="1">IFERROR(__xludf.DUMMYFUNCTION("""COMPUTED_VALUE"""),23876896)</f>
        <v>23876896</v>
      </c>
      <c r="G13" s="57">
        <f t="shared" ca="1" si="0"/>
        <v>1.0937499999999999E-2</v>
      </c>
      <c r="H13" s="589">
        <f ca="1">IFERROR(__xludf.DUMMYFUNCTION("""COMPUTED_VALUE"""),11)</f>
        <v>11</v>
      </c>
      <c r="I13" s="590" t="str">
        <f ca="1">IFERROR(__xludf.DUMMYFUNCTION("""COMPUTED_VALUE"""),"5475 德宏")</f>
        <v>5475 德宏</v>
      </c>
      <c r="J13" s="592">
        <f ca="1">IFERROR(__xludf.DUMMYFUNCTION("""COMPUTED_VALUE"""),170.5)</f>
        <v>170.5</v>
      </c>
      <c r="K13" s="728">
        <v>7.5</v>
      </c>
      <c r="L13" s="729">
        <v>4.5999999999999999E-2</v>
      </c>
      <c r="M13" s="598">
        <f ca="1">IFERROR(__xludf.DUMMYFUNCTION("""COMPUTED_VALUE"""),4801073)</f>
        <v>4801073</v>
      </c>
      <c r="N13" s="58">
        <f t="shared" ca="1" si="1"/>
        <v>4.6012269938650305E-2</v>
      </c>
      <c r="O13" s="595">
        <f ca="1">IFERROR(__xludf.DUMMYFUNCTION("""COMPUTED_VALUE"""),11)</f>
        <v>11</v>
      </c>
      <c r="P13" s="499" t="str">
        <f ca="1">IFERROR(__xludf.DUMMYFUNCTION("""COMPUTED_VALUE"""),"00893 國泰智能電動車")</f>
        <v>00893 國泰智能電動車</v>
      </c>
      <c r="Q13" s="499">
        <f ca="1">IFERROR(__xludf.DUMMYFUNCTION("""COMPUTED_VALUE"""),44.07)</f>
        <v>44.07</v>
      </c>
      <c r="R13" s="726">
        <v>-0.17</v>
      </c>
      <c r="S13" s="730">
        <v>-3.8E-3</v>
      </c>
      <c r="T13" s="511">
        <f ca="1">IFERROR(__xludf.DUMMYFUNCTION("""COMPUTED_VALUE"""),18)</f>
        <v>18</v>
      </c>
      <c r="U13" s="511">
        <f ca="1">IFERROR(__xludf.DUMMYFUNCTION("""COMPUTED_VALUE"""),77)</f>
        <v>77</v>
      </c>
      <c r="V13" s="732">
        <f ca="1">IFERROR(__xludf.DUMMYFUNCTION("""COMPUTED_VALUE"""),0.2338)</f>
        <v>0.23380000000000001</v>
      </c>
      <c r="W13" s="57">
        <f t="shared" ca="1" si="2"/>
        <v>-3.8426763110307417E-3</v>
      </c>
      <c r="X13" s="618">
        <f ca="1">IFERROR(__xludf.DUMMYFUNCTION("""COMPUTED_VALUE"""),11)</f>
        <v>11</v>
      </c>
      <c r="Y13" s="499" t="str">
        <f ca="1">IFERROR(__xludf.DUMMYFUNCTION("""COMPUTED_VALUE"""),"4510 高鋒")</f>
        <v>4510 高鋒</v>
      </c>
      <c r="Z13" s="499">
        <f ca="1">IFERROR(__xludf.DUMMYFUNCTION("""COMPUTED_VALUE"""),46.45)</f>
        <v>46.45</v>
      </c>
      <c r="AA13" s="726">
        <v>0.75</v>
      </c>
      <c r="AB13" s="730">
        <v>1.6399999999999998E-2</v>
      </c>
      <c r="AC13" s="511">
        <f ca="1">IFERROR(__xludf.DUMMYFUNCTION("""COMPUTED_VALUE"""),594)</f>
        <v>594</v>
      </c>
      <c r="AD13" s="511">
        <f ca="1">IFERROR(__xludf.DUMMYFUNCTION("""COMPUTED_VALUE"""),4529)</f>
        <v>4529</v>
      </c>
      <c r="AE13" s="732">
        <f ca="1">IFERROR(__xludf.DUMMYFUNCTION("""COMPUTED_VALUE"""),0.1312)</f>
        <v>0.13120000000000001</v>
      </c>
      <c r="AF13" s="57">
        <f t="shared" ca="1" si="3"/>
        <v>1.6411378555798686E-2</v>
      </c>
      <c r="AG13" s="8"/>
      <c r="AH13" s="8"/>
      <c r="AI13" s="8"/>
      <c r="AJ13" s="8"/>
      <c r="AK13" s="8"/>
      <c r="AL13" s="8"/>
      <c r="AM13" s="8"/>
      <c r="AN13" s="8"/>
      <c r="AO13" s="8"/>
    </row>
    <row r="14" spans="1:41" ht="15.75" customHeight="1">
      <c r="A14" s="589">
        <f ca="1">IFERROR(__xludf.DUMMYFUNCTION("""COMPUTED_VALUE"""),12)</f>
        <v>12</v>
      </c>
      <c r="B14" s="590" t="str">
        <f ca="1">IFERROR(__xludf.DUMMYFUNCTION("""COMPUTED_VALUE"""),"3231 緯創")</f>
        <v>3231 緯創</v>
      </c>
      <c r="C14" s="591">
        <f ca="1">IFERROR(__xludf.DUMMYFUNCTION("""COMPUTED_VALUE"""),193.5)</f>
        <v>193.5</v>
      </c>
      <c r="D14" s="725">
        <v>-3.5</v>
      </c>
      <c r="E14" s="729">
        <v>-1.78E-2</v>
      </c>
      <c r="F14" s="593">
        <f ca="1">IFERROR(__xludf.DUMMYFUNCTION("""COMPUTED_VALUE"""),18829679)</f>
        <v>18829679</v>
      </c>
      <c r="G14" s="57">
        <f t="shared" ca="1" si="0"/>
        <v>-1.7766497461928935E-2</v>
      </c>
      <c r="H14" s="589">
        <f ca="1">IFERROR(__xludf.DUMMYFUNCTION("""COMPUTED_VALUE"""),12)</f>
        <v>12</v>
      </c>
      <c r="I14" s="590" t="str">
        <f ca="1">IFERROR(__xludf.DUMMYFUNCTION("""COMPUTED_VALUE"""),"5289 宜鼎")</f>
        <v>5289 宜鼎</v>
      </c>
      <c r="J14" s="609">
        <f ca="1">IFERROR(__xludf.DUMMYFUNCTION("""COMPUTED_VALUE"""),1475)</f>
        <v>1475</v>
      </c>
      <c r="K14" s="728">
        <v>-60</v>
      </c>
      <c r="L14" s="729">
        <v>-3.9100000000000003E-2</v>
      </c>
      <c r="M14" s="598">
        <f ca="1">IFERROR(__xludf.DUMMYFUNCTION("""COMPUTED_VALUE"""),4723294)</f>
        <v>4723294</v>
      </c>
      <c r="N14" s="58">
        <f t="shared" ca="1" si="1"/>
        <v>-3.9087947882736153E-2</v>
      </c>
      <c r="O14" s="595">
        <f ca="1">IFERROR(__xludf.DUMMYFUNCTION("""COMPUTED_VALUE"""),12)</f>
        <v>12</v>
      </c>
      <c r="P14" s="499" t="str">
        <f ca="1">IFERROR(__xludf.DUMMYFUNCTION("""COMPUTED_VALUE"""),"00642U期元大S＆P石油")</f>
        <v>00642U期元大S＆P石油</v>
      </c>
      <c r="Q14" s="499">
        <f ca="1">IFERROR(__xludf.DUMMYFUNCTION("""COMPUTED_VALUE"""),26.85)</f>
        <v>26.85</v>
      </c>
      <c r="R14" s="726">
        <v>-0.46</v>
      </c>
      <c r="S14" s="730">
        <v>-1.6799999999999999E-2</v>
      </c>
      <c r="T14" s="511">
        <f ca="1">IFERROR(__xludf.DUMMYFUNCTION("""COMPUTED_VALUE"""),686)</f>
        <v>686</v>
      </c>
      <c r="U14" s="511">
        <f ca="1">IFERROR(__xludf.DUMMYFUNCTION("""COMPUTED_VALUE"""),3442)</f>
        <v>3442</v>
      </c>
      <c r="V14" s="732">
        <f ca="1">IFERROR(__xludf.DUMMYFUNCTION("""COMPUTED_VALUE"""),0.1993)</f>
        <v>0.1993</v>
      </c>
      <c r="W14" s="57">
        <f t="shared" ca="1" si="2"/>
        <v>-1.6843647015745148E-2</v>
      </c>
      <c r="X14" s="618">
        <f ca="1">IFERROR(__xludf.DUMMYFUNCTION("""COMPUTED_VALUE"""),12)</f>
        <v>12</v>
      </c>
      <c r="Y14" s="499" t="str">
        <f ca="1">IFERROR(__xludf.DUMMYFUNCTION("""COMPUTED_VALUE"""),"3088 艾訊")</f>
        <v>3088 艾訊</v>
      </c>
      <c r="Z14" s="499">
        <f ca="1">IFERROR(__xludf.DUMMYFUNCTION("""COMPUTED_VALUE"""),128.5)</f>
        <v>128.5</v>
      </c>
      <c r="AA14" s="726">
        <v>-9.5</v>
      </c>
      <c r="AB14" s="730">
        <v>-6.88E-2</v>
      </c>
      <c r="AC14" s="511">
        <f ca="1">IFERROR(__xludf.DUMMYFUNCTION("""COMPUTED_VALUE"""),279)</f>
        <v>279</v>
      </c>
      <c r="AD14" s="511">
        <f ca="1">IFERROR(__xludf.DUMMYFUNCTION("""COMPUTED_VALUE"""),2351)</f>
        <v>2351</v>
      </c>
      <c r="AE14" s="732">
        <f ca="1">IFERROR(__xludf.DUMMYFUNCTION("""COMPUTED_VALUE"""),0.1187)</f>
        <v>0.1187</v>
      </c>
      <c r="AF14" s="57">
        <f t="shared" ca="1" si="3"/>
        <v>-6.8840579710144928E-2</v>
      </c>
      <c r="AG14" s="8"/>
      <c r="AH14" s="8"/>
      <c r="AI14" s="8"/>
      <c r="AJ14" s="8"/>
      <c r="AK14" s="8"/>
      <c r="AL14" s="8"/>
      <c r="AM14" s="8"/>
      <c r="AN14" s="8"/>
      <c r="AO14" s="8"/>
    </row>
    <row r="15" spans="1:41" ht="15.75" customHeight="1">
      <c r="A15" s="589">
        <f ca="1">IFERROR(__xludf.DUMMYFUNCTION("""COMPUTED_VALUE"""),13)</f>
        <v>13</v>
      </c>
      <c r="B15" s="590" t="str">
        <f ca="1">IFERROR(__xludf.DUMMYFUNCTION("""COMPUTED_VALUE"""),"2383 台光電")</f>
        <v>2383 台光電</v>
      </c>
      <c r="C15" s="594">
        <f ca="1">IFERROR(__xludf.DUMMYFUNCTION("""COMPUTED_VALUE"""),6165)</f>
        <v>6165</v>
      </c>
      <c r="D15" s="725">
        <v>475</v>
      </c>
      <c r="E15" s="729">
        <v>8.3499999999999991E-2</v>
      </c>
      <c r="F15" s="593">
        <f ca="1">IFERROR(__xludf.DUMMYFUNCTION("""COMPUTED_VALUE"""),18016995)</f>
        <v>18016995</v>
      </c>
      <c r="G15" s="57">
        <f t="shared" ca="1" si="0"/>
        <v>8.347978910369068E-2</v>
      </c>
      <c r="H15" s="589">
        <f ca="1">IFERROR(__xludf.DUMMYFUNCTION("""COMPUTED_VALUE"""),13)</f>
        <v>13</v>
      </c>
      <c r="I15" s="590" t="str">
        <f ca="1">IFERROR(__xludf.DUMMYFUNCTION("""COMPUTED_VALUE"""),"3260 威剛")</f>
        <v>3260 威剛</v>
      </c>
      <c r="J15" s="592">
        <f ca="1">IFERROR(__xludf.DUMMYFUNCTION("""COMPUTED_VALUE"""),402)</f>
        <v>402</v>
      </c>
      <c r="K15" s="728">
        <v>-7</v>
      </c>
      <c r="L15" s="729">
        <v>-1.7100000000000001E-2</v>
      </c>
      <c r="M15" s="598">
        <f ca="1">IFERROR(__xludf.DUMMYFUNCTION("""COMPUTED_VALUE"""),4301061)</f>
        <v>4301061</v>
      </c>
      <c r="N15" s="58">
        <f t="shared" ca="1" si="1"/>
        <v>-1.7114914425427872E-2</v>
      </c>
      <c r="O15" s="595">
        <f ca="1">IFERROR(__xludf.DUMMYFUNCTION("""COMPUTED_VALUE"""),13)</f>
        <v>13</v>
      </c>
      <c r="P15" s="499" t="str">
        <f ca="1">IFERROR(__xludf.DUMMYFUNCTION("""COMPUTED_VALUE"""),"2890 永豐金")</f>
        <v>2890 永豐金</v>
      </c>
      <c r="Q15" s="499">
        <f ca="1">IFERROR(__xludf.DUMMYFUNCTION("""COMPUTED_VALUE"""),40.55)</f>
        <v>40.549999999999997</v>
      </c>
      <c r="R15" s="726">
        <v>0.6</v>
      </c>
      <c r="S15" s="730">
        <v>1.4999999999999999E-2</v>
      </c>
      <c r="T15" s="511">
        <f ca="1">IFERROR(__xludf.DUMMYFUNCTION("""COMPUTED_VALUE"""),432)</f>
        <v>432</v>
      </c>
      <c r="U15" s="511">
        <f ca="1">IFERROR(__xludf.DUMMYFUNCTION("""COMPUTED_VALUE"""),2263)</f>
        <v>2263</v>
      </c>
      <c r="V15" s="732">
        <f ca="1">IFERROR(__xludf.DUMMYFUNCTION("""COMPUTED_VALUE"""),0.1909)</f>
        <v>0.19089999999999999</v>
      </c>
      <c r="W15" s="57">
        <f t="shared" ca="1" si="2"/>
        <v>1.5018773466833543E-2</v>
      </c>
      <c r="X15" s="618">
        <f ca="1">IFERROR(__xludf.DUMMYFUNCTION("""COMPUTED_VALUE"""),13)</f>
        <v>13</v>
      </c>
      <c r="Y15" s="499" t="str">
        <f ca="1">IFERROR(__xludf.DUMMYFUNCTION("""COMPUTED_VALUE"""),"8421 旭源")</f>
        <v>8421 旭源</v>
      </c>
      <c r="Z15" s="499">
        <f ca="1">IFERROR(__xludf.DUMMYFUNCTION("""COMPUTED_VALUE"""),13.5)</f>
        <v>13.5</v>
      </c>
      <c r="AA15" s="726">
        <v>-0.2</v>
      </c>
      <c r="AB15" s="730">
        <v>-1.46E-2</v>
      </c>
      <c r="AC15" s="511">
        <f ca="1">IFERROR(__xludf.DUMMYFUNCTION("""COMPUTED_VALUE"""),84)</f>
        <v>84</v>
      </c>
      <c r="AD15" s="511">
        <f ca="1">IFERROR(__xludf.DUMMYFUNCTION("""COMPUTED_VALUE"""),720)</f>
        <v>720</v>
      </c>
      <c r="AE15" s="732">
        <f ca="1">IFERROR(__xludf.DUMMYFUNCTION("""COMPUTED_VALUE"""),0.1167)</f>
        <v>0.1167</v>
      </c>
      <c r="AF15" s="57">
        <f t="shared" ca="1" si="3"/>
        <v>-1.4598540145985403E-2</v>
      </c>
      <c r="AG15" s="8"/>
      <c r="AH15" s="8"/>
      <c r="AI15" s="8"/>
      <c r="AJ15" s="8"/>
      <c r="AK15" s="8"/>
      <c r="AL15" s="8"/>
      <c r="AM15" s="8"/>
      <c r="AN15" s="8"/>
      <c r="AO15" s="8"/>
    </row>
    <row r="16" spans="1:41" ht="15.75" customHeight="1">
      <c r="A16" s="589">
        <f ca="1">IFERROR(__xludf.DUMMYFUNCTION("""COMPUTED_VALUE"""),14)</f>
        <v>14</v>
      </c>
      <c r="B16" s="590" t="str">
        <f ca="1">IFERROR(__xludf.DUMMYFUNCTION("""COMPUTED_VALUE"""),"2324 仁寶")</f>
        <v>2324 仁寶</v>
      </c>
      <c r="C16" s="591">
        <f ca="1">IFERROR(__xludf.DUMMYFUNCTION("""COMPUTED_VALUE"""),43.2)</f>
        <v>43.2</v>
      </c>
      <c r="D16" s="725">
        <v>3.9</v>
      </c>
      <c r="E16" s="729">
        <v>9.9199999999999997E-2</v>
      </c>
      <c r="F16" s="593">
        <f ca="1">IFERROR(__xludf.DUMMYFUNCTION("""COMPUTED_VALUE"""),17309022)</f>
        <v>17309022</v>
      </c>
      <c r="G16" s="57">
        <f t="shared" ca="1" si="0"/>
        <v>9.9236641221374031E-2</v>
      </c>
      <c r="H16" s="589">
        <f ca="1">IFERROR(__xludf.DUMMYFUNCTION("""COMPUTED_VALUE"""),14)</f>
        <v>14</v>
      </c>
      <c r="I16" s="590" t="str">
        <f ca="1">IFERROR(__xludf.DUMMYFUNCTION("""COMPUTED_VALUE"""),"6173 信昌電")</f>
        <v>6173 信昌電</v>
      </c>
      <c r="J16" s="592">
        <f ca="1">IFERROR(__xludf.DUMMYFUNCTION("""COMPUTED_VALUE"""),210)</f>
        <v>210</v>
      </c>
      <c r="K16" s="728">
        <v>-13.5</v>
      </c>
      <c r="L16" s="729">
        <v>-6.0400000000000002E-2</v>
      </c>
      <c r="M16" s="598">
        <f ca="1">IFERROR(__xludf.DUMMYFUNCTION("""COMPUTED_VALUE"""),4105796)</f>
        <v>4105796</v>
      </c>
      <c r="N16" s="58">
        <f t="shared" ca="1" si="1"/>
        <v>-6.0402684563758392E-2</v>
      </c>
      <c r="O16" s="595">
        <f ca="1">IFERROR(__xludf.DUMMYFUNCTION("""COMPUTED_VALUE"""),14)</f>
        <v>14</v>
      </c>
      <c r="P16" s="499" t="str">
        <f ca="1">IFERROR(__xludf.DUMMYFUNCTION("""COMPUTED_VALUE"""),"00663L國泰臺灣加權正2")</f>
        <v>00663L國泰臺灣加權正2</v>
      </c>
      <c r="Q16" s="499">
        <f ca="1">IFERROR(__xludf.DUMMYFUNCTION("""COMPUTED_VALUE"""),103.2)</f>
        <v>103.2</v>
      </c>
      <c r="R16" s="726">
        <v>-1.3</v>
      </c>
      <c r="S16" s="730">
        <v>-1.24E-2</v>
      </c>
      <c r="T16" s="511">
        <f ca="1">IFERROR(__xludf.DUMMYFUNCTION("""COMPUTED_VALUE"""),1685)</f>
        <v>1685</v>
      </c>
      <c r="U16" s="511">
        <f ca="1">IFERROR(__xludf.DUMMYFUNCTION("""COMPUTED_VALUE"""),9317)</f>
        <v>9317</v>
      </c>
      <c r="V16" s="732">
        <f ca="1">IFERROR(__xludf.DUMMYFUNCTION("""COMPUTED_VALUE"""),0.1809)</f>
        <v>0.18090000000000001</v>
      </c>
      <c r="W16" s="57">
        <f t="shared" ca="1" si="2"/>
        <v>-1.2440191387559809E-2</v>
      </c>
      <c r="X16" s="618">
        <f ca="1">IFERROR(__xludf.DUMMYFUNCTION("""COMPUTED_VALUE"""),14)</f>
        <v>14</v>
      </c>
      <c r="Y16" s="499" t="str">
        <f ca="1">IFERROR(__xludf.DUMMYFUNCTION("""COMPUTED_VALUE"""),"6173 信昌電")</f>
        <v>6173 信昌電</v>
      </c>
      <c r="Z16" s="499">
        <f ca="1">IFERROR(__xludf.DUMMYFUNCTION("""COMPUTED_VALUE"""),210)</f>
        <v>210</v>
      </c>
      <c r="AA16" s="726">
        <v>-13.5</v>
      </c>
      <c r="AB16" s="730">
        <v>-6.0400000000000002E-2</v>
      </c>
      <c r="AC16" s="511">
        <f ca="1">IFERROR(__xludf.DUMMYFUNCTION("""COMPUTED_VALUE"""),1126)</f>
        <v>1126</v>
      </c>
      <c r="AD16" s="511">
        <f ca="1">IFERROR(__xludf.DUMMYFUNCTION("""COMPUTED_VALUE"""),9898)</f>
        <v>9898</v>
      </c>
      <c r="AE16" s="732">
        <f ca="1">IFERROR(__xludf.DUMMYFUNCTION("""COMPUTED_VALUE"""),0.1138)</f>
        <v>0.1138</v>
      </c>
      <c r="AF16" s="57">
        <f t="shared" ca="1" si="3"/>
        <v>-6.0402684563758392E-2</v>
      </c>
      <c r="AG16" s="8"/>
      <c r="AH16" s="8"/>
      <c r="AI16" s="8"/>
      <c r="AJ16" s="8"/>
      <c r="AK16" s="8"/>
      <c r="AL16" s="8"/>
      <c r="AM16" s="8"/>
      <c r="AN16" s="8"/>
      <c r="AO16" s="8"/>
    </row>
    <row r="17" spans="1:41" ht="15.75" customHeight="1">
      <c r="A17" s="589">
        <f ca="1">IFERROR(__xludf.DUMMYFUNCTION("""COMPUTED_VALUE"""),15)</f>
        <v>15</v>
      </c>
      <c r="B17" s="590" t="str">
        <f ca="1">IFERROR(__xludf.DUMMYFUNCTION("""COMPUTED_VALUE"""),"6669 緯穎")</f>
        <v>6669 緯穎</v>
      </c>
      <c r="C17" s="594">
        <f ca="1">IFERROR(__xludf.DUMMYFUNCTION("""COMPUTED_VALUE"""),6435)</f>
        <v>6435</v>
      </c>
      <c r="D17" s="725">
        <v>365</v>
      </c>
      <c r="E17" s="729">
        <v>6.0100000000000001E-2</v>
      </c>
      <c r="F17" s="593">
        <f ca="1">IFERROR(__xludf.DUMMYFUNCTION("""COMPUTED_VALUE"""),16780917)</f>
        <v>16780917</v>
      </c>
      <c r="G17" s="57">
        <f t="shared" ca="1" si="0"/>
        <v>6.0131795716639208E-2</v>
      </c>
      <c r="H17" s="589">
        <f ca="1">IFERROR(__xludf.DUMMYFUNCTION("""COMPUTED_VALUE"""),15)</f>
        <v>15</v>
      </c>
      <c r="I17" s="590" t="str">
        <f ca="1">IFERROR(__xludf.DUMMYFUNCTION("""COMPUTED_VALUE"""),"5347 世界")</f>
        <v>5347 世界</v>
      </c>
      <c r="J17" s="592">
        <f ca="1">IFERROR(__xludf.DUMMYFUNCTION("""COMPUTED_VALUE"""),160.5)</f>
        <v>160.5</v>
      </c>
      <c r="K17" s="728">
        <v>-2.5</v>
      </c>
      <c r="L17" s="729">
        <v>-1.5299999999999999E-2</v>
      </c>
      <c r="M17" s="598">
        <f ca="1">IFERROR(__xludf.DUMMYFUNCTION("""COMPUTED_VALUE"""),3723264)</f>
        <v>3723264</v>
      </c>
      <c r="N17" s="58">
        <f t="shared" ca="1" si="1"/>
        <v>-1.5337423312883436E-2</v>
      </c>
      <c r="O17" s="595">
        <f ca="1">IFERROR(__xludf.DUMMYFUNCTION("""COMPUTED_VALUE"""),15)</f>
        <v>15</v>
      </c>
      <c r="P17" s="499" t="str">
        <f ca="1">IFERROR(__xludf.DUMMYFUNCTION("""COMPUTED_VALUE"""),"8112 至上")</f>
        <v>8112 至上</v>
      </c>
      <c r="Q17" s="499">
        <f ca="1">IFERROR(__xludf.DUMMYFUNCTION("""COMPUTED_VALUE"""),95.8)</f>
        <v>95.8</v>
      </c>
      <c r="R17" s="726">
        <v>-2</v>
      </c>
      <c r="S17" s="730">
        <v>-2.0400000000000001E-2</v>
      </c>
      <c r="T17" s="511">
        <f ca="1">IFERROR(__xludf.DUMMYFUNCTION("""COMPUTED_VALUE"""),2933)</f>
        <v>2933</v>
      </c>
      <c r="U17" s="511">
        <f ca="1">IFERROR(__xludf.DUMMYFUNCTION("""COMPUTED_VALUE"""),16426)</f>
        <v>16426</v>
      </c>
      <c r="V17" s="732">
        <f ca="1">IFERROR(__xludf.DUMMYFUNCTION("""COMPUTED_VALUE"""),0.1786)</f>
        <v>0.17860000000000001</v>
      </c>
      <c r="W17" s="57">
        <f t="shared" ca="1" si="2"/>
        <v>-2.0449897750511249E-2</v>
      </c>
      <c r="X17" s="618">
        <f ca="1">IFERROR(__xludf.DUMMYFUNCTION("""COMPUTED_VALUE"""),15)</f>
        <v>15</v>
      </c>
      <c r="Y17" s="499" t="str">
        <f ca="1">IFERROR(__xludf.DUMMYFUNCTION("""COMPUTED_VALUE"""),"5328 華容")</f>
        <v>5328 華容</v>
      </c>
      <c r="Z17" s="499">
        <f ca="1">IFERROR(__xludf.DUMMYFUNCTION("""COMPUTED_VALUE"""),67.2)</f>
        <v>67.2</v>
      </c>
      <c r="AA17" s="726">
        <v>-1.6</v>
      </c>
      <c r="AB17" s="730">
        <v>-2.3300000000000001E-2</v>
      </c>
      <c r="AC17" s="511">
        <f ca="1">IFERROR(__xludf.DUMMYFUNCTION("""COMPUTED_VALUE"""),861)</f>
        <v>861</v>
      </c>
      <c r="AD17" s="511">
        <f ca="1">IFERROR(__xludf.DUMMYFUNCTION("""COMPUTED_VALUE"""),7649)</f>
        <v>7649</v>
      </c>
      <c r="AE17" s="732">
        <f ca="1">IFERROR(__xludf.DUMMYFUNCTION("""COMPUTED_VALUE"""),0.1126)</f>
        <v>0.11260000000000001</v>
      </c>
      <c r="AF17" s="57">
        <f t="shared" ca="1" si="3"/>
        <v>-2.3255813953488375E-2</v>
      </c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15.75" customHeight="1">
      <c r="A18" s="589">
        <f ca="1">IFERROR(__xludf.DUMMYFUNCTION("""COMPUTED_VALUE"""),16)</f>
        <v>16</v>
      </c>
      <c r="B18" s="590" t="str">
        <f ca="1">IFERROR(__xludf.DUMMYFUNCTION("""COMPUTED_VALUE"""),"2357 華碩")</f>
        <v>2357 華碩</v>
      </c>
      <c r="C18" s="591">
        <f ca="1">IFERROR(__xludf.DUMMYFUNCTION("""COMPUTED_VALUE"""),996)</f>
        <v>996</v>
      </c>
      <c r="D18" s="725">
        <v>59</v>
      </c>
      <c r="E18" s="729">
        <v>6.3E-2</v>
      </c>
      <c r="F18" s="593">
        <f ca="1">IFERROR(__xludf.DUMMYFUNCTION("""COMPUTED_VALUE"""),16191877)</f>
        <v>16191877</v>
      </c>
      <c r="G18" s="57">
        <f t="shared" ca="1" si="0"/>
        <v>6.2966915688367125E-2</v>
      </c>
      <c r="H18" s="589">
        <f ca="1">IFERROR(__xludf.DUMMYFUNCTION("""COMPUTED_VALUE"""),16)</f>
        <v>16</v>
      </c>
      <c r="I18" s="590" t="str">
        <f ca="1">IFERROR(__xludf.DUMMYFUNCTION("""COMPUTED_VALUE"""),"3081 聯亞")</f>
        <v>3081 聯亞</v>
      </c>
      <c r="J18" s="609">
        <f ca="1">IFERROR(__xludf.DUMMYFUNCTION("""COMPUTED_VALUE"""),2540)</f>
        <v>2540</v>
      </c>
      <c r="K18" s="728">
        <v>-125</v>
      </c>
      <c r="L18" s="729">
        <v>-4.6899999999999997E-2</v>
      </c>
      <c r="M18" s="598">
        <f ca="1">IFERROR(__xludf.DUMMYFUNCTION("""COMPUTED_VALUE"""),3716365)</f>
        <v>3716365</v>
      </c>
      <c r="N18" s="58">
        <f t="shared" ca="1" si="1"/>
        <v>-4.6904315196998121E-2</v>
      </c>
      <c r="O18" s="595">
        <f ca="1">IFERROR(__xludf.DUMMYFUNCTION("""COMPUTED_VALUE"""),16)</f>
        <v>16</v>
      </c>
      <c r="P18" s="499" t="str">
        <f ca="1">IFERROR(__xludf.DUMMYFUNCTION("""COMPUTED_VALUE"""),"00885 富邦越南")</f>
        <v>00885 富邦越南</v>
      </c>
      <c r="Q18" s="499">
        <f ca="1">IFERROR(__xludf.DUMMYFUNCTION("""COMPUTED_VALUE"""),17.83)</f>
        <v>17.829999999999998</v>
      </c>
      <c r="R18" s="726">
        <v>-0.65</v>
      </c>
      <c r="S18" s="730">
        <v>-3.5200000000000002E-2</v>
      </c>
      <c r="T18" s="511">
        <f ca="1">IFERROR(__xludf.DUMMYFUNCTION("""COMPUTED_VALUE"""),132)</f>
        <v>132</v>
      </c>
      <c r="U18" s="511">
        <f ca="1">IFERROR(__xludf.DUMMYFUNCTION("""COMPUTED_VALUE"""),742)</f>
        <v>742</v>
      </c>
      <c r="V18" s="732">
        <f ca="1">IFERROR(__xludf.DUMMYFUNCTION("""COMPUTED_VALUE"""),0.1779)</f>
        <v>0.1779</v>
      </c>
      <c r="W18" s="57">
        <f t="shared" ca="1" si="2"/>
        <v>-3.5173160173160183E-2</v>
      </c>
      <c r="X18" s="618">
        <f ca="1">IFERROR(__xludf.DUMMYFUNCTION("""COMPUTED_VALUE"""),16)</f>
        <v>16</v>
      </c>
      <c r="Y18" s="499" t="str">
        <f ca="1">IFERROR(__xludf.DUMMYFUNCTION("""COMPUTED_VALUE"""),"8069 元太")</f>
        <v>8069 元太</v>
      </c>
      <c r="Z18" s="499">
        <f ca="1">IFERROR(__xludf.DUMMYFUNCTION("""COMPUTED_VALUE"""),165.5)</f>
        <v>165.5</v>
      </c>
      <c r="AA18" s="726">
        <v>-5.5</v>
      </c>
      <c r="AB18" s="730">
        <v>-3.2199999999999999E-2</v>
      </c>
      <c r="AC18" s="511">
        <f ca="1">IFERROR(__xludf.DUMMYFUNCTION("""COMPUTED_VALUE"""),980)</f>
        <v>980</v>
      </c>
      <c r="AD18" s="511">
        <f ca="1">IFERROR(__xludf.DUMMYFUNCTION("""COMPUTED_VALUE"""),10697)</f>
        <v>10697</v>
      </c>
      <c r="AE18" s="732">
        <f ca="1">IFERROR(__xludf.DUMMYFUNCTION("""COMPUTED_VALUE"""),0.0916)</f>
        <v>9.1600000000000001E-2</v>
      </c>
      <c r="AF18" s="57">
        <f t="shared" ca="1" si="3"/>
        <v>-3.2163742690058478E-2</v>
      </c>
      <c r="AG18" s="8"/>
      <c r="AH18" s="8"/>
      <c r="AI18" s="8"/>
      <c r="AJ18" s="8"/>
      <c r="AK18" s="8"/>
      <c r="AL18" s="8"/>
      <c r="AM18" s="8"/>
      <c r="AN18" s="8"/>
      <c r="AO18" s="8"/>
    </row>
    <row r="19" spans="1:41" ht="15.75" customHeight="1">
      <c r="A19" s="589">
        <f ca="1">IFERROR(__xludf.DUMMYFUNCTION("""COMPUTED_VALUE"""),17)</f>
        <v>17</v>
      </c>
      <c r="B19" s="590" t="str">
        <f ca="1">IFERROR(__xludf.DUMMYFUNCTION("""COMPUTED_VALUE"""),"3661 世芯-KY")</f>
        <v>3661 世芯-KY</v>
      </c>
      <c r="C19" s="594">
        <f ca="1">IFERROR(__xludf.DUMMYFUNCTION("""COMPUTED_VALUE"""),4210)</f>
        <v>4210</v>
      </c>
      <c r="D19" s="725">
        <v>20</v>
      </c>
      <c r="E19" s="729">
        <v>4.7999999999999996E-3</v>
      </c>
      <c r="F19" s="593">
        <f ca="1">IFERROR(__xludf.DUMMYFUNCTION("""COMPUTED_VALUE"""),15615818)</f>
        <v>15615818</v>
      </c>
      <c r="G19" s="57">
        <f t="shared" ca="1" si="0"/>
        <v>4.7732696897374704E-3</v>
      </c>
      <c r="H19" s="589">
        <f ca="1">IFERROR(__xludf.DUMMYFUNCTION("""COMPUTED_VALUE"""),17)</f>
        <v>17</v>
      </c>
      <c r="I19" s="590" t="str">
        <f ca="1">IFERROR(__xludf.DUMMYFUNCTION("""COMPUTED_VALUE"""),"3491 昇達科")</f>
        <v>3491 昇達科</v>
      </c>
      <c r="J19" s="609">
        <f ca="1">IFERROR(__xludf.DUMMYFUNCTION("""COMPUTED_VALUE"""),1375)</f>
        <v>1375</v>
      </c>
      <c r="K19" s="728">
        <v>30</v>
      </c>
      <c r="L19" s="729">
        <v>2.23E-2</v>
      </c>
      <c r="M19" s="598">
        <f ca="1">IFERROR(__xludf.DUMMYFUNCTION("""COMPUTED_VALUE"""),3679331)</f>
        <v>3679331</v>
      </c>
      <c r="N19" s="58">
        <f t="shared" ca="1" si="1"/>
        <v>2.2304832713754646E-2</v>
      </c>
      <c r="O19" s="595">
        <f ca="1">IFERROR(__xludf.DUMMYFUNCTION("""COMPUTED_VALUE"""),17)</f>
        <v>17</v>
      </c>
      <c r="P19" s="499" t="str">
        <f ca="1">IFERROR(__xludf.DUMMYFUNCTION("""COMPUTED_VALUE"""),"5269 祥碩")</f>
        <v>5269 祥碩</v>
      </c>
      <c r="Q19" s="600">
        <f ca="1">IFERROR(__xludf.DUMMYFUNCTION("""COMPUTED_VALUE"""),1380)</f>
        <v>1380</v>
      </c>
      <c r="R19" s="726">
        <v>-50</v>
      </c>
      <c r="S19" s="730">
        <v>-3.5000000000000003E-2</v>
      </c>
      <c r="T19" s="511">
        <f ca="1">IFERROR(__xludf.DUMMYFUNCTION("""COMPUTED_VALUE"""),255)</f>
        <v>255</v>
      </c>
      <c r="U19" s="511">
        <f ca="1">IFERROR(__xludf.DUMMYFUNCTION("""COMPUTED_VALUE"""),1940)</f>
        <v>1940</v>
      </c>
      <c r="V19" s="732">
        <f ca="1">IFERROR(__xludf.DUMMYFUNCTION("""COMPUTED_VALUE"""),0.1314)</f>
        <v>0.13139999999999999</v>
      </c>
      <c r="W19" s="57">
        <f t="shared" ca="1" si="2"/>
        <v>-3.4965034965034968E-2</v>
      </c>
      <c r="X19" s="618">
        <f ca="1">IFERROR(__xludf.DUMMYFUNCTION("""COMPUTED_VALUE"""),17)</f>
        <v>17</v>
      </c>
      <c r="Y19" s="499" t="str">
        <f ca="1">IFERROR(__xludf.DUMMYFUNCTION("""COMPUTED_VALUE"""),"3362 先進光")</f>
        <v>3362 先進光</v>
      </c>
      <c r="Z19" s="499">
        <f ca="1">IFERROR(__xludf.DUMMYFUNCTION("""COMPUTED_VALUE"""),172)</f>
        <v>172</v>
      </c>
      <c r="AA19" s="726">
        <v>-9</v>
      </c>
      <c r="AB19" s="730">
        <v>-4.9700000000000001E-2</v>
      </c>
      <c r="AC19" s="511">
        <f ca="1">IFERROR(__xludf.DUMMYFUNCTION("""COMPUTED_VALUE"""),434)</f>
        <v>434</v>
      </c>
      <c r="AD19" s="511">
        <f ca="1">IFERROR(__xludf.DUMMYFUNCTION("""COMPUTED_VALUE"""),4859)</f>
        <v>4859</v>
      </c>
      <c r="AE19" s="732">
        <f ca="1">IFERROR(__xludf.DUMMYFUNCTION("""COMPUTED_VALUE"""),0.0893)</f>
        <v>8.9300000000000004E-2</v>
      </c>
      <c r="AF19" s="57">
        <f t="shared" ca="1" si="3"/>
        <v>-4.9723756906077346E-2</v>
      </c>
      <c r="AG19" s="8"/>
      <c r="AH19" s="8"/>
      <c r="AI19" s="8"/>
      <c r="AJ19" s="8"/>
      <c r="AK19" s="8"/>
      <c r="AL19" s="8"/>
      <c r="AM19" s="8"/>
      <c r="AN19" s="8"/>
      <c r="AO19" s="8"/>
    </row>
    <row r="20" spans="1:41" ht="15.75" customHeight="1">
      <c r="A20" s="589">
        <f ca="1">IFERROR(__xludf.DUMMYFUNCTION("""COMPUTED_VALUE"""),18)</f>
        <v>18</v>
      </c>
      <c r="B20" s="590" t="str">
        <f ca="1">IFERROR(__xludf.DUMMYFUNCTION("""COMPUTED_VALUE"""),"2492 華新科")</f>
        <v>2492 華新科</v>
      </c>
      <c r="C20" s="591">
        <f ca="1">IFERROR(__xludf.DUMMYFUNCTION("""COMPUTED_VALUE"""),302.5)</f>
        <v>302.5</v>
      </c>
      <c r="D20" s="725">
        <v>-14</v>
      </c>
      <c r="E20" s="729">
        <v>-4.4200000000000003E-2</v>
      </c>
      <c r="F20" s="593">
        <f ca="1">IFERROR(__xludf.DUMMYFUNCTION("""COMPUTED_VALUE"""),15366596)</f>
        <v>15366596</v>
      </c>
      <c r="G20" s="57">
        <f t="shared" ca="1" si="0"/>
        <v>-4.4233807266982623E-2</v>
      </c>
      <c r="H20" s="589">
        <f ca="1">IFERROR(__xludf.DUMMYFUNCTION("""COMPUTED_VALUE"""),18)</f>
        <v>18</v>
      </c>
      <c r="I20" s="590" t="str">
        <f ca="1">IFERROR(__xludf.DUMMYFUNCTION("""COMPUTED_VALUE"""),"6147 頎邦")</f>
        <v>6147 頎邦</v>
      </c>
      <c r="J20" s="592">
        <f ca="1">IFERROR(__xludf.DUMMYFUNCTION("""COMPUTED_VALUE"""),157.5)</f>
        <v>157.5</v>
      </c>
      <c r="K20" s="728">
        <v>-7</v>
      </c>
      <c r="L20" s="729">
        <v>-4.2599999999999999E-2</v>
      </c>
      <c r="M20" s="598">
        <f ca="1">IFERROR(__xludf.DUMMYFUNCTION("""COMPUTED_VALUE"""),3492724)</f>
        <v>3492724</v>
      </c>
      <c r="N20" s="58">
        <f t="shared" ca="1" si="1"/>
        <v>-4.2553191489361701E-2</v>
      </c>
      <c r="O20" s="595">
        <f ca="1">IFERROR(__xludf.DUMMYFUNCTION("""COMPUTED_VALUE"""),18)</f>
        <v>18</v>
      </c>
      <c r="P20" s="499" t="str">
        <f ca="1">IFERROR(__xludf.DUMMYFUNCTION("""COMPUTED_VALUE"""),"2884 玉山金")</f>
        <v>2884 玉山金</v>
      </c>
      <c r="Q20" s="499">
        <f ca="1">IFERROR(__xludf.DUMMYFUNCTION("""COMPUTED_VALUE"""),37.65)</f>
        <v>37.65</v>
      </c>
      <c r="R20" s="726">
        <v>0.35</v>
      </c>
      <c r="S20" s="730">
        <v>9.4000000000000004E-3</v>
      </c>
      <c r="T20" s="511">
        <f ca="1">IFERROR(__xludf.DUMMYFUNCTION("""COMPUTED_VALUE"""),653)</f>
        <v>653</v>
      </c>
      <c r="U20" s="511">
        <f ca="1">IFERROR(__xludf.DUMMYFUNCTION("""COMPUTED_VALUE"""),5004)</f>
        <v>5004</v>
      </c>
      <c r="V20" s="732">
        <f ca="1">IFERROR(__xludf.DUMMYFUNCTION("""COMPUTED_VALUE"""),0.1305)</f>
        <v>0.1305</v>
      </c>
      <c r="W20" s="57">
        <f t="shared" ca="1" si="2"/>
        <v>9.3833780160857902E-3</v>
      </c>
      <c r="X20" s="618">
        <f ca="1">IFERROR(__xludf.DUMMYFUNCTION("""COMPUTED_VALUE"""),18)</f>
        <v>18</v>
      </c>
      <c r="Y20" s="499" t="str">
        <f ca="1">IFERROR(__xludf.DUMMYFUNCTION("""COMPUTED_VALUE"""),"2719 燦星旅")</f>
        <v>2719 燦星旅</v>
      </c>
      <c r="Z20" s="499">
        <f ca="1">IFERROR(__xludf.DUMMYFUNCTION("""COMPUTED_VALUE"""),21)</f>
        <v>21</v>
      </c>
      <c r="AA20" s="726">
        <v>0</v>
      </c>
      <c r="AB20" s="730">
        <v>0</v>
      </c>
      <c r="AC20" s="511">
        <f ca="1">IFERROR(__xludf.DUMMYFUNCTION("""COMPUTED_VALUE"""),10)</f>
        <v>10</v>
      </c>
      <c r="AD20" s="511">
        <f ca="1">IFERROR(__xludf.DUMMYFUNCTION("""COMPUTED_VALUE"""),113)</f>
        <v>113</v>
      </c>
      <c r="AE20" s="732">
        <f ca="1">IFERROR(__xludf.DUMMYFUNCTION("""COMPUTED_VALUE"""),0.0885)</f>
        <v>8.8499999999999995E-2</v>
      </c>
      <c r="AF20" s="57">
        <f t="shared" ca="1" si="3"/>
        <v>0</v>
      </c>
      <c r="AG20" s="8"/>
      <c r="AH20" s="8"/>
      <c r="AI20" s="8"/>
      <c r="AJ20" s="8"/>
      <c r="AK20" s="8"/>
      <c r="AL20" s="8"/>
      <c r="AM20" s="8"/>
      <c r="AN20" s="8"/>
      <c r="AO20" s="8"/>
    </row>
    <row r="21" spans="1:41" ht="15.75" customHeight="1">
      <c r="A21" s="589">
        <f ca="1">IFERROR(__xludf.DUMMYFUNCTION("""COMPUTED_VALUE"""),19)</f>
        <v>19</v>
      </c>
      <c r="B21" s="590" t="str">
        <f ca="1">IFERROR(__xludf.DUMMYFUNCTION("""COMPUTED_VALUE"""),"3443 創意")</f>
        <v>3443 創意</v>
      </c>
      <c r="C21" s="594">
        <f ca="1">IFERROR(__xludf.DUMMYFUNCTION("""COMPUTED_VALUE"""),5465)</f>
        <v>5465</v>
      </c>
      <c r="D21" s="725">
        <v>-75</v>
      </c>
      <c r="E21" s="729">
        <v>-1.35E-2</v>
      </c>
      <c r="F21" s="593">
        <f ca="1">IFERROR(__xludf.DUMMYFUNCTION("""COMPUTED_VALUE"""),15029846)</f>
        <v>15029846</v>
      </c>
      <c r="G21" s="57">
        <f t="shared" ca="1" si="0"/>
        <v>-1.3537906137184115E-2</v>
      </c>
      <c r="H21" s="589">
        <f ca="1">IFERROR(__xludf.DUMMYFUNCTION("""COMPUTED_VALUE"""),19)</f>
        <v>19</v>
      </c>
      <c r="I21" s="590" t="str">
        <f ca="1">IFERROR(__xludf.DUMMYFUNCTION("""COMPUTED_VALUE"""),"5371 中光電")</f>
        <v>5371 中光電</v>
      </c>
      <c r="J21" s="592">
        <f ca="1">IFERROR(__xludf.DUMMYFUNCTION("""COMPUTED_VALUE"""),90.1)</f>
        <v>90.1</v>
      </c>
      <c r="K21" s="728">
        <v>3.8</v>
      </c>
      <c r="L21" s="729">
        <v>4.3999999999999997E-2</v>
      </c>
      <c r="M21" s="598">
        <f ca="1">IFERROR(__xludf.DUMMYFUNCTION("""COMPUTED_VALUE"""),3337185)</f>
        <v>3337185</v>
      </c>
      <c r="N21" s="58">
        <f t="shared" ca="1" si="1"/>
        <v>4.4032444959443799E-2</v>
      </c>
      <c r="O21" s="595">
        <f ca="1">IFERROR(__xludf.DUMMYFUNCTION("""COMPUTED_VALUE"""),19)</f>
        <v>19</v>
      </c>
      <c r="P21" s="499" t="str">
        <f ca="1">IFERROR(__xludf.DUMMYFUNCTION("""COMPUTED_VALUE"""),"00895 富邦未來車")</f>
        <v>00895 富邦未來車</v>
      </c>
      <c r="Q21" s="499">
        <f ca="1">IFERROR(__xludf.DUMMYFUNCTION("""COMPUTED_VALUE"""),50.85)</f>
        <v>50.85</v>
      </c>
      <c r="R21" s="726">
        <v>-0.3</v>
      </c>
      <c r="S21" s="730">
        <v>-5.8999999999999999E-3</v>
      </c>
      <c r="T21" s="511">
        <f ca="1">IFERROR(__xludf.DUMMYFUNCTION("""COMPUTED_VALUE"""),8)</f>
        <v>8</v>
      </c>
      <c r="U21" s="511">
        <f ca="1">IFERROR(__xludf.DUMMYFUNCTION("""COMPUTED_VALUE"""),62)</f>
        <v>62</v>
      </c>
      <c r="V21" s="732">
        <f ca="1">IFERROR(__xludf.DUMMYFUNCTION("""COMPUTED_VALUE"""),0.129)</f>
        <v>0.129</v>
      </c>
      <c r="W21" s="57">
        <f t="shared" ca="1" si="2"/>
        <v>-5.8651026392961877E-3</v>
      </c>
      <c r="X21" s="618">
        <f ca="1">IFERROR(__xludf.DUMMYFUNCTION("""COMPUTED_VALUE"""),19)</f>
        <v>19</v>
      </c>
      <c r="Y21" s="499" t="str">
        <f ca="1">IFERROR(__xludf.DUMMYFUNCTION("""COMPUTED_VALUE"""),"6538 倉和")</f>
        <v>6538 倉和</v>
      </c>
      <c r="Z21" s="499">
        <f ca="1">IFERROR(__xludf.DUMMYFUNCTION("""COMPUTED_VALUE"""),184)</f>
        <v>184</v>
      </c>
      <c r="AA21" s="726">
        <v>6.5</v>
      </c>
      <c r="AB21" s="730">
        <v>3.6600000000000001E-2</v>
      </c>
      <c r="AC21" s="511">
        <f ca="1">IFERROR(__xludf.DUMMYFUNCTION("""COMPUTED_VALUE"""),680)</f>
        <v>680</v>
      </c>
      <c r="AD21" s="511">
        <f ca="1">IFERROR(__xludf.DUMMYFUNCTION("""COMPUTED_VALUE"""),7765)</f>
        <v>7765</v>
      </c>
      <c r="AE21" s="732">
        <f ca="1">IFERROR(__xludf.DUMMYFUNCTION("""COMPUTED_VALUE"""),0.0876)</f>
        <v>8.7599999999999997E-2</v>
      </c>
      <c r="AF21" s="57">
        <f t="shared" ca="1" si="3"/>
        <v>3.6619718309859155E-2</v>
      </c>
      <c r="AG21" s="8"/>
      <c r="AH21" s="8"/>
      <c r="AI21" s="8"/>
      <c r="AJ21" s="8"/>
      <c r="AK21" s="8"/>
      <c r="AL21" s="8"/>
      <c r="AM21" s="8"/>
      <c r="AN21" s="8"/>
      <c r="AO21" s="8"/>
    </row>
    <row r="22" spans="1:41" ht="15.75" customHeight="1">
      <c r="A22" s="589">
        <f ca="1">IFERROR(__xludf.DUMMYFUNCTION("""COMPUTED_VALUE"""),20)</f>
        <v>20</v>
      </c>
      <c r="B22" s="590" t="str">
        <f ca="1">IFERROR(__xludf.DUMMYFUNCTION("""COMPUTED_VALUE"""),"8039 台虹")</f>
        <v>8039 台虹</v>
      </c>
      <c r="C22" s="591">
        <f ca="1">IFERROR(__xludf.DUMMYFUNCTION("""COMPUTED_VALUE"""),272.5)</f>
        <v>272.5</v>
      </c>
      <c r="D22" s="725">
        <v>23</v>
      </c>
      <c r="E22" s="729">
        <v>9.2200000000000004E-2</v>
      </c>
      <c r="F22" s="593">
        <f ca="1">IFERROR(__xludf.DUMMYFUNCTION("""COMPUTED_VALUE"""),14891458)</f>
        <v>14891458</v>
      </c>
      <c r="G22" s="57">
        <f t="shared" ca="1" si="0"/>
        <v>9.2184368737474945E-2</v>
      </c>
      <c r="H22" s="589">
        <f ca="1">IFERROR(__xludf.DUMMYFUNCTION("""COMPUTED_VALUE"""),20)</f>
        <v>20</v>
      </c>
      <c r="I22" s="590" t="str">
        <f ca="1">IFERROR(__xludf.DUMMYFUNCTION("""COMPUTED_VALUE"""),"8069 元太")</f>
        <v>8069 元太</v>
      </c>
      <c r="J22" s="592">
        <f ca="1">IFERROR(__xludf.DUMMYFUNCTION("""COMPUTED_VALUE"""),165.5)</f>
        <v>165.5</v>
      </c>
      <c r="K22" s="728">
        <v>-5.5</v>
      </c>
      <c r="L22" s="729">
        <v>-3.2199999999999999E-2</v>
      </c>
      <c r="M22" s="598">
        <f ca="1">IFERROR(__xludf.DUMMYFUNCTION("""COMPUTED_VALUE"""),3217020)</f>
        <v>3217020</v>
      </c>
      <c r="N22" s="58">
        <f t="shared" ca="1" si="1"/>
        <v>-3.2163742690058478E-2</v>
      </c>
      <c r="O22" s="595">
        <f ca="1">IFERROR(__xludf.DUMMYFUNCTION("""COMPUTED_VALUE"""),20)</f>
        <v>20</v>
      </c>
      <c r="P22" s="499" t="str">
        <f ca="1">IFERROR(__xludf.DUMMYFUNCTION("""COMPUTED_VALUE"""),"00670L富邦NASDAQ正2")</f>
        <v>00670L富邦NASDAQ正2</v>
      </c>
      <c r="Q22" s="499">
        <f ca="1">IFERROR(__xludf.DUMMYFUNCTION("""COMPUTED_VALUE"""),208.35)</f>
        <v>208.35</v>
      </c>
      <c r="R22" s="726">
        <v>3</v>
      </c>
      <c r="S22" s="730">
        <v>1.46E-2</v>
      </c>
      <c r="T22" s="511">
        <f ca="1">IFERROR(__xludf.DUMMYFUNCTION("""COMPUTED_VALUE"""),167)</f>
        <v>167</v>
      </c>
      <c r="U22" s="511">
        <f ca="1">IFERROR(__xludf.DUMMYFUNCTION("""COMPUTED_VALUE"""),1325)</f>
        <v>1325</v>
      </c>
      <c r="V22" s="732">
        <f ca="1">IFERROR(__xludf.DUMMYFUNCTION("""COMPUTED_VALUE"""),0.126)</f>
        <v>0.126</v>
      </c>
      <c r="W22" s="57">
        <f t="shared" ca="1" si="2"/>
        <v>1.4609203798392988E-2</v>
      </c>
      <c r="X22" s="618">
        <f ca="1">IFERROR(__xludf.DUMMYFUNCTION("""COMPUTED_VALUE"""),20)</f>
        <v>20</v>
      </c>
      <c r="Y22" s="499" t="str">
        <f ca="1">IFERROR(__xludf.DUMMYFUNCTION("""COMPUTED_VALUE"""),"6716 應廣")</f>
        <v>6716 應廣</v>
      </c>
      <c r="Z22" s="499">
        <f ca="1">IFERROR(__xludf.DUMMYFUNCTION("""COMPUTED_VALUE"""),123.5)</f>
        <v>123.5</v>
      </c>
      <c r="AA22" s="726">
        <v>6</v>
      </c>
      <c r="AB22" s="730">
        <v>5.1100000000000007E-2</v>
      </c>
      <c r="AC22" s="511">
        <f ca="1">IFERROR(__xludf.DUMMYFUNCTION("""COMPUTED_VALUE"""),95)</f>
        <v>95</v>
      </c>
      <c r="AD22" s="511">
        <f ca="1">IFERROR(__xludf.DUMMYFUNCTION("""COMPUTED_VALUE"""),1115)</f>
        <v>1115</v>
      </c>
      <c r="AE22" s="732">
        <f ca="1">IFERROR(__xludf.DUMMYFUNCTION("""COMPUTED_VALUE"""),0.0852)</f>
        <v>8.5199999999999998E-2</v>
      </c>
      <c r="AF22" s="57">
        <f t="shared" ca="1" si="3"/>
        <v>5.106382978723404E-2</v>
      </c>
      <c r="AG22" s="8"/>
      <c r="AH22" s="8"/>
      <c r="AI22" s="8"/>
      <c r="AJ22" s="8"/>
      <c r="AK22" s="8"/>
      <c r="AL22" s="8"/>
      <c r="AM22" s="8"/>
      <c r="AN22" s="8"/>
      <c r="AO22" s="8"/>
    </row>
    <row r="23" spans="1:41" ht="15.75" customHeight="1">
      <c r="A23" s="589">
        <f ca="1">IFERROR(__xludf.DUMMYFUNCTION("""COMPUTED_VALUE"""),21)</f>
        <v>21</v>
      </c>
      <c r="B23" s="590" t="str">
        <f ca="1">IFERROR(__xludf.DUMMYFUNCTION("""COMPUTED_VALUE"""),"2382 廣達")</f>
        <v>2382 廣達</v>
      </c>
      <c r="C23" s="591">
        <f ca="1">IFERROR(__xludf.DUMMYFUNCTION("""COMPUTED_VALUE"""),327.5)</f>
        <v>327.5</v>
      </c>
      <c r="D23" s="725">
        <v>2.5</v>
      </c>
      <c r="E23" s="729">
        <v>7.7000000000000002E-3</v>
      </c>
      <c r="F23" s="593">
        <f ca="1">IFERROR(__xludf.DUMMYFUNCTION("""COMPUTED_VALUE"""),14602880)</f>
        <v>14602880</v>
      </c>
      <c r="G23" s="57">
        <f t="shared" ca="1" si="0"/>
        <v>7.6923076923076927E-3</v>
      </c>
      <c r="H23" s="589">
        <f ca="1">IFERROR(__xludf.DUMMYFUNCTION("""COMPUTED_VALUE"""),21)</f>
        <v>21</v>
      </c>
      <c r="I23" s="590" t="str">
        <f ca="1">IFERROR(__xludf.DUMMYFUNCTION("""COMPUTED_VALUE"""),"6223 旺矽")</f>
        <v>6223 旺矽</v>
      </c>
      <c r="J23" s="609">
        <f ca="1">IFERROR(__xludf.DUMMYFUNCTION("""COMPUTED_VALUE"""),6440)</f>
        <v>6440</v>
      </c>
      <c r="K23" s="728">
        <v>-55</v>
      </c>
      <c r="L23" s="729">
        <v>-8.5000000000000006E-3</v>
      </c>
      <c r="M23" s="598">
        <f ca="1">IFERROR(__xludf.DUMMYFUNCTION("""COMPUTED_VALUE"""),2906751)</f>
        <v>2906751</v>
      </c>
      <c r="N23" s="58">
        <f t="shared" ca="1" si="1"/>
        <v>-8.4680523479599683E-3</v>
      </c>
      <c r="O23" s="595">
        <f ca="1">IFERROR(__xludf.DUMMYFUNCTION("""COMPUTED_VALUE"""),21)</f>
        <v>21</v>
      </c>
      <c r="P23" s="499" t="str">
        <f ca="1">IFERROR(__xludf.DUMMYFUNCTION("""COMPUTED_VALUE"""),"2886 兆豐金")</f>
        <v>2886 兆豐金</v>
      </c>
      <c r="Q23" s="499">
        <f ca="1">IFERROR(__xludf.DUMMYFUNCTION("""COMPUTED_VALUE"""),47.35)</f>
        <v>47.35</v>
      </c>
      <c r="R23" s="726">
        <v>1.5</v>
      </c>
      <c r="S23" s="730">
        <v>3.27E-2</v>
      </c>
      <c r="T23" s="511">
        <f ca="1">IFERROR(__xludf.DUMMYFUNCTION("""COMPUTED_VALUE"""),259)</f>
        <v>259</v>
      </c>
      <c r="U23" s="511">
        <f ca="1">IFERROR(__xludf.DUMMYFUNCTION("""COMPUTED_VALUE"""),2132)</f>
        <v>2132</v>
      </c>
      <c r="V23" s="732">
        <f ca="1">IFERROR(__xludf.DUMMYFUNCTION("""COMPUTED_VALUE"""),0.1215)</f>
        <v>0.1215</v>
      </c>
      <c r="W23" s="57">
        <f t="shared" ca="1" si="2"/>
        <v>3.271537622682661E-2</v>
      </c>
      <c r="X23" s="618">
        <f ca="1">IFERROR(__xludf.DUMMYFUNCTION("""COMPUTED_VALUE"""),21)</f>
        <v>21</v>
      </c>
      <c r="Y23" s="499" t="str">
        <f ca="1">IFERROR(__xludf.DUMMYFUNCTION("""COMPUTED_VALUE"""),"3260 威剛")</f>
        <v>3260 威剛</v>
      </c>
      <c r="Z23" s="499">
        <f ca="1">IFERROR(__xludf.DUMMYFUNCTION("""COMPUTED_VALUE"""),402)</f>
        <v>402</v>
      </c>
      <c r="AA23" s="726">
        <v>-7</v>
      </c>
      <c r="AB23" s="730">
        <v>-1.7100000000000001E-2</v>
      </c>
      <c r="AC23" s="511">
        <f ca="1">IFERROR(__xludf.DUMMYFUNCTION("""COMPUTED_VALUE"""),1579)</f>
        <v>1579</v>
      </c>
      <c r="AD23" s="511">
        <f ca="1">IFERROR(__xludf.DUMMYFUNCTION("""COMPUTED_VALUE"""),20371)</f>
        <v>20371</v>
      </c>
      <c r="AE23" s="732">
        <f ca="1">IFERROR(__xludf.DUMMYFUNCTION("""COMPUTED_VALUE"""),0.0775)</f>
        <v>7.7499999999999999E-2</v>
      </c>
      <c r="AF23" s="57">
        <f t="shared" ca="1" si="3"/>
        <v>-1.7114914425427872E-2</v>
      </c>
      <c r="AG23" s="8"/>
      <c r="AH23" s="8"/>
      <c r="AI23" s="8"/>
      <c r="AJ23" s="8"/>
      <c r="AK23" s="8"/>
      <c r="AL23" s="8"/>
      <c r="AM23" s="8"/>
      <c r="AN23" s="8"/>
      <c r="AO23" s="8"/>
    </row>
    <row r="24" spans="1:41" ht="15.75" customHeight="1">
      <c r="A24" s="589">
        <f ca="1">IFERROR(__xludf.DUMMYFUNCTION("""COMPUTED_VALUE"""),22)</f>
        <v>22</v>
      </c>
      <c r="B24" s="590" t="str">
        <f ca="1">IFERROR(__xludf.DUMMYFUNCTION("""COMPUTED_VALUE"""),"2303 聯電")</f>
        <v>2303 聯電</v>
      </c>
      <c r="C24" s="591">
        <f ca="1">IFERROR(__xludf.DUMMYFUNCTION("""COMPUTED_VALUE"""),121)</f>
        <v>121</v>
      </c>
      <c r="D24" s="725">
        <v>-3.5</v>
      </c>
      <c r="E24" s="729">
        <v>-2.81E-2</v>
      </c>
      <c r="F24" s="593">
        <f ca="1">IFERROR(__xludf.DUMMYFUNCTION("""COMPUTED_VALUE"""),14064922)</f>
        <v>14064922</v>
      </c>
      <c r="G24" s="57">
        <f t="shared" ca="1" si="0"/>
        <v>-2.8112449799196786E-2</v>
      </c>
      <c r="H24" s="589">
        <f ca="1">IFERROR(__xludf.DUMMYFUNCTION("""COMPUTED_VALUE"""),22)</f>
        <v>22</v>
      </c>
      <c r="I24" s="590" t="str">
        <f ca="1">IFERROR(__xludf.DUMMYFUNCTION("""COMPUTED_VALUE"""),"3211 順達")</f>
        <v>3211 順達</v>
      </c>
      <c r="J24" s="592">
        <f ca="1">IFERROR(__xludf.DUMMYFUNCTION("""COMPUTED_VALUE"""),391)</f>
        <v>391</v>
      </c>
      <c r="K24" s="728">
        <v>-15.5</v>
      </c>
      <c r="L24" s="729">
        <v>-3.8100000000000002E-2</v>
      </c>
      <c r="M24" s="598">
        <f ca="1">IFERROR(__xludf.DUMMYFUNCTION("""COMPUTED_VALUE"""),2741375)</f>
        <v>2741375</v>
      </c>
      <c r="N24" s="58">
        <f t="shared" ca="1" si="1"/>
        <v>-3.8130381303813035E-2</v>
      </c>
      <c r="O24" s="595">
        <f ca="1">IFERROR(__xludf.DUMMYFUNCTION("""COMPUTED_VALUE"""),22)</f>
        <v>22</v>
      </c>
      <c r="P24" s="499" t="str">
        <f ca="1">IFERROR(__xludf.DUMMYFUNCTION("""COMPUTED_VALUE"""),"2851 中再保")</f>
        <v>2851 中再保</v>
      </c>
      <c r="Q24" s="499">
        <f ca="1">IFERROR(__xludf.DUMMYFUNCTION("""COMPUTED_VALUE"""),38.75)</f>
        <v>38.75</v>
      </c>
      <c r="R24" s="726">
        <v>0.9</v>
      </c>
      <c r="S24" s="730">
        <v>2.3800000000000002E-2</v>
      </c>
      <c r="T24" s="511">
        <f ca="1">IFERROR(__xludf.DUMMYFUNCTION("""COMPUTED_VALUE"""),84)</f>
        <v>84</v>
      </c>
      <c r="U24" s="511">
        <f ca="1">IFERROR(__xludf.DUMMYFUNCTION("""COMPUTED_VALUE"""),701)</f>
        <v>701</v>
      </c>
      <c r="V24" s="732">
        <f ca="1">IFERROR(__xludf.DUMMYFUNCTION("""COMPUTED_VALUE"""),0.1198)</f>
        <v>0.1198</v>
      </c>
      <c r="W24" s="57">
        <f t="shared" ca="1" si="2"/>
        <v>2.3778071334214002E-2</v>
      </c>
      <c r="X24" s="618">
        <f ca="1">IFERROR(__xludf.DUMMYFUNCTION("""COMPUTED_VALUE"""),22)</f>
        <v>22</v>
      </c>
      <c r="Y24" s="499" t="str">
        <f ca="1">IFERROR(__xludf.DUMMYFUNCTION("""COMPUTED_VALUE"""),"006201元大富櫃50")</f>
        <v>006201元大富櫃50</v>
      </c>
      <c r="Z24" s="499">
        <f ca="1">IFERROR(__xludf.DUMMYFUNCTION("""COMPUTED_VALUE"""),44.95)</f>
        <v>44.95</v>
      </c>
      <c r="AA24" s="726">
        <v>-0.72</v>
      </c>
      <c r="AB24" s="730">
        <v>-1.5800000000000002E-2</v>
      </c>
      <c r="AC24" s="511">
        <f ca="1">IFERROR(__xludf.DUMMYFUNCTION("""COMPUTED_VALUE"""),15)</f>
        <v>15</v>
      </c>
      <c r="AD24" s="511">
        <f ca="1">IFERROR(__xludf.DUMMYFUNCTION("""COMPUTED_VALUE"""),202)</f>
        <v>202</v>
      </c>
      <c r="AE24" s="732">
        <f ca="1">IFERROR(__xludf.DUMMYFUNCTION("""COMPUTED_VALUE"""),0.0743)</f>
        <v>7.4300000000000005E-2</v>
      </c>
      <c r="AF24" s="57">
        <f t="shared" ca="1" si="3"/>
        <v>-1.5765272607838842E-2</v>
      </c>
      <c r="AG24" s="8"/>
      <c r="AH24" s="8"/>
      <c r="AI24" s="8"/>
      <c r="AJ24" s="8"/>
      <c r="AK24" s="8"/>
      <c r="AL24" s="8"/>
      <c r="AM24" s="8"/>
      <c r="AN24" s="8"/>
      <c r="AO24" s="8"/>
    </row>
    <row r="25" spans="1:41" ht="15.75" customHeight="1">
      <c r="A25" s="589">
        <f ca="1">IFERROR(__xludf.DUMMYFUNCTION("""COMPUTED_VALUE"""),23)</f>
        <v>23</v>
      </c>
      <c r="B25" s="590" t="str">
        <f ca="1">IFERROR(__xludf.DUMMYFUNCTION("""COMPUTED_VALUE"""),"2317 鴻海")</f>
        <v>2317 鴻海</v>
      </c>
      <c r="C25" s="591">
        <f ca="1">IFERROR(__xludf.DUMMYFUNCTION("""COMPUTED_VALUE"""),259.5)</f>
        <v>259.5</v>
      </c>
      <c r="D25" s="725">
        <v>-2.5</v>
      </c>
      <c r="E25" s="729">
        <v>-9.4999999999999998E-3</v>
      </c>
      <c r="F25" s="593">
        <f ca="1">IFERROR(__xludf.DUMMYFUNCTION("""COMPUTED_VALUE"""),13278246)</f>
        <v>13278246</v>
      </c>
      <c r="G25" s="57">
        <f t="shared" ca="1" si="0"/>
        <v>-9.5419847328244278E-3</v>
      </c>
      <c r="H25" s="589">
        <f ca="1">IFERROR(__xludf.DUMMYFUNCTION("""COMPUTED_VALUE"""),23)</f>
        <v>23</v>
      </c>
      <c r="I25" s="590" t="str">
        <f ca="1">IFERROR(__xludf.DUMMYFUNCTION("""COMPUTED_VALUE"""),"3529 力旺")</f>
        <v>3529 力旺</v>
      </c>
      <c r="J25" s="609">
        <f ca="1">IFERROR(__xludf.DUMMYFUNCTION("""COMPUTED_VALUE"""),2655)</f>
        <v>2655</v>
      </c>
      <c r="K25" s="728">
        <v>-45</v>
      </c>
      <c r="L25" s="729">
        <v>-1.67E-2</v>
      </c>
      <c r="M25" s="598">
        <f ca="1">IFERROR(__xludf.DUMMYFUNCTION("""COMPUTED_VALUE"""),2692223)</f>
        <v>2692223</v>
      </c>
      <c r="N25" s="58">
        <f t="shared" ca="1" si="1"/>
        <v>-1.6666666666666666E-2</v>
      </c>
      <c r="O25" s="595">
        <f ca="1">IFERROR(__xludf.DUMMYFUNCTION("""COMPUTED_VALUE"""),23)</f>
        <v>23</v>
      </c>
      <c r="P25" s="499" t="str">
        <f ca="1">IFERROR(__xludf.DUMMYFUNCTION("""COMPUTED_VALUE"""),"2883 凱基金")</f>
        <v>2883 凱基金</v>
      </c>
      <c r="Q25" s="499">
        <f ca="1">IFERROR(__xludf.DUMMYFUNCTION("""COMPUTED_VALUE"""),31.65)</f>
        <v>31.65</v>
      </c>
      <c r="R25" s="726">
        <v>0.15</v>
      </c>
      <c r="S25" s="730">
        <v>4.7999999999999996E-3</v>
      </c>
      <c r="T25" s="511">
        <f ca="1">IFERROR(__xludf.DUMMYFUNCTION("""COMPUTED_VALUE"""),1037)</f>
        <v>1037</v>
      </c>
      <c r="U25" s="511">
        <f ca="1">IFERROR(__xludf.DUMMYFUNCTION("""COMPUTED_VALUE"""),8840)</f>
        <v>8840</v>
      </c>
      <c r="V25" s="732">
        <f ca="1">IFERROR(__xludf.DUMMYFUNCTION("""COMPUTED_VALUE"""),0.1173)</f>
        <v>0.1173</v>
      </c>
      <c r="W25" s="57">
        <f t="shared" ca="1" si="2"/>
        <v>4.7619047619047615E-3</v>
      </c>
      <c r="X25" s="618">
        <f ca="1">IFERROR(__xludf.DUMMYFUNCTION("""COMPUTED_VALUE"""),23)</f>
        <v>23</v>
      </c>
      <c r="Y25" s="499" t="str">
        <f ca="1">IFERROR(__xludf.DUMMYFUNCTION("""COMPUTED_VALUE"""),"4931 新盛力")</f>
        <v>4931 新盛力</v>
      </c>
      <c r="Z25" s="499">
        <f ca="1">IFERROR(__xludf.DUMMYFUNCTION("""COMPUTED_VALUE"""),263)</f>
        <v>263</v>
      </c>
      <c r="AA25" s="726">
        <v>2</v>
      </c>
      <c r="AB25" s="730">
        <v>7.7000000000000002E-3</v>
      </c>
      <c r="AC25" s="511">
        <f ca="1">IFERROR(__xludf.DUMMYFUNCTION("""COMPUTED_VALUE"""),700)</f>
        <v>700</v>
      </c>
      <c r="AD25" s="511">
        <f ca="1">IFERROR(__xludf.DUMMYFUNCTION("""COMPUTED_VALUE"""),9488)</f>
        <v>9488</v>
      </c>
      <c r="AE25" s="732">
        <f ca="1">IFERROR(__xludf.DUMMYFUNCTION("""COMPUTED_VALUE"""),0.0738)</f>
        <v>7.3800000000000004E-2</v>
      </c>
      <c r="AF25" s="57">
        <f t="shared" ca="1" si="3"/>
        <v>7.6628352490421452E-3</v>
      </c>
      <c r="AG25" s="8"/>
      <c r="AH25" s="8"/>
      <c r="AI25" s="8"/>
      <c r="AJ25" s="8"/>
      <c r="AK25" s="8"/>
      <c r="AL25" s="8"/>
      <c r="AM25" s="8"/>
      <c r="AN25" s="8"/>
      <c r="AO25" s="8"/>
    </row>
    <row r="26" spans="1:41" ht="15.75" customHeight="1">
      <c r="A26" s="589">
        <f ca="1">IFERROR(__xludf.DUMMYFUNCTION("""COMPUTED_VALUE"""),24)</f>
        <v>24</v>
      </c>
      <c r="B26" s="590" t="str">
        <f ca="1">IFERROR(__xludf.DUMMYFUNCTION("""COMPUTED_VALUE"""),"2337 旺宏")</f>
        <v>2337 旺宏</v>
      </c>
      <c r="C26" s="591">
        <f ca="1">IFERROR(__xludf.DUMMYFUNCTION("""COMPUTED_VALUE"""),137)</f>
        <v>137</v>
      </c>
      <c r="D26" s="725">
        <v>0.5</v>
      </c>
      <c r="E26" s="729">
        <v>3.7000000000000002E-3</v>
      </c>
      <c r="F26" s="593">
        <f ca="1">IFERROR(__xludf.DUMMYFUNCTION("""COMPUTED_VALUE"""),13173158)</f>
        <v>13173158</v>
      </c>
      <c r="G26" s="57">
        <f t="shared" ca="1" si="0"/>
        <v>3.663003663003663E-3</v>
      </c>
      <c r="H26" s="589">
        <f ca="1">IFERROR(__xludf.DUMMYFUNCTION("""COMPUTED_VALUE"""),24)</f>
        <v>24</v>
      </c>
      <c r="I26" s="590" t="str">
        <f ca="1">IFERROR(__xludf.DUMMYFUNCTION("""COMPUTED_VALUE"""),"6510 精測")</f>
        <v>6510 精測</v>
      </c>
      <c r="J26" s="609">
        <f ca="1">IFERROR(__xludf.DUMMYFUNCTION("""COMPUTED_VALUE"""),2990)</f>
        <v>2990</v>
      </c>
      <c r="K26" s="728">
        <v>170</v>
      </c>
      <c r="L26" s="729">
        <v>6.0299999999999999E-2</v>
      </c>
      <c r="M26" s="598">
        <f ca="1">IFERROR(__xludf.DUMMYFUNCTION("""COMPUTED_VALUE"""),2554993)</f>
        <v>2554993</v>
      </c>
      <c r="N26" s="58">
        <f t="shared" ca="1" si="1"/>
        <v>6.0283687943262408E-2</v>
      </c>
      <c r="O26" s="595">
        <f ca="1">IFERROR(__xludf.DUMMYFUNCTION("""COMPUTED_VALUE"""),24)</f>
        <v>24</v>
      </c>
      <c r="P26" s="499" t="str">
        <f ca="1">IFERROR(__xludf.DUMMYFUNCTION("""COMPUTED_VALUE"""),"8039 台虹")</f>
        <v>8039 台虹</v>
      </c>
      <c r="Q26" s="499">
        <f ca="1">IFERROR(__xludf.DUMMYFUNCTION("""COMPUTED_VALUE"""),272.5)</f>
        <v>272.5</v>
      </c>
      <c r="R26" s="726">
        <v>23</v>
      </c>
      <c r="S26" s="730">
        <v>9.2200000000000004E-2</v>
      </c>
      <c r="T26" s="511">
        <f ca="1">IFERROR(__xludf.DUMMYFUNCTION("""COMPUTED_VALUE"""),2355)</f>
        <v>2355</v>
      </c>
      <c r="U26" s="511">
        <f ca="1">IFERROR(__xludf.DUMMYFUNCTION("""COMPUTED_VALUE"""),21800)</f>
        <v>21800</v>
      </c>
      <c r="V26" s="732">
        <f ca="1">IFERROR(__xludf.DUMMYFUNCTION("""COMPUTED_VALUE"""),0.108)</f>
        <v>0.108</v>
      </c>
      <c r="W26" s="57">
        <f t="shared" ca="1" si="2"/>
        <v>9.2184368737474945E-2</v>
      </c>
      <c r="X26" s="618">
        <f ca="1">IFERROR(__xludf.DUMMYFUNCTION("""COMPUTED_VALUE"""),24)</f>
        <v>24</v>
      </c>
      <c r="Y26" s="499" t="str">
        <f ca="1">IFERROR(__xludf.DUMMYFUNCTION("""COMPUTED_VALUE"""),"6207 雷科")</f>
        <v>6207 雷科</v>
      </c>
      <c r="Z26" s="499">
        <f ca="1">IFERROR(__xludf.DUMMYFUNCTION("""COMPUTED_VALUE"""),107.5)</f>
        <v>107.5</v>
      </c>
      <c r="AA26" s="726">
        <v>-3.5</v>
      </c>
      <c r="AB26" s="730">
        <v>-3.15E-2</v>
      </c>
      <c r="AC26" s="511">
        <f ca="1">IFERROR(__xludf.DUMMYFUNCTION("""COMPUTED_VALUE"""),345)</f>
        <v>345</v>
      </c>
      <c r="AD26" s="511">
        <f ca="1">IFERROR(__xludf.DUMMYFUNCTION("""COMPUTED_VALUE"""),4684)</f>
        <v>4684</v>
      </c>
      <c r="AE26" s="732">
        <f ca="1">IFERROR(__xludf.DUMMYFUNCTION("""COMPUTED_VALUE"""),0.0737)</f>
        <v>7.3700000000000002E-2</v>
      </c>
      <c r="AF26" s="57">
        <f t="shared" ca="1" si="3"/>
        <v>-3.1531531531531529E-2</v>
      </c>
      <c r="AG26" s="8"/>
      <c r="AH26" s="8"/>
      <c r="AI26" s="8"/>
      <c r="AJ26" s="8"/>
      <c r="AK26" s="8"/>
      <c r="AL26" s="8"/>
      <c r="AM26" s="8"/>
      <c r="AN26" s="8"/>
      <c r="AO26" s="8"/>
    </row>
    <row r="27" spans="1:41" ht="15.75" customHeight="1">
      <c r="A27" s="589">
        <f ca="1">IFERROR(__xludf.DUMMYFUNCTION("""COMPUTED_VALUE"""),25)</f>
        <v>25</v>
      </c>
      <c r="B27" s="590" t="str">
        <f ca="1">IFERROR(__xludf.DUMMYFUNCTION("""COMPUTED_VALUE"""),"3481 群創")</f>
        <v>3481 群創</v>
      </c>
      <c r="C27" s="591">
        <f ca="1">IFERROR(__xludf.DUMMYFUNCTION("""COMPUTED_VALUE"""),50.1)</f>
        <v>50.1</v>
      </c>
      <c r="D27" s="725">
        <v>0.7</v>
      </c>
      <c r="E27" s="729">
        <v>1.4200000000000001E-2</v>
      </c>
      <c r="F27" s="593">
        <f ca="1">IFERROR(__xludf.DUMMYFUNCTION("""COMPUTED_VALUE"""),11916052)</f>
        <v>11916052</v>
      </c>
      <c r="G27" s="57">
        <f t="shared" ca="1" si="0"/>
        <v>1.417004048582996E-2</v>
      </c>
      <c r="H27" s="589">
        <f ca="1">IFERROR(__xludf.DUMMYFUNCTION("""COMPUTED_VALUE"""),25)</f>
        <v>25</v>
      </c>
      <c r="I27" s="590" t="str">
        <f ca="1">IFERROR(__xludf.DUMMYFUNCTION("""COMPUTED_VALUE"""),"3324 雙鴻")</f>
        <v>3324 雙鴻</v>
      </c>
      <c r="J27" s="609">
        <f ca="1">IFERROR(__xludf.DUMMYFUNCTION("""COMPUTED_VALUE"""),1010)</f>
        <v>1010</v>
      </c>
      <c r="K27" s="728">
        <v>-25</v>
      </c>
      <c r="L27" s="729">
        <v>-2.4199999999999999E-2</v>
      </c>
      <c r="M27" s="598">
        <f ca="1">IFERROR(__xludf.DUMMYFUNCTION("""COMPUTED_VALUE"""),2218628)</f>
        <v>2218628</v>
      </c>
      <c r="N27" s="58">
        <f t="shared" ca="1" si="1"/>
        <v>-2.4154589371980676E-2</v>
      </c>
      <c r="O27" s="595">
        <f ca="1">IFERROR(__xludf.DUMMYFUNCTION("""COMPUTED_VALUE"""),25)</f>
        <v>25</v>
      </c>
      <c r="P27" s="499" t="str">
        <f ca="1">IFERROR(__xludf.DUMMYFUNCTION("""COMPUTED_VALUE"""),"00675L富邦臺灣加權正2")</f>
        <v>00675L富邦臺灣加權正2</v>
      </c>
      <c r="Q27" s="499">
        <f ca="1">IFERROR(__xludf.DUMMYFUNCTION("""COMPUTED_VALUE"""),311.9)</f>
        <v>311.89999999999998</v>
      </c>
      <c r="R27" s="726">
        <v>-4.0999999999999996</v>
      </c>
      <c r="S27" s="730">
        <v>-1.2999999999999999E-2</v>
      </c>
      <c r="T27" s="511">
        <f ca="1">IFERROR(__xludf.DUMMYFUNCTION("""COMPUTED_VALUE"""),298)</f>
        <v>298</v>
      </c>
      <c r="U27" s="511">
        <f ca="1">IFERROR(__xludf.DUMMYFUNCTION("""COMPUTED_VALUE"""),2776)</f>
        <v>2776</v>
      </c>
      <c r="V27" s="732">
        <f ca="1">IFERROR(__xludf.DUMMYFUNCTION("""COMPUTED_VALUE"""),0.1073)</f>
        <v>0.10730000000000001</v>
      </c>
      <c r="W27" s="57">
        <f t="shared" ca="1" si="2"/>
        <v>-1.2974683544303795E-2</v>
      </c>
      <c r="X27" s="618">
        <f ca="1">IFERROR(__xludf.DUMMYFUNCTION("""COMPUTED_VALUE"""),25)</f>
        <v>25</v>
      </c>
      <c r="Y27" s="499" t="str">
        <f ca="1">IFERROR(__xludf.DUMMYFUNCTION("""COMPUTED_VALUE"""),"3479 安勤")</f>
        <v>3479 安勤</v>
      </c>
      <c r="Z27" s="499">
        <f ca="1">IFERROR(__xludf.DUMMYFUNCTION("""COMPUTED_VALUE"""),129.5)</f>
        <v>129.5</v>
      </c>
      <c r="AA27" s="726">
        <v>-10</v>
      </c>
      <c r="AB27" s="730">
        <v>-7.17E-2</v>
      </c>
      <c r="AC27" s="511">
        <f ca="1">IFERROR(__xludf.DUMMYFUNCTION("""COMPUTED_VALUE"""),224)</f>
        <v>224</v>
      </c>
      <c r="AD27" s="511">
        <f ca="1">IFERROR(__xludf.DUMMYFUNCTION("""COMPUTED_VALUE"""),3225)</f>
        <v>3225</v>
      </c>
      <c r="AE27" s="732">
        <f ca="1">IFERROR(__xludf.DUMMYFUNCTION("""COMPUTED_VALUE"""),0.0695)</f>
        <v>6.9500000000000006E-2</v>
      </c>
      <c r="AF27" s="57">
        <f t="shared" ca="1" si="3"/>
        <v>-7.1684587813620068E-2</v>
      </c>
      <c r="AG27" s="8"/>
      <c r="AH27" s="8"/>
      <c r="AI27" s="8"/>
      <c r="AJ27" s="8"/>
      <c r="AK27" s="8"/>
      <c r="AL27" s="8"/>
      <c r="AM27" s="8"/>
      <c r="AN27" s="8"/>
      <c r="AO27" s="8"/>
    </row>
    <row r="28" spans="1:41" ht="15.75" customHeight="1">
      <c r="A28" s="589">
        <f ca="1">IFERROR(__xludf.DUMMYFUNCTION("""COMPUTED_VALUE"""),26)</f>
        <v>26</v>
      </c>
      <c r="B28" s="590" t="str">
        <f ca="1">IFERROR(__xludf.DUMMYFUNCTION("""COMPUTED_VALUE"""),"3711 日月光投控")</f>
        <v>3711 日月光投控</v>
      </c>
      <c r="C28" s="591">
        <f ca="1">IFERROR(__xludf.DUMMYFUNCTION("""COMPUTED_VALUE"""),616)</f>
        <v>616</v>
      </c>
      <c r="D28" s="725">
        <v>-10</v>
      </c>
      <c r="E28" s="729">
        <v>-1.6E-2</v>
      </c>
      <c r="F28" s="593">
        <f ca="1">IFERROR(__xludf.DUMMYFUNCTION("""COMPUTED_VALUE"""),10477113)</f>
        <v>10477113</v>
      </c>
      <c r="G28" s="57">
        <f t="shared" ca="1" si="0"/>
        <v>-1.5974440894568689E-2</v>
      </c>
      <c r="H28" s="589">
        <f ca="1">IFERROR(__xludf.DUMMYFUNCTION("""COMPUTED_VALUE"""),26)</f>
        <v>26</v>
      </c>
      <c r="I28" s="590" t="str">
        <f ca="1">IFERROR(__xludf.DUMMYFUNCTION("""COMPUTED_VALUE"""),"4979 華星光")</f>
        <v>4979 華星光</v>
      </c>
      <c r="J28" s="592">
        <f ca="1">IFERROR(__xludf.DUMMYFUNCTION("""COMPUTED_VALUE"""),522)</f>
        <v>522</v>
      </c>
      <c r="K28" s="728">
        <v>-42</v>
      </c>
      <c r="L28" s="729">
        <v>-7.4499999999999997E-2</v>
      </c>
      <c r="M28" s="598">
        <f ca="1">IFERROR(__xludf.DUMMYFUNCTION("""COMPUTED_VALUE"""),2159784)</f>
        <v>2159784</v>
      </c>
      <c r="N28" s="58">
        <f t="shared" ca="1" si="1"/>
        <v>-7.4468085106382975E-2</v>
      </c>
      <c r="O28" s="595">
        <f ca="1">IFERROR(__xludf.DUMMYFUNCTION("""COMPUTED_VALUE"""),26)</f>
        <v>26</v>
      </c>
      <c r="P28" s="499" t="str">
        <f ca="1">IFERROR(__xludf.DUMMYFUNCTION("""COMPUTED_VALUE"""),"8271 宇瞻")</f>
        <v>8271 宇瞻</v>
      </c>
      <c r="Q28" s="499">
        <f ca="1">IFERROR(__xludf.DUMMYFUNCTION("""COMPUTED_VALUE"""),233)</f>
        <v>233</v>
      </c>
      <c r="R28" s="726">
        <v>3.5</v>
      </c>
      <c r="S28" s="730">
        <v>1.5299999999999999E-2</v>
      </c>
      <c r="T28" s="511">
        <f ca="1">IFERROR(__xludf.DUMMYFUNCTION("""COMPUTED_VALUE"""),635)</f>
        <v>635</v>
      </c>
      <c r="U28" s="511">
        <f ca="1">IFERROR(__xludf.DUMMYFUNCTION("""COMPUTED_VALUE"""),6110)</f>
        <v>6110</v>
      </c>
      <c r="V28" s="732">
        <f ca="1">IFERROR(__xludf.DUMMYFUNCTION("""COMPUTED_VALUE"""),0.1039)</f>
        <v>0.10390000000000001</v>
      </c>
      <c r="W28" s="57">
        <f t="shared" ca="1" si="2"/>
        <v>1.5250544662309368E-2</v>
      </c>
      <c r="X28" s="618">
        <f ca="1">IFERROR(__xludf.DUMMYFUNCTION("""COMPUTED_VALUE"""),26)</f>
        <v>26</v>
      </c>
      <c r="Y28" s="499" t="str">
        <f ca="1">IFERROR(__xludf.DUMMYFUNCTION("""COMPUTED_VALUE"""),"3498 陽程")</f>
        <v>3498 陽程</v>
      </c>
      <c r="Z28" s="499">
        <f ca="1">IFERROR(__xludf.DUMMYFUNCTION("""COMPUTED_VALUE"""),158)</f>
        <v>158</v>
      </c>
      <c r="AA28" s="726">
        <v>14</v>
      </c>
      <c r="AB28" s="730">
        <v>9.7199999999999995E-2</v>
      </c>
      <c r="AC28" s="511">
        <f ca="1">IFERROR(__xludf.DUMMYFUNCTION("""COMPUTED_VALUE"""),299)</f>
        <v>299</v>
      </c>
      <c r="AD28" s="511">
        <f ca="1">IFERROR(__xludf.DUMMYFUNCTION("""COMPUTED_VALUE"""),4792)</f>
        <v>4792</v>
      </c>
      <c r="AE28" s="732">
        <f ca="1">IFERROR(__xludf.DUMMYFUNCTION("""COMPUTED_VALUE"""),0.0624)</f>
        <v>6.2399999999999997E-2</v>
      </c>
      <c r="AF28" s="57">
        <f t="shared" ca="1" si="3"/>
        <v>9.7222222222222224E-2</v>
      </c>
      <c r="AG28" s="8"/>
      <c r="AH28" s="8"/>
      <c r="AI28" s="8"/>
      <c r="AJ28" s="8"/>
      <c r="AK28" s="8"/>
      <c r="AL28" s="8"/>
      <c r="AM28" s="8"/>
      <c r="AN28" s="8"/>
      <c r="AO28" s="8"/>
    </row>
    <row r="29" spans="1:41" ht="15.75" customHeight="1">
      <c r="A29" s="589">
        <f ca="1">IFERROR(__xludf.DUMMYFUNCTION("""COMPUTED_VALUE"""),27)</f>
        <v>27</v>
      </c>
      <c r="B29" s="590" t="str">
        <f ca="1">IFERROR(__xludf.DUMMYFUNCTION("""COMPUTED_VALUE"""),"3037 欣興")</f>
        <v>3037 欣興</v>
      </c>
      <c r="C29" s="594">
        <f ca="1">IFERROR(__xludf.DUMMYFUNCTION("""COMPUTED_VALUE"""),1020)</f>
        <v>1020</v>
      </c>
      <c r="D29" s="725">
        <v>20</v>
      </c>
      <c r="E29" s="729">
        <v>0.02</v>
      </c>
      <c r="F29" s="593">
        <f ca="1">IFERROR(__xludf.DUMMYFUNCTION("""COMPUTED_VALUE"""),9773002)</f>
        <v>9773002</v>
      </c>
      <c r="G29" s="57">
        <f t="shared" ca="1" si="0"/>
        <v>0.02</v>
      </c>
      <c r="H29" s="589">
        <f ca="1">IFERROR(__xludf.DUMMYFUNCTION("""COMPUTED_VALUE"""),27)</f>
        <v>27</v>
      </c>
      <c r="I29" s="590" t="str">
        <f ca="1">IFERROR(__xludf.DUMMYFUNCTION("""COMPUTED_VALUE"""),"6584 南俊國際")</f>
        <v>6584 南俊國際</v>
      </c>
      <c r="J29" s="592">
        <f ca="1">IFERROR(__xludf.DUMMYFUNCTION("""COMPUTED_VALUE"""),605)</f>
        <v>605</v>
      </c>
      <c r="K29" s="728">
        <v>8</v>
      </c>
      <c r="L29" s="729">
        <v>1.34E-2</v>
      </c>
      <c r="M29" s="598">
        <f ca="1">IFERROR(__xludf.DUMMYFUNCTION("""COMPUTED_VALUE"""),1888567)</f>
        <v>1888567</v>
      </c>
      <c r="N29" s="58">
        <f t="shared" ca="1" si="1"/>
        <v>1.340033500837521E-2</v>
      </c>
      <c r="O29" s="595">
        <f ca="1">IFERROR(__xludf.DUMMYFUNCTION("""COMPUTED_VALUE"""),27)</f>
        <v>27</v>
      </c>
      <c r="P29" s="499" t="str">
        <f ca="1">IFERROR(__xludf.DUMMYFUNCTION("""COMPUTED_VALUE"""),"00633L富邦上証正2")</f>
        <v>00633L富邦上証正2</v>
      </c>
      <c r="Q29" s="499">
        <f ca="1">IFERROR(__xludf.DUMMYFUNCTION("""COMPUTED_VALUE"""),49.81)</f>
        <v>49.81</v>
      </c>
      <c r="R29" s="726">
        <v>-1.44</v>
      </c>
      <c r="S29" s="730">
        <v>-2.81E-2</v>
      </c>
      <c r="T29" s="511">
        <f ca="1">IFERROR(__xludf.DUMMYFUNCTION("""COMPUTED_VALUE"""),754)</f>
        <v>754</v>
      </c>
      <c r="U29" s="511">
        <f ca="1">IFERROR(__xludf.DUMMYFUNCTION("""COMPUTED_VALUE"""),7338)</f>
        <v>7338</v>
      </c>
      <c r="V29" s="732">
        <f ca="1">IFERROR(__xludf.DUMMYFUNCTION("""COMPUTED_VALUE"""),0.1028)</f>
        <v>0.1028</v>
      </c>
      <c r="W29" s="57">
        <f t="shared" ca="1" si="2"/>
        <v>-2.8097560975609757E-2</v>
      </c>
      <c r="X29" s="618">
        <f ca="1">IFERROR(__xludf.DUMMYFUNCTION("""COMPUTED_VALUE"""),27)</f>
        <v>27</v>
      </c>
      <c r="Y29" s="499" t="str">
        <f ca="1">IFERROR(__xludf.DUMMYFUNCTION("""COMPUTED_VALUE"""),"6840 東研信超")</f>
        <v>6840 東研信超</v>
      </c>
      <c r="Z29" s="499">
        <f ca="1">IFERROR(__xludf.DUMMYFUNCTION("""COMPUTED_VALUE"""),81)</f>
        <v>81</v>
      </c>
      <c r="AA29" s="726">
        <v>5.4</v>
      </c>
      <c r="AB29" s="730">
        <v>7.1399999999999991E-2</v>
      </c>
      <c r="AC29" s="511">
        <f ca="1">IFERROR(__xludf.DUMMYFUNCTION("""COMPUTED_VALUE"""),102)</f>
        <v>102</v>
      </c>
      <c r="AD29" s="511">
        <f ca="1">IFERROR(__xludf.DUMMYFUNCTION("""COMPUTED_VALUE"""),1758)</f>
        <v>1758</v>
      </c>
      <c r="AE29" s="732">
        <f ca="1">IFERROR(__xludf.DUMMYFUNCTION("""COMPUTED_VALUE"""),0.058)</f>
        <v>5.8000000000000003E-2</v>
      </c>
      <c r="AF29" s="57">
        <f t="shared" ca="1" si="3"/>
        <v>7.1428571428571438E-2</v>
      </c>
      <c r="AG29" s="8"/>
      <c r="AH29" s="8"/>
      <c r="AI29" s="8"/>
      <c r="AJ29" s="8"/>
      <c r="AK29" s="8"/>
      <c r="AL29" s="8"/>
      <c r="AM29" s="8"/>
      <c r="AN29" s="8"/>
      <c r="AO29" s="8"/>
    </row>
    <row r="30" spans="1:41" ht="15.75" customHeight="1">
      <c r="A30" s="589">
        <f ca="1">IFERROR(__xludf.DUMMYFUNCTION("""COMPUTED_VALUE"""),28)</f>
        <v>28</v>
      </c>
      <c r="B30" s="590" t="str">
        <f ca="1">IFERROR(__xludf.DUMMYFUNCTION("""COMPUTED_VALUE"""),"2368 金像電")</f>
        <v>2368 金像電</v>
      </c>
      <c r="C30" s="594">
        <f ca="1">IFERROR(__xludf.DUMMYFUNCTION("""COMPUTED_VALUE"""),1015)</f>
        <v>1015</v>
      </c>
      <c r="D30" s="725">
        <v>5</v>
      </c>
      <c r="E30" s="729">
        <v>5.0000000000000001E-3</v>
      </c>
      <c r="F30" s="593">
        <f ca="1">IFERROR(__xludf.DUMMYFUNCTION("""COMPUTED_VALUE"""),9488747)</f>
        <v>9488747</v>
      </c>
      <c r="G30" s="57">
        <f t="shared" ca="1" si="0"/>
        <v>4.9504950495049506E-3</v>
      </c>
      <c r="H30" s="589">
        <f ca="1">IFERROR(__xludf.DUMMYFUNCTION("""COMPUTED_VALUE"""),28)</f>
        <v>28</v>
      </c>
      <c r="I30" s="590" t="str">
        <f ca="1">IFERROR(__xludf.DUMMYFUNCTION("""COMPUTED_VALUE"""),"6683 雍智科技")</f>
        <v>6683 雍智科技</v>
      </c>
      <c r="J30" s="609">
        <f ca="1">IFERROR(__xludf.DUMMYFUNCTION("""COMPUTED_VALUE"""),1370)</f>
        <v>1370</v>
      </c>
      <c r="K30" s="728">
        <v>-25</v>
      </c>
      <c r="L30" s="729">
        <v>-1.7899999999999999E-2</v>
      </c>
      <c r="M30" s="598">
        <f ca="1">IFERROR(__xludf.DUMMYFUNCTION("""COMPUTED_VALUE"""),1745390)</f>
        <v>1745390</v>
      </c>
      <c r="N30" s="58">
        <f t="shared" ca="1" si="1"/>
        <v>-1.7921146953405017E-2</v>
      </c>
      <c r="O30" s="595">
        <f ca="1">IFERROR(__xludf.DUMMYFUNCTION("""COMPUTED_VALUE"""),28)</f>
        <v>28</v>
      </c>
      <c r="P30" s="499" t="str">
        <f ca="1">IFERROR(__xludf.DUMMYFUNCTION("""COMPUTED_VALUE"""),"3034 聯詠")</f>
        <v>3034 聯詠</v>
      </c>
      <c r="Q30" s="499">
        <f ca="1">IFERROR(__xludf.DUMMYFUNCTION("""COMPUTED_VALUE"""),512)</f>
        <v>512</v>
      </c>
      <c r="R30" s="726">
        <v>-26</v>
      </c>
      <c r="S30" s="730">
        <v>-4.8300000000000003E-2</v>
      </c>
      <c r="T30" s="511">
        <f ca="1">IFERROR(__xludf.DUMMYFUNCTION("""COMPUTED_VALUE"""),277)</f>
        <v>277</v>
      </c>
      <c r="U30" s="511">
        <f ca="1">IFERROR(__xludf.DUMMYFUNCTION("""COMPUTED_VALUE"""),2722)</f>
        <v>2722</v>
      </c>
      <c r="V30" s="732">
        <f ca="1">IFERROR(__xludf.DUMMYFUNCTION("""COMPUTED_VALUE"""),0.1018)</f>
        <v>0.1018</v>
      </c>
      <c r="W30" s="57">
        <f t="shared" ca="1" si="2"/>
        <v>-4.8327137546468404E-2</v>
      </c>
      <c r="X30" s="618">
        <f ca="1">IFERROR(__xludf.DUMMYFUNCTION("""COMPUTED_VALUE"""),28)</f>
        <v>28</v>
      </c>
      <c r="Y30" s="499" t="str">
        <f ca="1">IFERROR(__xludf.DUMMYFUNCTION("""COMPUTED_VALUE"""),"3363 上詮")</f>
        <v>3363 上詮</v>
      </c>
      <c r="Z30" s="499">
        <f ca="1">IFERROR(__xludf.DUMMYFUNCTION("""COMPUTED_VALUE"""),586)</f>
        <v>586</v>
      </c>
      <c r="AA30" s="726">
        <v>-14</v>
      </c>
      <c r="AB30" s="730">
        <v>-2.3300000000000001E-2</v>
      </c>
      <c r="AC30" s="511">
        <f ca="1">IFERROR(__xludf.DUMMYFUNCTION("""COMPUTED_VALUE"""),312)</f>
        <v>312</v>
      </c>
      <c r="AD30" s="511">
        <f ca="1">IFERROR(__xludf.DUMMYFUNCTION("""COMPUTED_VALUE"""),5581)</f>
        <v>5581</v>
      </c>
      <c r="AE30" s="732">
        <f ca="1">IFERROR(__xludf.DUMMYFUNCTION("""COMPUTED_VALUE"""),0.0559)</f>
        <v>5.5899999999999998E-2</v>
      </c>
      <c r="AF30" s="57">
        <f t="shared" ca="1" si="3"/>
        <v>-2.3333333333333334E-2</v>
      </c>
      <c r="AG30" s="8"/>
      <c r="AH30" s="8"/>
      <c r="AI30" s="8"/>
      <c r="AJ30" s="8"/>
      <c r="AK30" s="8"/>
      <c r="AL30" s="8"/>
      <c r="AM30" s="8"/>
      <c r="AN30" s="8"/>
      <c r="AO30" s="8"/>
    </row>
    <row r="31" spans="1:41" ht="15.75" customHeight="1">
      <c r="A31" s="589">
        <f ca="1">IFERROR(__xludf.DUMMYFUNCTION("""COMPUTED_VALUE"""),29)</f>
        <v>29</v>
      </c>
      <c r="B31" s="590" t="str">
        <f ca="1">IFERROR(__xludf.DUMMYFUNCTION("""COMPUTED_VALUE"""),"00981A主動統一台股增長")</f>
        <v>00981A主動統一台股增長</v>
      </c>
      <c r="C31" s="591">
        <f ca="1">IFERROR(__xludf.DUMMYFUNCTION("""COMPUTED_VALUE"""),30.22)</f>
        <v>30.22</v>
      </c>
      <c r="D31" s="725">
        <v>0.27</v>
      </c>
      <c r="E31" s="729">
        <v>9.0000000000000011E-3</v>
      </c>
      <c r="F31" s="593">
        <f ca="1">IFERROR(__xludf.DUMMYFUNCTION("""COMPUTED_VALUE"""),9195113)</f>
        <v>9195113</v>
      </c>
      <c r="G31" s="57">
        <f t="shared" ca="1" si="0"/>
        <v>9.0150250417362285E-3</v>
      </c>
      <c r="H31" s="589">
        <f ca="1">IFERROR(__xludf.DUMMYFUNCTION("""COMPUTED_VALUE"""),29)</f>
        <v>29</v>
      </c>
      <c r="I31" s="590" t="str">
        <f ca="1">IFERROR(__xludf.DUMMYFUNCTION("""COMPUTED_VALUE"""),"3363 上詮")</f>
        <v>3363 上詮</v>
      </c>
      <c r="J31" s="592">
        <f ca="1">IFERROR(__xludf.DUMMYFUNCTION("""COMPUTED_VALUE"""),586)</f>
        <v>586</v>
      </c>
      <c r="K31" s="728">
        <v>-14</v>
      </c>
      <c r="L31" s="729">
        <v>-2.3300000000000001E-2</v>
      </c>
      <c r="M31" s="598">
        <f ca="1">IFERROR(__xludf.DUMMYFUNCTION("""COMPUTED_VALUE"""),1640101)</f>
        <v>1640101</v>
      </c>
      <c r="N31" s="58">
        <f t="shared" ca="1" si="1"/>
        <v>-2.3333333333333334E-2</v>
      </c>
      <c r="O31" s="595">
        <f ca="1">IFERROR(__xludf.DUMMYFUNCTION("""COMPUTED_VALUE"""),29)</f>
        <v>29</v>
      </c>
      <c r="P31" s="499" t="str">
        <f ca="1">IFERROR(__xludf.DUMMYFUNCTION("""COMPUTED_VALUE"""),"1108 幸福")</f>
        <v>1108 幸福</v>
      </c>
      <c r="Q31" s="499">
        <f ca="1">IFERROR(__xludf.DUMMYFUNCTION("""COMPUTED_VALUE"""),11.8)</f>
        <v>11.8</v>
      </c>
      <c r="R31" s="726">
        <v>0.05</v>
      </c>
      <c r="S31" s="730">
        <v>4.3E-3</v>
      </c>
      <c r="T31" s="511">
        <f ca="1">IFERROR(__xludf.DUMMYFUNCTION("""COMPUTED_VALUE"""),44)</f>
        <v>44</v>
      </c>
      <c r="U31" s="511">
        <f ca="1">IFERROR(__xludf.DUMMYFUNCTION("""COMPUTED_VALUE"""),435)</f>
        <v>435</v>
      </c>
      <c r="V31" s="732">
        <f ca="1">IFERROR(__xludf.DUMMYFUNCTION("""COMPUTED_VALUE"""),0.1011)</f>
        <v>0.1011</v>
      </c>
      <c r="W31" s="57">
        <f t="shared" ca="1" si="2"/>
        <v>4.2553191489361703E-3</v>
      </c>
      <c r="X31" s="618">
        <f ca="1">IFERROR(__xludf.DUMMYFUNCTION("""COMPUTED_VALUE"""),29)</f>
        <v>29</v>
      </c>
      <c r="Y31" s="499" t="str">
        <f ca="1">IFERROR(__xludf.DUMMYFUNCTION("""COMPUTED_VALUE"""),"3131 弘塑")</f>
        <v>3131 弘塑</v>
      </c>
      <c r="Z31" s="600">
        <f ca="1">IFERROR(__xludf.DUMMYFUNCTION("""COMPUTED_VALUE"""),2535)</f>
        <v>2535</v>
      </c>
      <c r="AA31" s="726">
        <v>-100</v>
      </c>
      <c r="AB31" s="730">
        <v>-3.7999999999999999E-2</v>
      </c>
      <c r="AC31" s="511">
        <f ca="1">IFERROR(__xludf.DUMMYFUNCTION("""COMPUTED_VALUE"""),20)</f>
        <v>20</v>
      </c>
      <c r="AD31" s="511">
        <f ca="1">IFERROR(__xludf.DUMMYFUNCTION("""COMPUTED_VALUE"""),368)</f>
        <v>368</v>
      </c>
      <c r="AE31" s="732">
        <f ca="1">IFERROR(__xludf.DUMMYFUNCTION("""COMPUTED_VALUE"""),0.0543)</f>
        <v>5.4300000000000001E-2</v>
      </c>
      <c r="AF31" s="57">
        <f t="shared" ca="1" si="3"/>
        <v>-3.7950664136622389E-2</v>
      </c>
      <c r="AG31" s="8"/>
      <c r="AH31" s="8"/>
      <c r="AI31" s="8"/>
      <c r="AJ31" s="8"/>
      <c r="AK31" s="8"/>
      <c r="AL31" s="8"/>
      <c r="AM31" s="8"/>
      <c r="AN31" s="8"/>
      <c r="AO31" s="8"/>
    </row>
    <row r="32" spans="1:41" ht="15.75" customHeight="1">
      <c r="A32" s="589">
        <f ca="1">IFERROR(__xludf.DUMMYFUNCTION("""COMPUTED_VALUE"""),30)</f>
        <v>30</v>
      </c>
      <c r="B32" s="590" t="str">
        <f ca="1">IFERROR(__xludf.DUMMYFUNCTION("""COMPUTED_VALUE"""),"0050 元大台灣50")</f>
        <v>0050 元大台灣50</v>
      </c>
      <c r="C32" s="591">
        <f ca="1">IFERROR(__xludf.DUMMYFUNCTION("""COMPUTED_VALUE"""),106.4)</f>
        <v>106.4</v>
      </c>
      <c r="D32" s="725">
        <v>-0.3</v>
      </c>
      <c r="E32" s="729">
        <v>-2.8E-3</v>
      </c>
      <c r="F32" s="593">
        <f ca="1">IFERROR(__xludf.DUMMYFUNCTION("""COMPUTED_VALUE"""),8764204)</f>
        <v>8764204</v>
      </c>
      <c r="G32" s="57">
        <f t="shared" ca="1" si="0"/>
        <v>-2.8116213683223989E-3</v>
      </c>
      <c r="H32" s="589">
        <f ca="1">IFERROR(__xludf.DUMMYFUNCTION("""COMPUTED_VALUE"""),30)</f>
        <v>30</v>
      </c>
      <c r="I32" s="590" t="str">
        <f ca="1">IFERROR(__xludf.DUMMYFUNCTION("""COMPUTED_VALUE"""),"5351 鈺創")</f>
        <v>5351 鈺創</v>
      </c>
      <c r="J32" s="592">
        <f ca="1">IFERROR(__xludf.DUMMYFUNCTION("""COMPUTED_VALUE"""),133)</f>
        <v>133</v>
      </c>
      <c r="K32" s="728">
        <v>4</v>
      </c>
      <c r="L32" s="729">
        <v>3.1E-2</v>
      </c>
      <c r="M32" s="598">
        <f ca="1">IFERROR(__xludf.DUMMYFUNCTION("""COMPUTED_VALUE"""),1495525)</f>
        <v>1495525</v>
      </c>
      <c r="N32" s="58">
        <f t="shared" ca="1" si="1"/>
        <v>3.1007751937984496E-2</v>
      </c>
      <c r="O32" s="595">
        <f ca="1">IFERROR(__xludf.DUMMYFUNCTION("""COMPUTED_VALUE"""),30)</f>
        <v>30</v>
      </c>
      <c r="P32" s="499" t="str">
        <f ca="1">IFERROR(__xludf.DUMMYFUNCTION("""COMPUTED_VALUE"""),"2375 凱美")</f>
        <v>2375 凱美</v>
      </c>
      <c r="Q32" s="499">
        <f ca="1">IFERROR(__xludf.DUMMYFUNCTION("""COMPUTED_VALUE"""),130.5)</f>
        <v>130.5</v>
      </c>
      <c r="R32" s="726">
        <v>-9</v>
      </c>
      <c r="S32" s="730">
        <v>-6.4500000000000002E-2</v>
      </c>
      <c r="T32" s="511">
        <f ca="1">IFERROR(__xludf.DUMMYFUNCTION("""COMPUTED_VALUE"""),585)</f>
        <v>585</v>
      </c>
      <c r="U32" s="511">
        <f ca="1">IFERROR(__xludf.DUMMYFUNCTION("""COMPUTED_VALUE"""),5794)</f>
        <v>5794</v>
      </c>
      <c r="V32" s="732">
        <f ca="1">IFERROR(__xludf.DUMMYFUNCTION("""COMPUTED_VALUE"""),0.101)</f>
        <v>0.10100000000000001</v>
      </c>
      <c r="W32" s="57">
        <f t="shared" ca="1" si="2"/>
        <v>-6.4516129032258063E-2</v>
      </c>
      <c r="X32" s="618">
        <f ca="1">IFERROR(__xludf.DUMMYFUNCTION("""COMPUTED_VALUE"""),30)</f>
        <v>30</v>
      </c>
      <c r="Y32" s="499" t="str">
        <f ca="1">IFERROR(__xludf.DUMMYFUNCTION("""COMPUTED_VALUE"""),"2745 五福")</f>
        <v>2745 五福</v>
      </c>
      <c r="Z32" s="499">
        <f ca="1">IFERROR(__xludf.DUMMYFUNCTION("""COMPUTED_VALUE"""),88.1)</f>
        <v>88.1</v>
      </c>
      <c r="AA32" s="726">
        <v>-0.4</v>
      </c>
      <c r="AB32" s="730">
        <v>-4.4999999999999997E-3</v>
      </c>
      <c r="AC32" s="511">
        <f ca="1">IFERROR(__xludf.DUMMYFUNCTION("""COMPUTED_VALUE"""),27)</f>
        <v>27</v>
      </c>
      <c r="AD32" s="511">
        <f ca="1">IFERROR(__xludf.DUMMYFUNCTION("""COMPUTED_VALUE"""),516)</f>
        <v>516</v>
      </c>
      <c r="AE32" s="732">
        <f ca="1">IFERROR(__xludf.DUMMYFUNCTION("""COMPUTED_VALUE"""),0.0523)</f>
        <v>5.2299999999999999E-2</v>
      </c>
      <c r="AF32" s="57">
        <f t="shared" ca="1" si="3"/>
        <v>-4.5197740112994352E-3</v>
      </c>
      <c r="AG32" s="8"/>
      <c r="AH32" s="8"/>
      <c r="AI32" s="8"/>
      <c r="AJ32" s="8"/>
      <c r="AK32" s="8"/>
      <c r="AL32" s="8"/>
      <c r="AM32" s="8"/>
      <c r="AN32" s="8"/>
      <c r="AO32" s="8"/>
    </row>
    <row r="33" spans="1:41" ht="15.75" customHeight="1">
      <c r="A33" s="589">
        <f ca="1">IFERROR(__xludf.DUMMYFUNCTION("""COMPUTED_VALUE"""),31)</f>
        <v>31</v>
      </c>
      <c r="B33" s="590" t="str">
        <f ca="1">IFERROR(__xludf.DUMMYFUNCTION("""COMPUTED_VALUE"""),"3008 大立光")</f>
        <v>3008 大立光</v>
      </c>
      <c r="C33" s="594">
        <f ca="1">IFERROR(__xludf.DUMMYFUNCTION("""COMPUTED_VALUE"""),4610)</f>
        <v>4610</v>
      </c>
      <c r="D33" s="725">
        <v>-50</v>
      </c>
      <c r="E33" s="729">
        <v>-1.0699999999999999E-2</v>
      </c>
      <c r="F33" s="593">
        <f ca="1">IFERROR(__xludf.DUMMYFUNCTION("""COMPUTED_VALUE"""),8750888)</f>
        <v>8750888</v>
      </c>
      <c r="G33" s="57">
        <f t="shared" ca="1" si="0"/>
        <v>-1.0729613733905579E-2</v>
      </c>
      <c r="H33" s="589">
        <f ca="1">IFERROR(__xludf.DUMMYFUNCTION("""COMPUTED_VALUE"""),31)</f>
        <v>31</v>
      </c>
      <c r="I33" s="590" t="str">
        <f ca="1">IFERROR(__xludf.DUMMYFUNCTION("""COMPUTED_VALUE"""),"3131 弘塑")</f>
        <v>3131 弘塑</v>
      </c>
      <c r="J33" s="609">
        <f ca="1">IFERROR(__xludf.DUMMYFUNCTION("""COMPUTED_VALUE"""),2535)</f>
        <v>2535</v>
      </c>
      <c r="K33" s="728">
        <v>-100</v>
      </c>
      <c r="L33" s="729">
        <v>-3.7999999999999999E-2</v>
      </c>
      <c r="M33" s="598">
        <f ca="1">IFERROR(__xludf.DUMMYFUNCTION("""COMPUTED_VALUE"""),1493192)</f>
        <v>1493192</v>
      </c>
      <c r="N33" s="58">
        <f t="shared" ca="1" si="1"/>
        <v>-3.7950664136622389E-2</v>
      </c>
      <c r="O33" s="595">
        <f ca="1">IFERROR(__xludf.DUMMYFUNCTION("""COMPUTED_VALUE"""),31)</f>
        <v>31</v>
      </c>
      <c r="P33" s="499" t="str">
        <f ca="1">IFERROR(__xludf.DUMMYFUNCTION("""COMPUTED_VALUE"""),"00655L國泰中國A50正2")</f>
        <v>00655L國泰中國A50正2</v>
      </c>
      <c r="Q33" s="499">
        <f ca="1">IFERROR(__xludf.DUMMYFUNCTION("""COMPUTED_VALUE"""),34.7)</f>
        <v>34.700000000000003</v>
      </c>
      <c r="R33" s="726">
        <v>-1.08</v>
      </c>
      <c r="S33" s="730">
        <v>-3.0200000000000001E-2</v>
      </c>
      <c r="T33" s="511">
        <f ca="1">IFERROR(__xludf.DUMMYFUNCTION("""COMPUTED_VALUE"""),214)</f>
        <v>214</v>
      </c>
      <c r="U33" s="511">
        <f ca="1">IFERROR(__xludf.DUMMYFUNCTION("""COMPUTED_VALUE"""),2126)</f>
        <v>2126</v>
      </c>
      <c r="V33" s="732">
        <f ca="1">IFERROR(__xludf.DUMMYFUNCTION("""COMPUTED_VALUE"""),0.1007)</f>
        <v>0.1007</v>
      </c>
      <c r="W33" s="57">
        <f t="shared" ca="1" si="2"/>
        <v>-3.0184460592509784E-2</v>
      </c>
      <c r="X33" s="618">
        <f ca="1">IFERROR(__xludf.DUMMYFUNCTION("""COMPUTED_VALUE"""),31)</f>
        <v>31</v>
      </c>
      <c r="Y33" s="499" t="str">
        <f ca="1">IFERROR(__xludf.DUMMYFUNCTION("""COMPUTED_VALUE"""),"6265 方土昶")</f>
        <v>6265 方土昶</v>
      </c>
      <c r="Z33" s="499">
        <f ca="1">IFERROR(__xludf.DUMMYFUNCTION("""COMPUTED_VALUE"""),62.5)</f>
        <v>62.5</v>
      </c>
      <c r="AA33" s="726">
        <v>3.6</v>
      </c>
      <c r="AB33" s="730">
        <v>6.1100000000000002E-2</v>
      </c>
      <c r="AC33" s="511">
        <f ca="1">IFERROR(__xludf.DUMMYFUNCTION("""COMPUTED_VALUE"""),278)</f>
        <v>278</v>
      </c>
      <c r="AD33" s="511">
        <f ca="1">IFERROR(__xludf.DUMMYFUNCTION("""COMPUTED_VALUE"""),5471)</f>
        <v>5471</v>
      </c>
      <c r="AE33" s="732">
        <f ca="1">IFERROR(__xludf.DUMMYFUNCTION("""COMPUTED_VALUE"""),0.0508)</f>
        <v>5.0799999999999998E-2</v>
      </c>
      <c r="AF33" s="57">
        <f t="shared" ca="1" si="3"/>
        <v>6.1120543293718167E-2</v>
      </c>
      <c r="AG33" s="8"/>
      <c r="AH33" s="8"/>
      <c r="AI33" s="8"/>
      <c r="AJ33" s="8"/>
      <c r="AK33" s="8"/>
      <c r="AL33" s="8"/>
      <c r="AM33" s="8"/>
      <c r="AN33" s="8"/>
      <c r="AO33" s="8"/>
    </row>
    <row r="34" spans="1:41" ht="15.75" customHeight="1">
      <c r="A34" s="589">
        <f ca="1">IFERROR(__xludf.DUMMYFUNCTION("""COMPUTED_VALUE"""),32)</f>
        <v>32</v>
      </c>
      <c r="B34" s="590" t="str">
        <f ca="1">IFERROR(__xludf.DUMMYFUNCTION("""COMPUTED_VALUE"""),"3533 嘉澤")</f>
        <v>3533 嘉澤</v>
      </c>
      <c r="C34" s="594">
        <f ca="1">IFERROR(__xludf.DUMMYFUNCTION("""COMPUTED_VALUE"""),1720)</f>
        <v>1720</v>
      </c>
      <c r="D34" s="725">
        <v>-90</v>
      </c>
      <c r="E34" s="729">
        <v>-4.9700000000000001E-2</v>
      </c>
      <c r="F34" s="593">
        <f ca="1">IFERROR(__xludf.DUMMYFUNCTION("""COMPUTED_VALUE"""),8270791)</f>
        <v>8270791</v>
      </c>
      <c r="G34" s="57">
        <f t="shared" ca="1" si="0"/>
        <v>-4.9723756906077346E-2</v>
      </c>
      <c r="H34" s="589">
        <f ca="1">IFERROR(__xludf.DUMMYFUNCTION("""COMPUTED_VALUE"""),32)</f>
        <v>32</v>
      </c>
      <c r="I34" s="590" t="str">
        <f ca="1">IFERROR(__xludf.DUMMYFUNCTION("""COMPUTED_VALUE"""),"3264 欣銓")</f>
        <v>3264 欣銓</v>
      </c>
      <c r="J34" s="592">
        <f ca="1">IFERROR(__xludf.DUMMYFUNCTION("""COMPUTED_VALUE"""),225.5)</f>
        <v>225.5</v>
      </c>
      <c r="K34" s="728">
        <v>-5</v>
      </c>
      <c r="L34" s="729">
        <v>-2.1700000000000001E-2</v>
      </c>
      <c r="M34" s="598">
        <f ca="1">IFERROR(__xludf.DUMMYFUNCTION("""COMPUTED_VALUE"""),1469900)</f>
        <v>1469900</v>
      </c>
      <c r="N34" s="58">
        <f t="shared" ca="1" si="1"/>
        <v>-2.1691973969631236E-2</v>
      </c>
      <c r="O34" s="595">
        <f ca="1">IFERROR(__xludf.DUMMYFUNCTION("""COMPUTED_VALUE"""),32)</f>
        <v>32</v>
      </c>
      <c r="P34" s="499" t="str">
        <f ca="1">IFERROR(__xludf.DUMMYFUNCTION("""COMPUTED_VALUE"""),"00685L群益臺灣加權正2")</f>
        <v>00685L群益臺灣加權正2</v>
      </c>
      <c r="Q34" s="499">
        <f ca="1">IFERROR(__xludf.DUMMYFUNCTION("""COMPUTED_VALUE"""),11.76)</f>
        <v>11.76</v>
      </c>
      <c r="R34" s="726">
        <v>-0.15</v>
      </c>
      <c r="S34" s="730">
        <v>-1.26E-2</v>
      </c>
      <c r="T34" s="511">
        <f ca="1">IFERROR(__xludf.DUMMYFUNCTION("""COMPUTED_VALUE"""),16375)</f>
        <v>16375</v>
      </c>
      <c r="U34" s="511">
        <f ca="1">IFERROR(__xludf.DUMMYFUNCTION("""COMPUTED_VALUE"""),165128)</f>
        <v>165128</v>
      </c>
      <c r="V34" s="732">
        <f ca="1">IFERROR(__xludf.DUMMYFUNCTION("""COMPUTED_VALUE"""),0.0992)</f>
        <v>9.9199999999999997E-2</v>
      </c>
      <c r="W34" s="57">
        <f t="shared" ca="1" si="2"/>
        <v>-1.2594458438287152E-2</v>
      </c>
      <c r="X34" s="618">
        <f ca="1">IFERROR(__xludf.DUMMYFUNCTION("""COMPUTED_VALUE"""),32)</f>
        <v>32</v>
      </c>
      <c r="Y34" s="499" t="str">
        <f ca="1">IFERROR(__xludf.DUMMYFUNCTION("""COMPUTED_VALUE"""),"4939 亞電")</f>
        <v>4939 亞電</v>
      </c>
      <c r="Z34" s="499">
        <f ca="1">IFERROR(__xludf.DUMMYFUNCTION("""COMPUTED_VALUE"""),61.4)</f>
        <v>61.4</v>
      </c>
      <c r="AA34" s="726">
        <v>-2.5</v>
      </c>
      <c r="AB34" s="730">
        <v>-3.9100000000000003E-2</v>
      </c>
      <c r="AC34" s="511">
        <f ca="1">IFERROR(__xludf.DUMMYFUNCTION("""COMPUTED_VALUE"""),334)</f>
        <v>334</v>
      </c>
      <c r="AD34" s="511">
        <f ca="1">IFERROR(__xludf.DUMMYFUNCTION("""COMPUTED_VALUE"""),6702)</f>
        <v>6702</v>
      </c>
      <c r="AE34" s="732">
        <f ca="1">IFERROR(__xludf.DUMMYFUNCTION("""COMPUTED_VALUE"""),0.0498)</f>
        <v>4.9799999999999997E-2</v>
      </c>
      <c r="AF34" s="57">
        <f t="shared" ca="1" si="3"/>
        <v>-3.912363067292645E-2</v>
      </c>
      <c r="AG34" s="8"/>
      <c r="AH34" s="8"/>
      <c r="AI34" s="8"/>
      <c r="AJ34" s="8"/>
      <c r="AK34" s="8"/>
      <c r="AL34" s="8"/>
      <c r="AM34" s="8"/>
      <c r="AN34" s="8"/>
      <c r="AO34" s="8"/>
    </row>
    <row r="35" spans="1:41" ht="15.75" customHeight="1">
      <c r="A35" s="589">
        <f ca="1">IFERROR(__xludf.DUMMYFUNCTION("""COMPUTED_VALUE"""),33)</f>
        <v>33</v>
      </c>
      <c r="B35" s="590" t="str">
        <f ca="1">IFERROR(__xludf.DUMMYFUNCTION("""COMPUTED_VALUE"""),"8996 高力")</f>
        <v>8996 高力</v>
      </c>
      <c r="C35" s="594">
        <f ca="1">IFERROR(__xludf.DUMMYFUNCTION("""COMPUTED_VALUE"""),1280)</f>
        <v>1280</v>
      </c>
      <c r="D35" s="725">
        <v>-5</v>
      </c>
      <c r="E35" s="729">
        <v>-3.8999999999999998E-3</v>
      </c>
      <c r="F35" s="593">
        <f ca="1">IFERROR(__xludf.DUMMYFUNCTION("""COMPUTED_VALUE"""),8009215)</f>
        <v>8009215</v>
      </c>
      <c r="G35" s="57">
        <f t="shared" ca="1" si="0"/>
        <v>-3.8910505836575876E-3</v>
      </c>
      <c r="H35" s="589">
        <f ca="1">IFERROR(__xludf.DUMMYFUNCTION("""COMPUTED_VALUE"""),33)</f>
        <v>33</v>
      </c>
      <c r="I35" s="590" t="str">
        <f ca="1">IFERROR(__xludf.DUMMYFUNCTION("""COMPUTED_VALUE"""),"3693 營邦")</f>
        <v>3693 營邦</v>
      </c>
      <c r="J35" s="592">
        <f ca="1">IFERROR(__xludf.DUMMYFUNCTION("""COMPUTED_VALUE"""),536)</f>
        <v>536</v>
      </c>
      <c r="K35" s="728">
        <v>-16</v>
      </c>
      <c r="L35" s="729">
        <v>-2.9000000000000001E-2</v>
      </c>
      <c r="M35" s="598">
        <f ca="1">IFERROR(__xludf.DUMMYFUNCTION("""COMPUTED_VALUE"""),1321613)</f>
        <v>1321613</v>
      </c>
      <c r="N35" s="58">
        <f t="shared" ca="1" si="1"/>
        <v>-2.8985507246376812E-2</v>
      </c>
      <c r="O35" s="595">
        <f ca="1">IFERROR(__xludf.DUMMYFUNCTION("""COMPUTED_VALUE"""),33)</f>
        <v>33</v>
      </c>
      <c r="P35" s="499" t="str">
        <f ca="1">IFERROR(__xludf.DUMMYFUNCTION("""COMPUTED_VALUE"""),"00654R富邦印度反1")</f>
        <v>00654R富邦印度反1</v>
      </c>
      <c r="Q35" s="499">
        <f ca="1">IFERROR(__xludf.DUMMYFUNCTION("""COMPUTED_VALUE"""),6.67)</f>
        <v>6.67</v>
      </c>
      <c r="R35" s="726">
        <v>-0.02</v>
      </c>
      <c r="S35" s="730">
        <v>-3.0000000000000001E-3</v>
      </c>
      <c r="T35" s="511">
        <f ca="1">IFERROR(__xludf.DUMMYFUNCTION("""COMPUTED_VALUE"""),62)</f>
        <v>62</v>
      </c>
      <c r="U35" s="511">
        <f ca="1">IFERROR(__xludf.DUMMYFUNCTION("""COMPUTED_VALUE"""),630)</f>
        <v>630</v>
      </c>
      <c r="V35" s="732">
        <f ca="1">IFERROR(__xludf.DUMMYFUNCTION("""COMPUTED_VALUE"""),0.0984)</f>
        <v>9.8400000000000001E-2</v>
      </c>
      <c r="W35" s="57">
        <f t="shared" ca="1" si="2"/>
        <v>-2.9895366218236174E-3</v>
      </c>
      <c r="X35" s="618">
        <f ca="1">IFERROR(__xludf.DUMMYFUNCTION("""COMPUTED_VALUE"""),33)</f>
        <v>33</v>
      </c>
      <c r="Y35" s="499" t="str">
        <f ca="1">IFERROR(__xludf.DUMMYFUNCTION("""COMPUTED_VALUE"""),"4173 久裕")</f>
        <v>4173 久裕</v>
      </c>
      <c r="Z35" s="499">
        <f ca="1">IFERROR(__xludf.DUMMYFUNCTION("""COMPUTED_VALUE"""),17.25)</f>
        <v>17.25</v>
      </c>
      <c r="AA35" s="726">
        <v>-0.1</v>
      </c>
      <c r="AB35" s="730">
        <v>-5.7999999999999996E-3</v>
      </c>
      <c r="AC35" s="511">
        <f ca="1">IFERROR(__xludf.DUMMYFUNCTION("""COMPUTED_VALUE"""),20)</f>
        <v>20</v>
      </c>
      <c r="AD35" s="511">
        <f ca="1">IFERROR(__xludf.DUMMYFUNCTION("""COMPUTED_VALUE"""),413)</f>
        <v>413</v>
      </c>
      <c r="AE35" s="732">
        <f ca="1">IFERROR(__xludf.DUMMYFUNCTION("""COMPUTED_VALUE"""),0.0484)</f>
        <v>4.8399999999999999E-2</v>
      </c>
      <c r="AF35" s="57">
        <f t="shared" ca="1" si="3"/>
        <v>-5.763688760806916E-3</v>
      </c>
      <c r="AG35" s="8"/>
      <c r="AH35" s="8"/>
      <c r="AI35" s="8"/>
      <c r="AJ35" s="8"/>
      <c r="AK35" s="8"/>
      <c r="AL35" s="8"/>
      <c r="AM35" s="8"/>
      <c r="AN35" s="8"/>
      <c r="AO35" s="8"/>
    </row>
    <row r="36" spans="1:41" ht="15.75" customHeight="1">
      <c r="A36" s="589">
        <f ca="1">IFERROR(__xludf.DUMMYFUNCTION("""COMPUTED_VALUE"""),34)</f>
        <v>34</v>
      </c>
      <c r="B36" s="590" t="str">
        <f ca="1">IFERROR(__xludf.DUMMYFUNCTION("""COMPUTED_VALUE"""),"2345 智邦")</f>
        <v>2345 智邦</v>
      </c>
      <c r="C36" s="594">
        <f ca="1">IFERROR(__xludf.DUMMYFUNCTION("""COMPUTED_VALUE"""),2300)</f>
        <v>2300</v>
      </c>
      <c r="D36" s="725">
        <v>30</v>
      </c>
      <c r="E36" s="729">
        <v>1.32E-2</v>
      </c>
      <c r="F36" s="593">
        <f ca="1">IFERROR(__xludf.DUMMYFUNCTION("""COMPUTED_VALUE"""),7750817)</f>
        <v>7750817</v>
      </c>
      <c r="G36" s="57">
        <f t="shared" ca="1" si="0"/>
        <v>1.3215859030837005E-2</v>
      </c>
      <c r="H36" s="589">
        <f ca="1">IFERROR(__xludf.DUMMYFUNCTION("""COMPUTED_VALUE"""),34)</f>
        <v>34</v>
      </c>
      <c r="I36" s="590" t="str">
        <f ca="1">IFERROR(__xludf.DUMMYFUNCTION("""COMPUTED_VALUE"""),"4541 晟田")</f>
        <v>4541 晟田</v>
      </c>
      <c r="J36" s="592">
        <f ca="1">IFERROR(__xludf.DUMMYFUNCTION("""COMPUTED_VALUE"""),73.9)</f>
        <v>73.900000000000006</v>
      </c>
      <c r="K36" s="728">
        <v>1.3</v>
      </c>
      <c r="L36" s="729">
        <v>1.7899999999999999E-2</v>
      </c>
      <c r="M36" s="598">
        <f ca="1">IFERROR(__xludf.DUMMYFUNCTION("""COMPUTED_VALUE"""),1296927)</f>
        <v>1296927</v>
      </c>
      <c r="N36" s="58">
        <f t="shared" ca="1" si="1"/>
        <v>1.7906336088154267E-2</v>
      </c>
      <c r="O36" s="595">
        <f ca="1">IFERROR(__xludf.DUMMYFUNCTION("""COMPUTED_VALUE"""),34)</f>
        <v>34</v>
      </c>
      <c r="P36" s="499" t="str">
        <f ca="1">IFERROR(__xludf.DUMMYFUNCTION("""COMPUTED_VALUE"""),"6243 迅杰")</f>
        <v>6243 迅杰</v>
      </c>
      <c r="Q36" s="499">
        <f ca="1">IFERROR(__xludf.DUMMYFUNCTION("""COMPUTED_VALUE"""),46.8)</f>
        <v>46.8</v>
      </c>
      <c r="R36" s="726">
        <v>2.9</v>
      </c>
      <c r="S36" s="730">
        <v>6.6100000000000006E-2</v>
      </c>
      <c r="T36" s="511">
        <f ca="1">IFERROR(__xludf.DUMMYFUNCTION("""COMPUTED_VALUE"""),183)</f>
        <v>183</v>
      </c>
      <c r="U36" s="511">
        <f ca="1">IFERROR(__xludf.DUMMYFUNCTION("""COMPUTED_VALUE"""),1860)</f>
        <v>1860</v>
      </c>
      <c r="V36" s="732">
        <f ca="1">IFERROR(__xludf.DUMMYFUNCTION("""COMPUTED_VALUE"""),0.0984)</f>
        <v>9.8400000000000001E-2</v>
      </c>
      <c r="W36" s="57">
        <f t="shared" ca="1" si="2"/>
        <v>6.6059225512528477E-2</v>
      </c>
      <c r="X36" s="618">
        <f ca="1">IFERROR(__xludf.DUMMYFUNCTION("""COMPUTED_VALUE"""),34)</f>
        <v>34</v>
      </c>
      <c r="Y36" s="499" t="str">
        <f ca="1">IFERROR(__xludf.DUMMYFUNCTION("""COMPUTED_VALUE"""),"3221 台嘉碩")</f>
        <v>3221 台嘉碩</v>
      </c>
      <c r="Z36" s="499">
        <f ca="1">IFERROR(__xludf.DUMMYFUNCTION("""COMPUTED_VALUE"""),47.45)</f>
        <v>47.45</v>
      </c>
      <c r="AA36" s="726">
        <v>-1.9</v>
      </c>
      <c r="AB36" s="730">
        <v>-3.85E-2</v>
      </c>
      <c r="AC36" s="511">
        <f ca="1">IFERROR(__xludf.DUMMYFUNCTION("""COMPUTED_VALUE"""),157)</f>
        <v>157</v>
      </c>
      <c r="AD36" s="511">
        <f ca="1">IFERROR(__xludf.DUMMYFUNCTION("""COMPUTED_VALUE"""),3409)</f>
        <v>3409</v>
      </c>
      <c r="AE36" s="732">
        <f ca="1">IFERROR(__xludf.DUMMYFUNCTION("""COMPUTED_VALUE"""),0.0461)</f>
        <v>4.6100000000000002E-2</v>
      </c>
      <c r="AF36" s="57">
        <f t="shared" ca="1" si="3"/>
        <v>-3.8500506585612965E-2</v>
      </c>
      <c r="AG36" s="8"/>
      <c r="AH36" s="8"/>
      <c r="AI36" s="8"/>
      <c r="AJ36" s="8"/>
      <c r="AK36" s="8"/>
      <c r="AL36" s="8"/>
      <c r="AM36" s="8"/>
      <c r="AN36" s="8"/>
      <c r="AO36" s="8"/>
    </row>
    <row r="37" spans="1:41" ht="15.75" customHeight="1">
      <c r="A37" s="589">
        <f ca="1">IFERROR(__xludf.DUMMYFUNCTION("""COMPUTED_VALUE"""),35)</f>
        <v>35</v>
      </c>
      <c r="B37" s="590" t="str">
        <f ca="1">IFERROR(__xludf.DUMMYFUNCTION("""COMPUTED_VALUE"""),"00631L元大台灣50正2")</f>
        <v>00631L元大台灣50正2</v>
      </c>
      <c r="C37" s="591">
        <f ca="1">IFERROR(__xludf.DUMMYFUNCTION("""COMPUTED_VALUE"""),35.69)</f>
        <v>35.69</v>
      </c>
      <c r="D37" s="725">
        <v>-0.6</v>
      </c>
      <c r="E37" s="729">
        <v>-1.6500000000000001E-2</v>
      </c>
      <c r="F37" s="593">
        <f ca="1">IFERROR(__xludf.DUMMYFUNCTION("""COMPUTED_VALUE"""),7667781)</f>
        <v>7667781</v>
      </c>
      <c r="G37" s="57">
        <f t="shared" ca="1" si="0"/>
        <v>-1.6533480297602644E-2</v>
      </c>
      <c r="H37" s="589">
        <f ca="1">IFERROR(__xludf.DUMMYFUNCTION("""COMPUTED_VALUE"""),35)</f>
        <v>35</v>
      </c>
      <c r="I37" s="590" t="str">
        <f ca="1">IFERROR(__xludf.DUMMYFUNCTION("""COMPUTED_VALUE"""),"5904 寶雅*")</f>
        <v>5904 寶雅*</v>
      </c>
      <c r="J37" s="592">
        <f ca="1">IFERROR(__xludf.DUMMYFUNCTION("""COMPUTED_VALUE"""),79)</f>
        <v>79</v>
      </c>
      <c r="K37" s="728">
        <v>-2.8</v>
      </c>
      <c r="L37" s="729">
        <v>-3.4200000000000001E-2</v>
      </c>
      <c r="M37" s="598">
        <f ca="1">IFERROR(__xludf.DUMMYFUNCTION("""COMPUTED_VALUE"""),1292424)</f>
        <v>1292424</v>
      </c>
      <c r="N37" s="58">
        <f t="shared" ca="1" si="1"/>
        <v>-3.4229828850855744E-2</v>
      </c>
      <c r="O37" s="595">
        <f ca="1">IFERROR(__xludf.DUMMYFUNCTION("""COMPUTED_VALUE"""),35)</f>
        <v>35</v>
      </c>
      <c r="P37" s="499" t="str">
        <f ca="1">IFERROR(__xludf.DUMMYFUNCTION("""COMPUTED_VALUE"""),"8473 山林水")</f>
        <v>8473 山林水</v>
      </c>
      <c r="Q37" s="499">
        <f ca="1">IFERROR(__xludf.DUMMYFUNCTION("""COMPUTED_VALUE"""),45.15)</f>
        <v>45.15</v>
      </c>
      <c r="R37" s="726">
        <v>-0.4</v>
      </c>
      <c r="S37" s="730">
        <v>-8.8000000000000005E-3</v>
      </c>
      <c r="T37" s="511">
        <f ca="1">IFERROR(__xludf.DUMMYFUNCTION("""COMPUTED_VALUE"""),337)</f>
        <v>337</v>
      </c>
      <c r="U37" s="511">
        <f ca="1">IFERROR(__xludf.DUMMYFUNCTION("""COMPUTED_VALUE"""),3428)</f>
        <v>3428</v>
      </c>
      <c r="V37" s="732">
        <f ca="1">IFERROR(__xludf.DUMMYFUNCTION("""COMPUTED_VALUE"""),0.0983)</f>
        <v>9.8299999999999998E-2</v>
      </c>
      <c r="W37" s="57">
        <f t="shared" ca="1" si="2"/>
        <v>-8.7815587266739849E-3</v>
      </c>
      <c r="X37" s="618">
        <f ca="1">IFERROR(__xludf.DUMMYFUNCTION("""COMPUTED_VALUE"""),35)</f>
        <v>35</v>
      </c>
      <c r="Y37" s="499" t="str">
        <f ca="1">IFERROR(__xludf.DUMMYFUNCTION("""COMPUTED_VALUE"""),"6588 東典光電")</f>
        <v>6588 東典光電</v>
      </c>
      <c r="Z37" s="499">
        <f ca="1">IFERROR(__xludf.DUMMYFUNCTION("""COMPUTED_VALUE"""),93.1)</f>
        <v>93.1</v>
      </c>
      <c r="AA37" s="726">
        <v>-0.6</v>
      </c>
      <c r="AB37" s="730">
        <v>-6.4000000000000003E-3</v>
      </c>
      <c r="AC37" s="511">
        <f ca="1">IFERROR(__xludf.DUMMYFUNCTION("""COMPUTED_VALUE"""),102)</f>
        <v>102</v>
      </c>
      <c r="AD37" s="511">
        <f ca="1">IFERROR(__xludf.DUMMYFUNCTION("""COMPUTED_VALUE"""),2283)</f>
        <v>2283</v>
      </c>
      <c r="AE37" s="732">
        <f ca="1">IFERROR(__xludf.DUMMYFUNCTION("""COMPUTED_VALUE"""),0.0447)</f>
        <v>4.4699999999999997E-2</v>
      </c>
      <c r="AF37" s="57">
        <f t="shared" ca="1" si="3"/>
        <v>-6.4034151547492004E-3</v>
      </c>
      <c r="AG37" s="8"/>
      <c r="AH37" s="8"/>
      <c r="AI37" s="8"/>
      <c r="AJ37" s="8"/>
      <c r="AK37" s="8"/>
      <c r="AL37" s="8"/>
      <c r="AM37" s="8"/>
      <c r="AN37" s="8"/>
      <c r="AO37" s="8"/>
    </row>
    <row r="38" spans="1:41" ht="15.75" customHeight="1">
      <c r="A38" s="589">
        <f ca="1">IFERROR(__xludf.DUMMYFUNCTION("""COMPUTED_VALUE"""),36)</f>
        <v>36</v>
      </c>
      <c r="B38" s="590" t="str">
        <f ca="1">IFERROR(__xludf.DUMMYFUNCTION("""COMPUTED_VALUE"""),"3653 健策")</f>
        <v>3653 健策</v>
      </c>
      <c r="C38" s="594">
        <f ca="1">IFERROR(__xludf.DUMMYFUNCTION("""COMPUTED_VALUE"""),4855)</f>
        <v>4855</v>
      </c>
      <c r="D38" s="725">
        <v>220</v>
      </c>
      <c r="E38" s="729">
        <v>4.7500000000000001E-2</v>
      </c>
      <c r="F38" s="593">
        <f ca="1">IFERROR(__xludf.DUMMYFUNCTION("""COMPUTED_VALUE"""),6218150)</f>
        <v>6218150</v>
      </c>
      <c r="G38" s="57">
        <f t="shared" ca="1" si="0"/>
        <v>4.7464940668824167E-2</v>
      </c>
      <c r="H38" s="589">
        <f ca="1">IFERROR(__xludf.DUMMYFUNCTION("""COMPUTED_VALUE"""),36)</f>
        <v>36</v>
      </c>
      <c r="I38" s="590" t="str">
        <f ca="1">IFERROR(__xludf.DUMMYFUNCTION("""COMPUTED_VALUE"""),"4939 亞電")</f>
        <v>4939 亞電</v>
      </c>
      <c r="J38" s="592">
        <f ca="1">IFERROR(__xludf.DUMMYFUNCTION("""COMPUTED_VALUE"""),61.4)</f>
        <v>61.4</v>
      </c>
      <c r="K38" s="728">
        <v>-2.5</v>
      </c>
      <c r="L38" s="729">
        <v>-3.9100000000000003E-2</v>
      </c>
      <c r="M38" s="598">
        <f ca="1">IFERROR(__xludf.DUMMYFUNCTION("""COMPUTED_VALUE"""),1269372)</f>
        <v>1269372</v>
      </c>
      <c r="N38" s="58">
        <f t="shared" ca="1" si="1"/>
        <v>-3.912363067292645E-2</v>
      </c>
      <c r="O38" s="595">
        <f ca="1">IFERROR(__xludf.DUMMYFUNCTION("""COMPUTED_VALUE"""),36)</f>
        <v>36</v>
      </c>
      <c r="P38" s="499" t="str">
        <f ca="1">IFERROR(__xludf.DUMMYFUNCTION("""COMPUTED_VALUE"""),"00650L復華香港正2")</f>
        <v>00650L復華香港正2</v>
      </c>
      <c r="Q38" s="499">
        <f ca="1">IFERROR(__xludf.DUMMYFUNCTION("""COMPUTED_VALUE"""),16.83)</f>
        <v>16.829999999999998</v>
      </c>
      <c r="R38" s="726">
        <v>-0.53</v>
      </c>
      <c r="S38" s="730">
        <v>-3.0499999999999999E-2</v>
      </c>
      <c r="T38" s="511">
        <f ca="1">IFERROR(__xludf.DUMMYFUNCTION("""COMPUTED_VALUE"""),1092)</f>
        <v>1092</v>
      </c>
      <c r="U38" s="511">
        <f ca="1">IFERROR(__xludf.DUMMYFUNCTION("""COMPUTED_VALUE"""),11261)</f>
        <v>11261</v>
      </c>
      <c r="V38" s="732">
        <f ca="1">IFERROR(__xludf.DUMMYFUNCTION("""COMPUTED_VALUE"""),0.097)</f>
        <v>9.7000000000000003E-2</v>
      </c>
      <c r="W38" s="57">
        <f t="shared" ca="1" si="2"/>
        <v>-3.0529953917050694E-2</v>
      </c>
      <c r="X38" s="618">
        <f ca="1">IFERROR(__xludf.DUMMYFUNCTION("""COMPUTED_VALUE"""),36)</f>
        <v>36</v>
      </c>
      <c r="Y38" s="499" t="str">
        <f ca="1">IFERROR(__xludf.DUMMYFUNCTION("""COMPUTED_VALUE"""),"3357 臺慶科")</f>
        <v>3357 臺慶科</v>
      </c>
      <c r="Z38" s="499">
        <f ca="1">IFERROR(__xludf.DUMMYFUNCTION("""COMPUTED_VALUE"""),228.5)</f>
        <v>228.5</v>
      </c>
      <c r="AA38" s="726">
        <v>-25</v>
      </c>
      <c r="AB38" s="730">
        <v>-9.8599999999999993E-2</v>
      </c>
      <c r="AC38" s="511">
        <f ca="1">IFERROR(__xludf.DUMMYFUNCTION("""COMPUTED_VALUE"""),168)</f>
        <v>168</v>
      </c>
      <c r="AD38" s="511">
        <f ca="1">IFERROR(__xludf.DUMMYFUNCTION("""COMPUTED_VALUE"""),3818)</f>
        <v>3818</v>
      </c>
      <c r="AE38" s="732">
        <f ca="1">IFERROR(__xludf.DUMMYFUNCTION("""COMPUTED_VALUE"""),0.044)</f>
        <v>4.3999999999999997E-2</v>
      </c>
      <c r="AF38" s="57">
        <f t="shared" ca="1" si="3"/>
        <v>-9.8619329388560162E-2</v>
      </c>
      <c r="AG38" s="8"/>
      <c r="AH38" s="8"/>
      <c r="AI38" s="8"/>
      <c r="AJ38" s="8"/>
      <c r="AK38" s="8"/>
      <c r="AL38" s="8"/>
      <c r="AM38" s="8"/>
      <c r="AN38" s="8"/>
      <c r="AO38" s="8"/>
    </row>
    <row r="39" spans="1:41" ht="15.75" customHeight="1">
      <c r="A39" s="589">
        <f ca="1">IFERROR(__xludf.DUMMYFUNCTION("""COMPUTED_VALUE"""),37)</f>
        <v>37</v>
      </c>
      <c r="B39" s="590" t="str">
        <f ca="1">IFERROR(__xludf.DUMMYFUNCTION("""COMPUTED_VALUE"""),"6446 藥華藥")</f>
        <v>6446 藥華藥</v>
      </c>
      <c r="C39" s="594">
        <f ca="1">IFERROR(__xludf.DUMMYFUNCTION("""COMPUTED_VALUE"""),1500)</f>
        <v>1500</v>
      </c>
      <c r="D39" s="725">
        <v>55</v>
      </c>
      <c r="E39" s="729">
        <v>3.8100000000000002E-2</v>
      </c>
      <c r="F39" s="593">
        <f ca="1">IFERROR(__xludf.DUMMYFUNCTION("""COMPUTED_VALUE"""),5981875)</f>
        <v>5981875</v>
      </c>
      <c r="G39" s="57">
        <f t="shared" ca="1" si="0"/>
        <v>3.8062283737024222E-2</v>
      </c>
      <c r="H39" s="589">
        <f ca="1">IFERROR(__xludf.DUMMYFUNCTION("""COMPUTED_VALUE"""),37)</f>
        <v>37</v>
      </c>
      <c r="I39" s="590" t="str">
        <f ca="1">IFERROR(__xludf.DUMMYFUNCTION("""COMPUTED_VALUE"""),"5439 高技")</f>
        <v>5439 高技</v>
      </c>
      <c r="J39" s="592">
        <f ca="1">IFERROR(__xludf.DUMMYFUNCTION("""COMPUTED_VALUE"""),247)</f>
        <v>247</v>
      </c>
      <c r="K39" s="728">
        <v>-3</v>
      </c>
      <c r="L39" s="729">
        <v>-1.2E-2</v>
      </c>
      <c r="M39" s="598">
        <f ca="1">IFERROR(__xludf.DUMMYFUNCTION("""COMPUTED_VALUE"""),1249073)</f>
        <v>1249073</v>
      </c>
      <c r="N39" s="58">
        <f t="shared" ca="1" si="1"/>
        <v>-1.2E-2</v>
      </c>
      <c r="O39" s="595">
        <f ca="1">IFERROR(__xludf.DUMMYFUNCTION("""COMPUTED_VALUE"""),37)</f>
        <v>37</v>
      </c>
      <c r="P39" s="499" t="str">
        <f ca="1">IFERROR(__xludf.DUMMYFUNCTION("""COMPUTED_VALUE"""),"1560 中砂")</f>
        <v>1560 中砂</v>
      </c>
      <c r="Q39" s="499">
        <f ca="1">IFERROR(__xludf.DUMMYFUNCTION("""COMPUTED_VALUE"""),725)</f>
        <v>725</v>
      </c>
      <c r="R39" s="726">
        <v>18</v>
      </c>
      <c r="S39" s="730">
        <v>2.5499999999999998E-2</v>
      </c>
      <c r="T39" s="511">
        <f ca="1">IFERROR(__xludf.DUMMYFUNCTION("""COMPUTED_VALUE"""),131)</f>
        <v>131</v>
      </c>
      <c r="U39" s="511">
        <f ca="1">IFERROR(__xludf.DUMMYFUNCTION("""COMPUTED_VALUE"""),1380)</f>
        <v>1380</v>
      </c>
      <c r="V39" s="732">
        <f ca="1">IFERROR(__xludf.DUMMYFUNCTION("""COMPUTED_VALUE"""),0.0949)</f>
        <v>9.4899999999999998E-2</v>
      </c>
      <c r="W39" s="57">
        <f t="shared" ca="1" si="2"/>
        <v>2.5459688826025461E-2</v>
      </c>
      <c r="X39" s="618">
        <f ca="1">IFERROR(__xludf.DUMMYFUNCTION("""COMPUTED_VALUE"""),37)</f>
        <v>37</v>
      </c>
      <c r="Y39" s="499" t="str">
        <f ca="1">IFERROR(__xludf.DUMMYFUNCTION("""COMPUTED_VALUE"""),"6276 安鈦克")</f>
        <v>6276 安鈦克</v>
      </c>
      <c r="Z39" s="499">
        <f ca="1">IFERROR(__xludf.DUMMYFUNCTION("""COMPUTED_VALUE"""),19.05)</f>
        <v>19.05</v>
      </c>
      <c r="AA39" s="726">
        <v>-0.15</v>
      </c>
      <c r="AB39" s="730">
        <v>-7.7999999999999996E-3</v>
      </c>
      <c r="AC39" s="511">
        <f ca="1">IFERROR(__xludf.DUMMYFUNCTION("""COMPUTED_VALUE"""),12)</f>
        <v>12</v>
      </c>
      <c r="AD39" s="511">
        <f ca="1">IFERROR(__xludf.DUMMYFUNCTION("""COMPUTED_VALUE"""),275)</f>
        <v>275</v>
      </c>
      <c r="AE39" s="732">
        <f ca="1">IFERROR(__xludf.DUMMYFUNCTION("""COMPUTED_VALUE"""),0.0436)</f>
        <v>4.36E-2</v>
      </c>
      <c r="AF39" s="57">
        <f t="shared" ca="1" si="3"/>
        <v>-7.8125E-3</v>
      </c>
      <c r="AG39" s="8"/>
      <c r="AH39" s="8"/>
      <c r="AI39" s="8"/>
      <c r="AJ39" s="8"/>
      <c r="AK39" s="8"/>
      <c r="AL39" s="8"/>
      <c r="AM39" s="8"/>
      <c r="AN39" s="8"/>
      <c r="AO39" s="8"/>
    </row>
    <row r="40" spans="1:41" ht="15.75" customHeight="1">
      <c r="A40" s="589">
        <f ca="1">IFERROR(__xludf.DUMMYFUNCTION("""COMPUTED_VALUE"""),38)</f>
        <v>38</v>
      </c>
      <c r="B40" s="590" t="str">
        <f ca="1">IFERROR(__xludf.DUMMYFUNCTION("""COMPUTED_VALUE"""),"2301 光寶科")</f>
        <v>2301 光寶科</v>
      </c>
      <c r="C40" s="591">
        <f ca="1">IFERROR(__xludf.DUMMYFUNCTION("""COMPUTED_VALUE"""),267)</f>
        <v>267</v>
      </c>
      <c r="D40" s="725">
        <v>-2.5</v>
      </c>
      <c r="E40" s="729">
        <v>-9.2999999999999992E-3</v>
      </c>
      <c r="F40" s="593">
        <f ca="1">IFERROR(__xludf.DUMMYFUNCTION("""COMPUTED_VALUE"""),5782364)</f>
        <v>5782364</v>
      </c>
      <c r="G40" s="57">
        <f t="shared" ca="1" si="0"/>
        <v>-9.2764378478664197E-3</v>
      </c>
      <c r="H40" s="589">
        <f ca="1">IFERROR(__xludf.DUMMYFUNCTION("""COMPUTED_VALUE"""),38)</f>
        <v>38</v>
      </c>
      <c r="I40" s="590" t="str">
        <f ca="1">IFERROR(__xludf.DUMMYFUNCTION("""COMPUTED_VALUE"""),"5536 聖暉*")</f>
        <v>5536 聖暉*</v>
      </c>
      <c r="J40" s="592">
        <f ca="1">IFERROR(__xludf.DUMMYFUNCTION("""COMPUTED_VALUE"""),925)</f>
        <v>925</v>
      </c>
      <c r="K40" s="728">
        <v>22</v>
      </c>
      <c r="L40" s="729">
        <v>2.4400000000000002E-2</v>
      </c>
      <c r="M40" s="598">
        <f ca="1">IFERROR(__xludf.DUMMYFUNCTION("""COMPUTED_VALUE"""),1244074)</f>
        <v>1244074</v>
      </c>
      <c r="N40" s="58">
        <f t="shared" ca="1" si="1"/>
        <v>2.4363233665559248E-2</v>
      </c>
      <c r="O40" s="595">
        <f ca="1">IFERROR(__xludf.DUMMYFUNCTION("""COMPUTED_VALUE"""),38)</f>
        <v>38</v>
      </c>
      <c r="P40" s="499" t="str">
        <f ca="1">IFERROR(__xludf.DUMMYFUNCTION("""COMPUTED_VALUE"""),"3033 威健")</f>
        <v>3033 威健</v>
      </c>
      <c r="Q40" s="499">
        <f ca="1">IFERROR(__xludf.DUMMYFUNCTION("""COMPUTED_VALUE"""),48.25)</f>
        <v>48.25</v>
      </c>
      <c r="R40" s="726">
        <v>-0.35</v>
      </c>
      <c r="S40" s="730">
        <v>-7.1999999999999998E-3</v>
      </c>
      <c r="T40" s="511">
        <f ca="1">IFERROR(__xludf.DUMMYFUNCTION("""COMPUTED_VALUE"""),819)</f>
        <v>819</v>
      </c>
      <c r="U40" s="511">
        <f ca="1">IFERROR(__xludf.DUMMYFUNCTION("""COMPUTED_VALUE"""),8823)</f>
        <v>8823</v>
      </c>
      <c r="V40" s="732">
        <f ca="1">IFERROR(__xludf.DUMMYFUNCTION("""COMPUTED_VALUE"""),0.0928)</f>
        <v>9.2799999999999994E-2</v>
      </c>
      <c r="W40" s="57">
        <f t="shared" ca="1" si="2"/>
        <v>-7.2016460905349787E-3</v>
      </c>
      <c r="X40" s="618">
        <f ca="1">IFERROR(__xludf.DUMMYFUNCTION("""COMPUTED_VALUE"""),38)</f>
        <v>38</v>
      </c>
      <c r="Y40" s="499" t="str">
        <f ca="1">IFERROR(__xludf.DUMMYFUNCTION("""COMPUTED_VALUE"""),"2916 滿心")</f>
        <v>2916 滿心</v>
      </c>
      <c r="Z40" s="499">
        <f ca="1">IFERROR(__xludf.DUMMYFUNCTION("""COMPUTED_VALUE"""),40.7)</f>
        <v>40.700000000000003</v>
      </c>
      <c r="AA40" s="726">
        <v>-0.05</v>
      </c>
      <c r="AB40" s="730">
        <v>-1.1999999999999999E-3</v>
      </c>
      <c r="AC40" s="511">
        <f ca="1">IFERROR(__xludf.DUMMYFUNCTION("""COMPUTED_VALUE"""),5)</f>
        <v>5</v>
      </c>
      <c r="AD40" s="511">
        <f ca="1">IFERROR(__xludf.DUMMYFUNCTION("""COMPUTED_VALUE"""),116)</f>
        <v>116</v>
      </c>
      <c r="AE40" s="732">
        <f ca="1">IFERROR(__xludf.DUMMYFUNCTION("""COMPUTED_VALUE"""),0.0431)</f>
        <v>4.3099999999999999E-2</v>
      </c>
      <c r="AF40" s="57">
        <f t="shared" ca="1" si="3"/>
        <v>-1.2269938650306749E-3</v>
      </c>
      <c r="AG40" s="8"/>
      <c r="AH40" s="8"/>
      <c r="AI40" s="8"/>
      <c r="AJ40" s="8"/>
      <c r="AK40" s="8"/>
      <c r="AL40" s="8"/>
      <c r="AM40" s="8"/>
      <c r="AN40" s="8"/>
      <c r="AO40" s="8"/>
    </row>
    <row r="41" spans="1:41" ht="15.75" customHeight="1">
      <c r="A41" s="589">
        <f ca="1">IFERROR(__xludf.DUMMYFUNCTION("""COMPUTED_VALUE"""),39)</f>
        <v>39</v>
      </c>
      <c r="B41" s="590" t="str">
        <f ca="1">IFERROR(__xludf.DUMMYFUNCTION("""COMPUTED_VALUE"""),"2376 技嘉")</f>
        <v>2376 技嘉</v>
      </c>
      <c r="C41" s="591">
        <f ca="1">IFERROR(__xludf.DUMMYFUNCTION("""COMPUTED_VALUE"""),397.5)</f>
        <v>397.5</v>
      </c>
      <c r="D41" s="725">
        <v>4</v>
      </c>
      <c r="E41" s="729">
        <v>1.0200000000000001E-2</v>
      </c>
      <c r="F41" s="593">
        <f ca="1">IFERROR(__xludf.DUMMYFUNCTION("""COMPUTED_VALUE"""),5656736)</f>
        <v>5656736</v>
      </c>
      <c r="G41" s="57">
        <f t="shared" ca="1" si="0"/>
        <v>1.0165184243964422E-2</v>
      </c>
      <c r="H41" s="589">
        <f ca="1">IFERROR(__xludf.DUMMYFUNCTION("""COMPUTED_VALUE"""),39)</f>
        <v>39</v>
      </c>
      <c r="I41" s="590" t="str">
        <f ca="1">IFERROR(__xludf.DUMMYFUNCTION("""COMPUTED_VALUE"""),"3357 臺慶科")</f>
        <v>3357 臺慶科</v>
      </c>
      <c r="J41" s="592">
        <f ca="1">IFERROR(__xludf.DUMMYFUNCTION("""COMPUTED_VALUE"""),228.5)</f>
        <v>228.5</v>
      </c>
      <c r="K41" s="728">
        <v>-25</v>
      </c>
      <c r="L41" s="729">
        <v>-9.8599999999999993E-2</v>
      </c>
      <c r="M41" s="598">
        <f ca="1">IFERROR(__xludf.DUMMYFUNCTION("""COMPUTED_VALUE"""),1220908)</f>
        <v>1220908</v>
      </c>
      <c r="N41" s="58">
        <f t="shared" ca="1" si="1"/>
        <v>-9.8619329388560162E-2</v>
      </c>
      <c r="O41" s="595">
        <f ca="1">IFERROR(__xludf.DUMMYFUNCTION("""COMPUTED_VALUE"""),39)</f>
        <v>39</v>
      </c>
      <c r="P41" s="499" t="str">
        <f ca="1">IFERROR(__xludf.DUMMYFUNCTION("""COMPUTED_VALUE"""),"00631L元大台灣50正2")</f>
        <v>00631L元大台灣50正2</v>
      </c>
      <c r="Q41" s="499">
        <f ca="1">IFERROR(__xludf.DUMMYFUNCTION("""COMPUTED_VALUE"""),35.69)</f>
        <v>35.69</v>
      </c>
      <c r="R41" s="726">
        <v>-0.6</v>
      </c>
      <c r="S41" s="730">
        <v>-1.6500000000000001E-2</v>
      </c>
      <c r="T41" s="511">
        <f ca="1">IFERROR(__xludf.DUMMYFUNCTION("""COMPUTED_VALUE"""),20560)</f>
        <v>20560</v>
      </c>
      <c r="U41" s="511">
        <f ca="1">IFERROR(__xludf.DUMMYFUNCTION("""COMPUTED_VALUE"""),223853)</f>
        <v>223853</v>
      </c>
      <c r="V41" s="732">
        <f ca="1">IFERROR(__xludf.DUMMYFUNCTION("""COMPUTED_VALUE"""),0.0918)</f>
        <v>9.1800000000000007E-2</v>
      </c>
      <c r="W41" s="57">
        <f t="shared" ca="1" si="2"/>
        <v>-1.6533480297602644E-2</v>
      </c>
      <c r="X41" s="618">
        <f ca="1">IFERROR(__xludf.DUMMYFUNCTION("""COMPUTED_VALUE"""),39)</f>
        <v>39</v>
      </c>
      <c r="Y41" s="499" t="str">
        <f ca="1">IFERROR(__xludf.DUMMYFUNCTION("""COMPUTED_VALUE"""),"5386 青雲")</f>
        <v>5386 青雲</v>
      </c>
      <c r="Z41" s="499">
        <f ca="1">IFERROR(__xludf.DUMMYFUNCTION("""COMPUTED_VALUE"""),260.5)</f>
        <v>260.5</v>
      </c>
      <c r="AA41" s="726">
        <v>-17.5</v>
      </c>
      <c r="AB41" s="730">
        <v>-6.2899999999999998E-2</v>
      </c>
      <c r="AC41" s="511">
        <f ca="1">IFERROR(__xludf.DUMMYFUNCTION("""COMPUTED_VALUE"""),73)</f>
        <v>73</v>
      </c>
      <c r="AD41" s="511">
        <f ca="1">IFERROR(__xludf.DUMMYFUNCTION("""COMPUTED_VALUE"""),1767)</f>
        <v>1767</v>
      </c>
      <c r="AE41" s="732">
        <f ca="1">IFERROR(__xludf.DUMMYFUNCTION("""COMPUTED_VALUE"""),0.0413)</f>
        <v>4.1300000000000003E-2</v>
      </c>
      <c r="AF41" s="57">
        <f t="shared" ca="1" si="3"/>
        <v>-6.2949640287769781E-2</v>
      </c>
      <c r="AG41" s="8"/>
      <c r="AH41" s="8"/>
      <c r="AI41" s="8"/>
      <c r="AJ41" s="8"/>
      <c r="AK41" s="8"/>
      <c r="AL41" s="8"/>
      <c r="AM41" s="8"/>
      <c r="AN41" s="8"/>
      <c r="AO41" s="8"/>
    </row>
    <row r="42" spans="1:41" ht="15.75" customHeight="1">
      <c r="A42" s="589">
        <f ca="1">IFERROR(__xludf.DUMMYFUNCTION("""COMPUTED_VALUE"""),40)</f>
        <v>40</v>
      </c>
      <c r="B42" s="590" t="str">
        <f ca="1">IFERROR(__xludf.DUMMYFUNCTION("""COMPUTED_VALUE"""),"2313 華通")</f>
        <v>2313 華通</v>
      </c>
      <c r="C42" s="591">
        <f ca="1">IFERROR(__xludf.DUMMYFUNCTION("""COMPUTED_VALUE"""),215.5)</f>
        <v>215.5</v>
      </c>
      <c r="D42" s="725">
        <v>3.5</v>
      </c>
      <c r="E42" s="729">
        <v>1.6500000000000001E-2</v>
      </c>
      <c r="F42" s="593">
        <f ca="1">IFERROR(__xludf.DUMMYFUNCTION("""COMPUTED_VALUE"""),5521332)</f>
        <v>5521332</v>
      </c>
      <c r="G42" s="57">
        <f t="shared" ca="1" si="0"/>
        <v>1.6509433962264151E-2</v>
      </c>
      <c r="H42" s="589">
        <f ca="1">IFERROR(__xludf.DUMMYFUNCTION("""COMPUTED_VALUE"""),40)</f>
        <v>40</v>
      </c>
      <c r="I42" s="590" t="str">
        <f ca="1">IFERROR(__xludf.DUMMYFUNCTION("""COMPUTED_VALUE"""),"6538 倉和")</f>
        <v>6538 倉和</v>
      </c>
      <c r="J42" s="592">
        <f ca="1">IFERROR(__xludf.DUMMYFUNCTION("""COMPUTED_VALUE"""),184)</f>
        <v>184</v>
      </c>
      <c r="K42" s="728">
        <v>6.5</v>
      </c>
      <c r="L42" s="729">
        <v>3.6600000000000001E-2</v>
      </c>
      <c r="M42" s="598">
        <f ca="1">IFERROR(__xludf.DUMMYFUNCTION("""COMPUTED_VALUE"""),1056489)</f>
        <v>1056489</v>
      </c>
      <c r="N42" s="58">
        <f t="shared" ca="1" si="1"/>
        <v>3.6619718309859155E-2</v>
      </c>
      <c r="O42" s="595">
        <f ca="1">IFERROR(__xludf.DUMMYFUNCTION("""COMPUTED_VALUE"""),40)</f>
        <v>40</v>
      </c>
      <c r="P42" s="499" t="str">
        <f ca="1">IFERROR(__xludf.DUMMYFUNCTION("""COMPUTED_VALUE"""),"9921 巨大")</f>
        <v>9921 巨大</v>
      </c>
      <c r="Q42" s="499">
        <f ca="1">IFERROR(__xludf.DUMMYFUNCTION("""COMPUTED_VALUE"""),101)</f>
        <v>101</v>
      </c>
      <c r="R42" s="726">
        <v>-4</v>
      </c>
      <c r="S42" s="730">
        <v>-3.8100000000000002E-2</v>
      </c>
      <c r="T42" s="511">
        <f ca="1">IFERROR(__xludf.DUMMYFUNCTION("""COMPUTED_VALUE"""),130)</f>
        <v>130</v>
      </c>
      <c r="U42" s="511">
        <f ca="1">IFERROR(__xludf.DUMMYFUNCTION("""COMPUTED_VALUE"""),1472)</f>
        <v>1472</v>
      </c>
      <c r="V42" s="732">
        <f ca="1">IFERROR(__xludf.DUMMYFUNCTION("""COMPUTED_VALUE"""),0.0883)</f>
        <v>8.8300000000000003E-2</v>
      </c>
      <c r="W42" s="57">
        <f t="shared" ca="1" si="2"/>
        <v>-3.8095238095238099E-2</v>
      </c>
      <c r="X42" s="618">
        <f ca="1">IFERROR(__xludf.DUMMYFUNCTION("""COMPUTED_VALUE"""),40)</f>
        <v>40</v>
      </c>
      <c r="Y42" s="499" t="str">
        <f ca="1">IFERROR(__xludf.DUMMYFUNCTION("""COMPUTED_VALUE"""),"4909 新復興")</f>
        <v>4909 新復興</v>
      </c>
      <c r="Z42" s="499">
        <f ca="1">IFERROR(__xludf.DUMMYFUNCTION("""COMPUTED_VALUE"""),39)</f>
        <v>39</v>
      </c>
      <c r="AA42" s="726">
        <v>0</v>
      </c>
      <c r="AB42" s="730">
        <v>0</v>
      </c>
      <c r="AC42" s="511">
        <f ca="1">IFERROR(__xludf.DUMMYFUNCTION("""COMPUTED_VALUE"""),161)</f>
        <v>161</v>
      </c>
      <c r="AD42" s="511">
        <f ca="1">IFERROR(__xludf.DUMMYFUNCTION("""COMPUTED_VALUE"""),3933)</f>
        <v>3933</v>
      </c>
      <c r="AE42" s="732">
        <f ca="1">IFERROR(__xludf.DUMMYFUNCTION("""COMPUTED_VALUE"""),0.0409)</f>
        <v>4.0899999999999999E-2</v>
      </c>
      <c r="AF42" s="57">
        <f t="shared" ca="1" si="3"/>
        <v>0</v>
      </c>
      <c r="AG42" s="8"/>
      <c r="AH42" s="8"/>
      <c r="AI42" s="8"/>
      <c r="AJ42" s="8"/>
      <c r="AK42" s="8"/>
      <c r="AL42" s="8"/>
      <c r="AM42" s="8"/>
      <c r="AN42" s="8"/>
      <c r="AO42" s="8"/>
    </row>
    <row r="43" spans="1:41" ht="15.75" customHeight="1">
      <c r="A43" s="589">
        <f ca="1">IFERROR(__xludf.DUMMYFUNCTION("""COMPUTED_VALUE"""),41)</f>
        <v>41</v>
      </c>
      <c r="B43" s="590" t="str">
        <f ca="1">IFERROR(__xludf.DUMMYFUNCTION("""COMPUTED_VALUE"""),"2634 漢翔")</f>
        <v>2634 漢翔</v>
      </c>
      <c r="C43" s="591">
        <f ca="1">IFERROR(__xludf.DUMMYFUNCTION("""COMPUTED_VALUE"""),70.6)</f>
        <v>70.599999999999994</v>
      </c>
      <c r="D43" s="725">
        <v>6.4</v>
      </c>
      <c r="E43" s="729">
        <v>9.9699999999999997E-2</v>
      </c>
      <c r="F43" s="593">
        <f ca="1">IFERROR(__xludf.DUMMYFUNCTION("""COMPUTED_VALUE"""),5431765)</f>
        <v>5431765</v>
      </c>
      <c r="G43" s="57">
        <f t="shared" ca="1" si="0"/>
        <v>9.9688473520249246E-2</v>
      </c>
      <c r="H43" s="589">
        <f ca="1">IFERROR(__xludf.DUMMYFUNCTION("""COMPUTED_VALUE"""),41)</f>
        <v>41</v>
      </c>
      <c r="I43" s="590" t="str">
        <f ca="1">IFERROR(__xludf.DUMMYFUNCTION("""COMPUTED_VALUE"""),"3362 先進光")</f>
        <v>3362 先進光</v>
      </c>
      <c r="J43" s="592">
        <f ca="1">IFERROR(__xludf.DUMMYFUNCTION("""COMPUTED_VALUE"""),172)</f>
        <v>172</v>
      </c>
      <c r="K43" s="728">
        <v>-9</v>
      </c>
      <c r="L43" s="729">
        <v>-4.9700000000000001E-2</v>
      </c>
      <c r="M43" s="598">
        <f ca="1">IFERROR(__xludf.DUMMYFUNCTION("""COMPUTED_VALUE"""),1045867)</f>
        <v>1045867</v>
      </c>
      <c r="N43" s="58">
        <f t="shared" ca="1" si="1"/>
        <v>-4.9723756906077346E-2</v>
      </c>
      <c r="O43" s="595">
        <f ca="1">IFERROR(__xludf.DUMMYFUNCTION("""COMPUTED_VALUE"""),41)</f>
        <v>41</v>
      </c>
      <c r="P43" s="499" t="str">
        <f ca="1">IFERROR(__xludf.DUMMYFUNCTION("""COMPUTED_VALUE"""),"4585 達明")</f>
        <v>4585 達明</v>
      </c>
      <c r="Q43" s="499">
        <f ca="1">IFERROR(__xludf.DUMMYFUNCTION("""COMPUTED_VALUE"""),305.5)</f>
        <v>305.5</v>
      </c>
      <c r="R43" s="726">
        <v>-4</v>
      </c>
      <c r="S43" s="730">
        <v>-1.29E-2</v>
      </c>
      <c r="T43" s="511">
        <f ca="1">IFERROR(__xludf.DUMMYFUNCTION("""COMPUTED_VALUE"""),55)</f>
        <v>55</v>
      </c>
      <c r="U43" s="511">
        <f ca="1">IFERROR(__xludf.DUMMYFUNCTION("""COMPUTED_VALUE"""),624)</f>
        <v>624</v>
      </c>
      <c r="V43" s="732">
        <f ca="1">IFERROR(__xludf.DUMMYFUNCTION("""COMPUTED_VALUE"""),0.0881)</f>
        <v>8.8099999999999998E-2</v>
      </c>
      <c r="W43" s="57">
        <f t="shared" ca="1" si="2"/>
        <v>-1.2924071082390954E-2</v>
      </c>
      <c r="X43" s="618">
        <f ca="1">IFERROR(__xludf.DUMMYFUNCTION("""COMPUTED_VALUE"""),41)</f>
        <v>41</v>
      </c>
      <c r="Y43" s="499" t="str">
        <f ca="1">IFERROR(__xludf.DUMMYFUNCTION("""COMPUTED_VALUE"""),"6148 驊宏資")</f>
        <v>6148 驊宏資</v>
      </c>
      <c r="Z43" s="499">
        <f ca="1">IFERROR(__xludf.DUMMYFUNCTION("""COMPUTED_VALUE"""),28.55)</f>
        <v>28.55</v>
      </c>
      <c r="AA43" s="726">
        <v>-0.1</v>
      </c>
      <c r="AB43" s="730">
        <v>-3.5000000000000001E-3</v>
      </c>
      <c r="AC43" s="511">
        <f ca="1">IFERROR(__xludf.DUMMYFUNCTION("""COMPUTED_VALUE"""),100)</f>
        <v>100</v>
      </c>
      <c r="AD43" s="511">
        <f ca="1">IFERROR(__xludf.DUMMYFUNCTION("""COMPUTED_VALUE"""),2506)</f>
        <v>2506</v>
      </c>
      <c r="AE43" s="732">
        <f ca="1">IFERROR(__xludf.DUMMYFUNCTION("""COMPUTED_VALUE"""),0.0399)</f>
        <v>3.9899999999999998E-2</v>
      </c>
      <c r="AF43" s="57">
        <f t="shared" ca="1" si="3"/>
        <v>-3.4904013961605585E-3</v>
      </c>
      <c r="AG43" s="8"/>
      <c r="AH43" s="8"/>
      <c r="AI43" s="8"/>
      <c r="AJ43" s="8"/>
      <c r="AK43" s="8"/>
      <c r="AL43" s="8"/>
      <c r="AM43" s="8"/>
      <c r="AN43" s="8"/>
      <c r="AO43" s="8"/>
    </row>
    <row r="44" spans="1:41" ht="15.75" customHeight="1">
      <c r="A44" s="589">
        <f ca="1">IFERROR(__xludf.DUMMYFUNCTION("""COMPUTED_VALUE"""),42)</f>
        <v>42</v>
      </c>
      <c r="B44" s="590" t="str">
        <f ca="1">IFERROR(__xludf.DUMMYFUNCTION("""COMPUTED_VALUE"""),"3532 台勝科")</f>
        <v>3532 台勝科</v>
      </c>
      <c r="C44" s="591">
        <f ca="1">IFERROR(__xludf.DUMMYFUNCTION("""COMPUTED_VALUE"""),356)</f>
        <v>356</v>
      </c>
      <c r="D44" s="725">
        <v>13</v>
      </c>
      <c r="E44" s="729">
        <v>3.7900000000000003E-2</v>
      </c>
      <c r="F44" s="593">
        <f ca="1">IFERROR(__xludf.DUMMYFUNCTION("""COMPUTED_VALUE"""),5314655)</f>
        <v>5314655</v>
      </c>
      <c r="G44" s="57">
        <f t="shared" ca="1" si="0"/>
        <v>3.7900874635568516E-2</v>
      </c>
      <c r="H44" s="589">
        <f ca="1">IFERROR(__xludf.DUMMYFUNCTION("""COMPUTED_VALUE"""),42)</f>
        <v>42</v>
      </c>
      <c r="I44" s="590" t="str">
        <f ca="1">IFERROR(__xludf.DUMMYFUNCTION("""COMPUTED_VALUE"""),"3624 光頡")</f>
        <v>3624 光頡</v>
      </c>
      <c r="J44" s="592">
        <f ca="1">IFERROR(__xludf.DUMMYFUNCTION("""COMPUTED_VALUE"""),89.5)</f>
        <v>89.5</v>
      </c>
      <c r="K44" s="728">
        <v>-5.6</v>
      </c>
      <c r="L44" s="729">
        <v>-5.8900000000000001E-2</v>
      </c>
      <c r="M44" s="598">
        <f ca="1">IFERROR(__xludf.DUMMYFUNCTION("""COMPUTED_VALUE"""),1040721)</f>
        <v>1040721</v>
      </c>
      <c r="N44" s="58">
        <f t="shared" ca="1" si="1"/>
        <v>-5.8885383806519455E-2</v>
      </c>
      <c r="O44" s="595">
        <f ca="1">IFERROR(__xludf.DUMMYFUNCTION("""COMPUTED_VALUE"""),42)</f>
        <v>42</v>
      </c>
      <c r="P44" s="499" t="str">
        <f ca="1">IFERROR(__xludf.DUMMYFUNCTION("""COMPUTED_VALUE"""),"4119 旭富")</f>
        <v>4119 旭富</v>
      </c>
      <c r="Q44" s="499">
        <f ca="1">IFERROR(__xludf.DUMMYFUNCTION("""COMPUTED_VALUE"""),53)</f>
        <v>53</v>
      </c>
      <c r="R44" s="726">
        <v>-2.1</v>
      </c>
      <c r="S44" s="730">
        <v>-3.8100000000000002E-2</v>
      </c>
      <c r="T44" s="511">
        <f ca="1">IFERROR(__xludf.DUMMYFUNCTION("""COMPUTED_VALUE"""),50)</f>
        <v>50</v>
      </c>
      <c r="U44" s="511">
        <f ca="1">IFERROR(__xludf.DUMMYFUNCTION("""COMPUTED_VALUE"""),574)</f>
        <v>574</v>
      </c>
      <c r="V44" s="732">
        <f ca="1">IFERROR(__xludf.DUMMYFUNCTION("""COMPUTED_VALUE"""),0.0871)</f>
        <v>8.7099999999999997E-2</v>
      </c>
      <c r="W44" s="57">
        <f t="shared" ca="1" si="2"/>
        <v>-3.8112522686025406E-2</v>
      </c>
      <c r="X44" s="618">
        <f ca="1">IFERROR(__xludf.DUMMYFUNCTION("""COMPUTED_VALUE"""),42)</f>
        <v>42</v>
      </c>
      <c r="Y44" s="499" t="str">
        <f ca="1">IFERROR(__xludf.DUMMYFUNCTION("""COMPUTED_VALUE"""),"8155 博智")</f>
        <v>8155 博智</v>
      </c>
      <c r="Z44" s="499">
        <f ca="1">IFERROR(__xludf.DUMMYFUNCTION("""COMPUTED_VALUE"""),320.5)</f>
        <v>320.5</v>
      </c>
      <c r="AA44" s="726">
        <v>1.5</v>
      </c>
      <c r="AB44" s="730">
        <v>4.6999999999999993E-3</v>
      </c>
      <c r="AC44" s="511">
        <f ca="1">IFERROR(__xludf.DUMMYFUNCTION("""COMPUTED_VALUE"""),115)</f>
        <v>115</v>
      </c>
      <c r="AD44" s="511">
        <f ca="1">IFERROR(__xludf.DUMMYFUNCTION("""COMPUTED_VALUE"""),2936)</f>
        <v>2936</v>
      </c>
      <c r="AE44" s="732">
        <f ca="1">IFERROR(__xludf.DUMMYFUNCTION("""COMPUTED_VALUE"""),0.0392)</f>
        <v>3.9199999999999999E-2</v>
      </c>
      <c r="AF44" s="57">
        <f t="shared" ca="1" si="3"/>
        <v>4.7021943573667714E-3</v>
      </c>
      <c r="AG44" s="8"/>
      <c r="AH44" s="8"/>
      <c r="AI44" s="8"/>
      <c r="AJ44" s="8"/>
      <c r="AK44" s="8"/>
      <c r="AL44" s="8"/>
      <c r="AM44" s="8"/>
      <c r="AN44" s="8"/>
      <c r="AO44" s="8"/>
    </row>
    <row r="45" spans="1:41" ht="15.75" customHeight="1">
      <c r="A45" s="589">
        <f ca="1">IFERROR(__xludf.DUMMYFUNCTION("""COMPUTED_VALUE"""),43)</f>
        <v>43</v>
      </c>
      <c r="B45" s="590" t="str">
        <f ca="1">IFERROR(__xludf.DUMMYFUNCTION("""COMPUTED_VALUE"""),"00881 國泰台灣科技龍頭")</f>
        <v>00881 國泰台灣科技龍頭</v>
      </c>
      <c r="C45" s="591">
        <f ca="1">IFERROR(__xludf.DUMMYFUNCTION("""COMPUTED_VALUE"""),54.8)</f>
        <v>54.8</v>
      </c>
      <c r="D45" s="725">
        <v>-0.2</v>
      </c>
      <c r="E45" s="729">
        <v>-3.5999999999999999E-3</v>
      </c>
      <c r="F45" s="593">
        <f ca="1">IFERROR(__xludf.DUMMYFUNCTION("""COMPUTED_VALUE"""),5014483)</f>
        <v>5014483</v>
      </c>
      <c r="G45" s="57">
        <f t="shared" ca="1" si="0"/>
        <v>-3.6363636363636364E-3</v>
      </c>
      <c r="H45" s="589">
        <f ca="1">IFERROR(__xludf.DUMMYFUNCTION("""COMPUTED_VALUE"""),43)</f>
        <v>43</v>
      </c>
      <c r="I45" s="590" t="str">
        <f ca="1">IFERROR(__xludf.DUMMYFUNCTION("""COMPUTED_VALUE"""),"5328 華容")</f>
        <v>5328 華容</v>
      </c>
      <c r="J45" s="592">
        <f ca="1">IFERROR(__xludf.DUMMYFUNCTION("""COMPUTED_VALUE"""),67.2)</f>
        <v>67.2</v>
      </c>
      <c r="K45" s="728">
        <v>-1.6</v>
      </c>
      <c r="L45" s="729">
        <v>-2.3300000000000001E-2</v>
      </c>
      <c r="M45" s="598">
        <f ca="1">IFERROR(__xludf.DUMMYFUNCTION("""COMPUTED_VALUE"""),999950)</f>
        <v>999950</v>
      </c>
      <c r="N45" s="58">
        <f t="shared" ca="1" si="1"/>
        <v>-2.3255813953488375E-2</v>
      </c>
      <c r="O45" s="595">
        <f ca="1">IFERROR(__xludf.DUMMYFUNCTION("""COMPUTED_VALUE"""),43)</f>
        <v>43</v>
      </c>
      <c r="P45" s="499" t="str">
        <f ca="1">IFERROR(__xludf.DUMMYFUNCTION("""COMPUTED_VALUE"""),"2368 金像電")</f>
        <v>2368 金像電</v>
      </c>
      <c r="Q45" s="600">
        <f ca="1">IFERROR(__xludf.DUMMYFUNCTION("""COMPUTED_VALUE"""),1015)</f>
        <v>1015</v>
      </c>
      <c r="R45" s="726">
        <v>5</v>
      </c>
      <c r="S45" s="730">
        <v>5.0000000000000001E-3</v>
      </c>
      <c r="T45" s="511">
        <f ca="1">IFERROR(__xludf.DUMMYFUNCTION("""COMPUTED_VALUE"""),682)</f>
        <v>682</v>
      </c>
      <c r="U45" s="511">
        <f ca="1">IFERROR(__xludf.DUMMYFUNCTION("""COMPUTED_VALUE"""),7836)</f>
        <v>7836</v>
      </c>
      <c r="V45" s="732">
        <f ca="1">IFERROR(__xludf.DUMMYFUNCTION("""COMPUTED_VALUE"""),0.087)</f>
        <v>8.6999999999999994E-2</v>
      </c>
      <c r="W45" s="57">
        <f t="shared" ca="1" si="2"/>
        <v>4.9504950495049506E-3</v>
      </c>
      <c r="X45" s="618">
        <f ca="1">IFERROR(__xludf.DUMMYFUNCTION("""COMPUTED_VALUE"""),43)</f>
        <v>43</v>
      </c>
      <c r="Y45" s="499" t="str">
        <f ca="1">IFERROR(__xludf.DUMMYFUNCTION("""COMPUTED_VALUE"""),"8044 網家")</f>
        <v>8044 網家</v>
      </c>
      <c r="Z45" s="499">
        <f ca="1">IFERROR(__xludf.DUMMYFUNCTION("""COMPUTED_VALUE"""),26.45)</f>
        <v>26.45</v>
      </c>
      <c r="AA45" s="726">
        <v>0.05</v>
      </c>
      <c r="AB45" s="730">
        <v>1.9E-3</v>
      </c>
      <c r="AC45" s="511">
        <f ca="1">IFERROR(__xludf.DUMMYFUNCTION("""COMPUTED_VALUE"""),129)</f>
        <v>129</v>
      </c>
      <c r="AD45" s="511">
        <f ca="1">IFERROR(__xludf.DUMMYFUNCTION("""COMPUTED_VALUE"""),3455)</f>
        <v>3455</v>
      </c>
      <c r="AE45" s="732">
        <f ca="1">IFERROR(__xludf.DUMMYFUNCTION("""COMPUTED_VALUE"""),0.0373)</f>
        <v>3.73E-2</v>
      </c>
      <c r="AF45" s="57">
        <f t="shared" ca="1" si="3"/>
        <v>1.8939393939393942E-3</v>
      </c>
      <c r="AG45" s="8"/>
      <c r="AH45" s="8"/>
      <c r="AI45" s="8"/>
      <c r="AJ45" s="8"/>
      <c r="AK45" s="8"/>
      <c r="AL45" s="8"/>
      <c r="AM45" s="8"/>
      <c r="AN45" s="8"/>
      <c r="AO45" s="8"/>
    </row>
    <row r="46" spans="1:41" ht="15.75" customHeight="1">
      <c r="A46" s="589">
        <f ca="1">IFERROR(__xludf.DUMMYFUNCTION("""COMPUTED_VALUE"""),44)</f>
        <v>44</v>
      </c>
      <c r="B46" s="590" t="str">
        <f ca="1">IFERROR(__xludf.DUMMYFUNCTION("""COMPUTED_VALUE"""),"2449 京元電子")</f>
        <v>2449 京元電子</v>
      </c>
      <c r="C46" s="591">
        <f ca="1">IFERROR(__xludf.DUMMYFUNCTION("""COMPUTED_VALUE"""),247)</f>
        <v>247</v>
      </c>
      <c r="D46" s="725">
        <v>-6.5</v>
      </c>
      <c r="E46" s="729">
        <v>-2.5600000000000001E-2</v>
      </c>
      <c r="F46" s="593">
        <f ca="1">IFERROR(__xludf.DUMMYFUNCTION("""COMPUTED_VALUE"""),4267136)</f>
        <v>4267136</v>
      </c>
      <c r="G46" s="57">
        <f t="shared" ca="1" si="0"/>
        <v>-2.564102564102564E-2</v>
      </c>
      <c r="H46" s="589">
        <f ca="1">IFERROR(__xludf.DUMMYFUNCTION("""COMPUTED_VALUE"""),44)</f>
        <v>44</v>
      </c>
      <c r="I46" s="590" t="str">
        <f ca="1">IFERROR(__xludf.DUMMYFUNCTION("""COMPUTED_VALUE"""),"3498 陽程")</f>
        <v>3498 陽程</v>
      </c>
      <c r="J46" s="592">
        <f ca="1">IFERROR(__xludf.DUMMYFUNCTION("""COMPUTED_VALUE"""),158)</f>
        <v>158</v>
      </c>
      <c r="K46" s="728">
        <v>14</v>
      </c>
      <c r="L46" s="729">
        <v>9.7199999999999995E-2</v>
      </c>
      <c r="M46" s="598">
        <f ca="1">IFERROR(__xludf.DUMMYFUNCTION("""COMPUTED_VALUE"""),997441)</f>
        <v>997441</v>
      </c>
      <c r="N46" s="58">
        <f t="shared" ca="1" si="1"/>
        <v>9.7222222222222224E-2</v>
      </c>
      <c r="O46" s="595">
        <f ca="1">IFERROR(__xludf.DUMMYFUNCTION("""COMPUTED_VALUE"""),44)</f>
        <v>44</v>
      </c>
      <c r="P46" s="499" t="str">
        <f ca="1">IFERROR(__xludf.DUMMYFUNCTION("""COMPUTED_VALUE"""),"4919 新唐")</f>
        <v>4919 新唐</v>
      </c>
      <c r="Q46" s="499">
        <f ca="1">IFERROR(__xludf.DUMMYFUNCTION("""COMPUTED_VALUE"""),123)</f>
        <v>123</v>
      </c>
      <c r="R46" s="726">
        <v>-3.5</v>
      </c>
      <c r="S46" s="730">
        <v>-2.7699999999999999E-2</v>
      </c>
      <c r="T46" s="511">
        <f ca="1">IFERROR(__xludf.DUMMYFUNCTION("""COMPUTED_VALUE"""),1105)</f>
        <v>1105</v>
      </c>
      <c r="U46" s="511">
        <f ca="1">IFERROR(__xludf.DUMMYFUNCTION("""COMPUTED_VALUE"""),12758)</f>
        <v>12758</v>
      </c>
      <c r="V46" s="732">
        <f ca="1">IFERROR(__xludf.DUMMYFUNCTION("""COMPUTED_VALUE"""),0.0866)</f>
        <v>8.6599999999999996E-2</v>
      </c>
      <c r="W46" s="57">
        <f t="shared" ca="1" si="2"/>
        <v>-2.766798418972332E-2</v>
      </c>
      <c r="X46" s="618">
        <f ca="1">IFERROR(__xludf.DUMMYFUNCTION("""COMPUTED_VALUE"""),44)</f>
        <v>44</v>
      </c>
      <c r="Y46" s="499" t="str">
        <f ca="1">IFERROR(__xludf.DUMMYFUNCTION("""COMPUTED_VALUE"""),"5263 智崴")</f>
        <v>5263 智崴</v>
      </c>
      <c r="Z46" s="499">
        <f ca="1">IFERROR(__xludf.DUMMYFUNCTION("""COMPUTED_VALUE"""),89.8)</f>
        <v>89.8</v>
      </c>
      <c r="AA46" s="726">
        <v>-0.1</v>
      </c>
      <c r="AB46" s="730">
        <v>-1.1000000000000001E-3</v>
      </c>
      <c r="AC46" s="511">
        <f ca="1">IFERROR(__xludf.DUMMYFUNCTION("""COMPUTED_VALUE"""),155)</f>
        <v>155</v>
      </c>
      <c r="AD46" s="511">
        <f ca="1">IFERROR(__xludf.DUMMYFUNCTION("""COMPUTED_VALUE"""),4472)</f>
        <v>4472</v>
      </c>
      <c r="AE46" s="732">
        <f ca="1">IFERROR(__xludf.DUMMYFUNCTION("""COMPUTED_VALUE"""),0.0347)</f>
        <v>3.4700000000000002E-2</v>
      </c>
      <c r="AF46" s="57">
        <f t="shared" ca="1" si="3"/>
        <v>-1.1123470522803117E-3</v>
      </c>
      <c r="AG46" s="8"/>
      <c r="AH46" s="8"/>
      <c r="AI46" s="8"/>
      <c r="AJ46" s="8"/>
      <c r="AK46" s="8"/>
      <c r="AL46" s="8"/>
      <c r="AM46" s="8"/>
      <c r="AN46" s="8"/>
      <c r="AO46" s="8"/>
    </row>
    <row r="47" spans="1:41" ht="15.75" customHeight="1">
      <c r="A47" s="589">
        <f ca="1">IFERROR(__xludf.DUMMYFUNCTION("""COMPUTED_VALUE"""),45)</f>
        <v>45</v>
      </c>
      <c r="B47" s="590" t="str">
        <f ca="1">IFERROR(__xludf.DUMMYFUNCTION("""COMPUTED_VALUE"""),"6515 穎崴")</f>
        <v>6515 穎崴</v>
      </c>
      <c r="C47" s="594">
        <f ca="1">IFERROR(__xludf.DUMMYFUNCTION("""COMPUTED_VALUE"""),6750)</f>
        <v>6750</v>
      </c>
      <c r="D47" s="725">
        <v>5</v>
      </c>
      <c r="E47" s="729">
        <v>7.000000000000001E-4</v>
      </c>
      <c r="F47" s="593">
        <f ca="1">IFERROR(__xludf.DUMMYFUNCTION("""COMPUTED_VALUE"""),4260318)</f>
        <v>4260318</v>
      </c>
      <c r="G47" s="57">
        <f t="shared" ca="1" si="0"/>
        <v>7.4128984432913266E-4</v>
      </c>
      <c r="H47" s="589">
        <f ca="1">IFERROR(__xludf.DUMMYFUNCTION("""COMPUTED_VALUE"""),45)</f>
        <v>45</v>
      </c>
      <c r="I47" s="590" t="str">
        <f ca="1">IFERROR(__xludf.DUMMYFUNCTION("""COMPUTED_VALUE"""),"8096 擎亞")</f>
        <v>8096 擎亞</v>
      </c>
      <c r="J47" s="592">
        <f ca="1">IFERROR(__xludf.DUMMYFUNCTION("""COMPUTED_VALUE"""),116.5)</f>
        <v>116.5</v>
      </c>
      <c r="K47" s="728">
        <v>-9</v>
      </c>
      <c r="L47" s="729">
        <v>-7.17E-2</v>
      </c>
      <c r="M47" s="598">
        <f ca="1">IFERROR(__xludf.DUMMYFUNCTION("""COMPUTED_VALUE"""),990398)</f>
        <v>990398</v>
      </c>
      <c r="N47" s="58">
        <f t="shared" ca="1" si="1"/>
        <v>-7.1713147410358571E-2</v>
      </c>
      <c r="O47" s="595">
        <f ca="1">IFERROR(__xludf.DUMMYFUNCTION("""COMPUTED_VALUE"""),45)</f>
        <v>45</v>
      </c>
      <c r="P47" s="499" t="str">
        <f ca="1">IFERROR(__xludf.DUMMYFUNCTION("""COMPUTED_VALUE"""),"3504 揚明光")</f>
        <v>3504 揚明光</v>
      </c>
      <c r="Q47" s="499">
        <f ca="1">IFERROR(__xludf.DUMMYFUNCTION("""COMPUTED_VALUE"""),74.1)</f>
        <v>74.099999999999994</v>
      </c>
      <c r="R47" s="726">
        <v>-1.9</v>
      </c>
      <c r="S47" s="730">
        <v>-2.5000000000000001E-2</v>
      </c>
      <c r="T47" s="511">
        <f ca="1">IFERROR(__xludf.DUMMYFUNCTION("""COMPUTED_VALUE"""),251)</f>
        <v>251</v>
      </c>
      <c r="U47" s="511">
        <f ca="1">IFERROR(__xludf.DUMMYFUNCTION("""COMPUTED_VALUE"""),2963)</f>
        <v>2963</v>
      </c>
      <c r="V47" s="732">
        <f ca="1">IFERROR(__xludf.DUMMYFUNCTION("""COMPUTED_VALUE"""),0.0847)</f>
        <v>8.4699999999999998E-2</v>
      </c>
      <c r="W47" s="57">
        <f t="shared" ca="1" si="2"/>
        <v>-2.4999999999999998E-2</v>
      </c>
      <c r="X47" s="618">
        <f ca="1">IFERROR(__xludf.DUMMYFUNCTION("""COMPUTED_VALUE"""),45)</f>
        <v>45</v>
      </c>
      <c r="Y47" s="499" t="str">
        <f ca="1">IFERROR(__xludf.DUMMYFUNCTION("""COMPUTED_VALUE"""),"4979 華星光")</f>
        <v>4979 華星光</v>
      </c>
      <c r="Z47" s="499">
        <f ca="1">IFERROR(__xludf.DUMMYFUNCTION("""COMPUTED_VALUE"""),522)</f>
        <v>522</v>
      </c>
      <c r="AA47" s="726">
        <v>-42</v>
      </c>
      <c r="AB47" s="730">
        <v>-7.4499999999999997E-2</v>
      </c>
      <c r="AC47" s="511">
        <f ca="1">IFERROR(__xludf.DUMMYFUNCTION("""COMPUTED_VALUE"""),364)</f>
        <v>364</v>
      </c>
      <c r="AD47" s="511">
        <f ca="1">IFERROR(__xludf.DUMMYFUNCTION("""COMPUTED_VALUE"""),10863)</f>
        <v>10863</v>
      </c>
      <c r="AE47" s="732">
        <f ca="1">IFERROR(__xludf.DUMMYFUNCTION("""COMPUTED_VALUE"""),0.0335)</f>
        <v>3.3500000000000002E-2</v>
      </c>
      <c r="AF47" s="57">
        <f t="shared" ca="1" si="3"/>
        <v>-7.4468085106382975E-2</v>
      </c>
      <c r="AG47" s="8"/>
      <c r="AH47" s="8"/>
      <c r="AI47" s="8"/>
      <c r="AJ47" s="8"/>
      <c r="AK47" s="8"/>
      <c r="AL47" s="8"/>
      <c r="AM47" s="8"/>
      <c r="AN47" s="8"/>
      <c r="AO47" s="8"/>
    </row>
    <row r="48" spans="1:41" ht="15.75" customHeight="1">
      <c r="A48" s="589">
        <f ca="1">IFERROR(__xludf.DUMMYFUNCTION("""COMPUTED_VALUE"""),46)</f>
        <v>46</v>
      </c>
      <c r="B48" s="590" t="str">
        <f ca="1">IFERROR(__xludf.DUMMYFUNCTION("""COMPUTED_VALUE"""),"2359 所羅門")</f>
        <v>2359 所羅門</v>
      </c>
      <c r="C48" s="591">
        <f ca="1">IFERROR(__xludf.DUMMYFUNCTION("""COMPUTED_VALUE"""),159.5)</f>
        <v>159.5</v>
      </c>
      <c r="D48" s="725">
        <v>2.5</v>
      </c>
      <c r="E48" s="729">
        <v>1.5900000000000001E-2</v>
      </c>
      <c r="F48" s="593">
        <f ca="1">IFERROR(__xludf.DUMMYFUNCTION("""COMPUTED_VALUE"""),4234242)</f>
        <v>4234242</v>
      </c>
      <c r="G48" s="57">
        <f t="shared" ca="1" si="0"/>
        <v>1.5923566878980892E-2</v>
      </c>
      <c r="H48" s="589">
        <f ca="1">IFERROR(__xludf.DUMMYFUNCTION("""COMPUTED_VALUE"""),46)</f>
        <v>46</v>
      </c>
      <c r="I48" s="590" t="str">
        <f ca="1">IFERROR(__xludf.DUMMYFUNCTION("""COMPUTED_VALUE"""),"1785 光洋科")</f>
        <v>1785 光洋科</v>
      </c>
      <c r="J48" s="592">
        <f ca="1">IFERROR(__xludf.DUMMYFUNCTION("""COMPUTED_VALUE"""),104.5)</f>
        <v>104.5</v>
      </c>
      <c r="K48" s="728">
        <v>-4.5</v>
      </c>
      <c r="L48" s="729">
        <v>-4.1300000000000003E-2</v>
      </c>
      <c r="M48" s="598">
        <f ca="1">IFERROR(__xludf.DUMMYFUNCTION("""COMPUTED_VALUE"""),980346)</f>
        <v>980346</v>
      </c>
      <c r="N48" s="58">
        <f t="shared" ca="1" si="1"/>
        <v>-4.1284403669724773E-2</v>
      </c>
      <c r="O48" s="595">
        <f ca="1">IFERROR(__xludf.DUMMYFUNCTION("""COMPUTED_VALUE"""),46)</f>
        <v>46</v>
      </c>
      <c r="P48" s="499" t="str">
        <f ca="1">IFERROR(__xludf.DUMMYFUNCTION("""COMPUTED_VALUE"""),"00637L元大滬深300正2")</f>
        <v>00637L元大滬深300正2</v>
      </c>
      <c r="Q48" s="499">
        <f ca="1">IFERROR(__xludf.DUMMYFUNCTION("""COMPUTED_VALUE"""),20.64)</f>
        <v>20.64</v>
      </c>
      <c r="R48" s="726">
        <v>-0.68</v>
      </c>
      <c r="S48" s="730">
        <v>-3.1899999999999998E-2</v>
      </c>
      <c r="T48" s="511">
        <f ca="1">IFERROR(__xludf.DUMMYFUNCTION("""COMPUTED_VALUE"""),7174)</f>
        <v>7174</v>
      </c>
      <c r="U48" s="511">
        <f ca="1">IFERROR(__xludf.DUMMYFUNCTION("""COMPUTED_VALUE"""),85126)</f>
        <v>85126</v>
      </c>
      <c r="V48" s="732">
        <f ca="1">IFERROR(__xludf.DUMMYFUNCTION("""COMPUTED_VALUE"""),0.0843)</f>
        <v>8.43E-2</v>
      </c>
      <c r="W48" s="57">
        <f t="shared" ca="1" si="2"/>
        <v>-3.1894934333958729E-2</v>
      </c>
      <c r="X48" s="618">
        <f ca="1">IFERROR(__xludf.DUMMYFUNCTION("""COMPUTED_VALUE"""),46)</f>
        <v>46</v>
      </c>
      <c r="Y48" s="499" t="str">
        <f ca="1">IFERROR(__xludf.DUMMYFUNCTION("""COMPUTED_VALUE"""),"4542 科嶠")</f>
        <v>4542 科嶠</v>
      </c>
      <c r="Z48" s="499">
        <f ca="1">IFERROR(__xludf.DUMMYFUNCTION("""COMPUTED_VALUE"""),267.5)</f>
        <v>267.5</v>
      </c>
      <c r="AA48" s="726">
        <v>-14.5</v>
      </c>
      <c r="AB48" s="730">
        <v>-5.1400000000000001E-2</v>
      </c>
      <c r="AC48" s="511">
        <f ca="1">IFERROR(__xludf.DUMMYFUNCTION("""COMPUTED_VALUE"""),162)</f>
        <v>162</v>
      </c>
      <c r="AD48" s="511">
        <f ca="1">IFERROR(__xludf.DUMMYFUNCTION("""COMPUTED_VALUE"""),5132)</f>
        <v>5132</v>
      </c>
      <c r="AE48" s="732">
        <f ca="1">IFERROR(__xludf.DUMMYFUNCTION("""COMPUTED_VALUE"""),0.0316)</f>
        <v>3.1600000000000003E-2</v>
      </c>
      <c r="AF48" s="57">
        <f t="shared" ca="1" si="3"/>
        <v>-5.1418439716312055E-2</v>
      </c>
      <c r="AG48" s="8"/>
      <c r="AH48" s="8"/>
      <c r="AI48" s="8"/>
      <c r="AJ48" s="8"/>
      <c r="AK48" s="8"/>
      <c r="AL48" s="8"/>
      <c r="AM48" s="8"/>
      <c r="AN48" s="8"/>
      <c r="AO48" s="8"/>
    </row>
    <row r="49" spans="1:41" ht="15.75" customHeight="1">
      <c r="A49" s="589">
        <f ca="1">IFERROR(__xludf.DUMMYFUNCTION("""COMPUTED_VALUE"""),47)</f>
        <v>47</v>
      </c>
      <c r="B49" s="590" t="str">
        <f ca="1">IFERROR(__xludf.DUMMYFUNCTION("""COMPUTED_VALUE"""),"2356 英業達")</f>
        <v>2356 英業達</v>
      </c>
      <c r="C49" s="591">
        <f ca="1">IFERROR(__xludf.DUMMYFUNCTION("""COMPUTED_VALUE"""),69.9)</f>
        <v>69.900000000000006</v>
      </c>
      <c r="D49" s="725">
        <v>1.1000000000000001</v>
      </c>
      <c r="E49" s="729">
        <v>1.6E-2</v>
      </c>
      <c r="F49" s="593">
        <f ca="1">IFERROR(__xludf.DUMMYFUNCTION("""COMPUTED_VALUE"""),4231657)</f>
        <v>4231657</v>
      </c>
      <c r="G49" s="57">
        <f t="shared" ca="1" si="0"/>
        <v>1.5988372093023253E-2</v>
      </c>
      <c r="H49" s="589">
        <f ca="1">IFERROR(__xludf.DUMMYFUNCTION("""COMPUTED_VALUE"""),47)</f>
        <v>47</v>
      </c>
      <c r="I49" s="590" t="str">
        <f ca="1">IFERROR(__xludf.DUMMYFUNCTION("""COMPUTED_VALUE"""),"3293 鈊象")</f>
        <v>3293 鈊象</v>
      </c>
      <c r="J49" s="592">
        <f ca="1">IFERROR(__xludf.DUMMYFUNCTION("""COMPUTED_VALUE"""),750)</f>
        <v>750</v>
      </c>
      <c r="K49" s="728">
        <v>-12</v>
      </c>
      <c r="L49" s="729">
        <v>-1.5699999999999999E-2</v>
      </c>
      <c r="M49" s="598">
        <f ca="1">IFERROR(__xludf.DUMMYFUNCTION("""COMPUTED_VALUE"""),942335)</f>
        <v>942335</v>
      </c>
      <c r="N49" s="58">
        <f t="shared" ca="1" si="1"/>
        <v>-1.5748031496062992E-2</v>
      </c>
      <c r="O49" s="595">
        <f ca="1">IFERROR(__xludf.DUMMYFUNCTION("""COMPUTED_VALUE"""),47)</f>
        <v>47</v>
      </c>
      <c r="P49" s="499" t="str">
        <f ca="1">IFERROR(__xludf.DUMMYFUNCTION("""COMPUTED_VALUE"""),"4540 全球傳動")</f>
        <v>4540 全球傳動</v>
      </c>
      <c r="Q49" s="499">
        <f ca="1">IFERROR(__xludf.DUMMYFUNCTION("""COMPUTED_VALUE"""),59.7)</f>
        <v>59.7</v>
      </c>
      <c r="R49" s="726">
        <v>-0.6</v>
      </c>
      <c r="S49" s="730">
        <v>-0.01</v>
      </c>
      <c r="T49" s="511">
        <f ca="1">IFERROR(__xludf.DUMMYFUNCTION("""COMPUTED_VALUE"""),310)</f>
        <v>310</v>
      </c>
      <c r="U49" s="511">
        <f ca="1">IFERROR(__xludf.DUMMYFUNCTION("""COMPUTED_VALUE"""),3720)</f>
        <v>3720</v>
      </c>
      <c r="V49" s="732">
        <f ca="1">IFERROR(__xludf.DUMMYFUNCTION("""COMPUTED_VALUE"""),0.0833)</f>
        <v>8.3299999999999999E-2</v>
      </c>
      <c r="W49" s="57">
        <f t="shared" ca="1" si="2"/>
        <v>-9.9502487562189035E-3</v>
      </c>
      <c r="X49" s="618">
        <f ca="1">IFERROR(__xludf.DUMMYFUNCTION("""COMPUTED_VALUE"""),47)</f>
        <v>47</v>
      </c>
      <c r="Y49" s="499" t="str">
        <f ca="1">IFERROR(__xludf.DUMMYFUNCTION("""COMPUTED_VALUE"""),"5009 榮剛")</f>
        <v>5009 榮剛</v>
      </c>
      <c r="Z49" s="499">
        <f ca="1">IFERROR(__xludf.DUMMYFUNCTION("""COMPUTED_VALUE"""),32.65)</f>
        <v>32.65</v>
      </c>
      <c r="AA49" s="726">
        <v>-0.25</v>
      </c>
      <c r="AB49" s="730">
        <v>-7.6E-3</v>
      </c>
      <c r="AC49" s="511">
        <f ca="1">IFERROR(__xludf.DUMMYFUNCTION("""COMPUTED_VALUE"""),243)</f>
        <v>243</v>
      </c>
      <c r="AD49" s="511">
        <f ca="1">IFERROR(__xludf.DUMMYFUNCTION("""COMPUTED_VALUE"""),7865)</f>
        <v>7865</v>
      </c>
      <c r="AE49" s="732">
        <f ca="1">IFERROR(__xludf.DUMMYFUNCTION("""COMPUTED_VALUE"""),0.0309)</f>
        <v>3.09E-2</v>
      </c>
      <c r="AF49" s="57">
        <f t="shared" ca="1" si="3"/>
        <v>-7.5987841945288756E-3</v>
      </c>
      <c r="AG49" s="8"/>
      <c r="AH49" s="8"/>
      <c r="AI49" s="8"/>
      <c r="AJ49" s="8"/>
      <c r="AK49" s="8"/>
      <c r="AL49" s="8"/>
      <c r="AM49" s="8"/>
      <c r="AN49" s="8"/>
      <c r="AO49" s="8"/>
    </row>
    <row r="50" spans="1:41" ht="15.75" customHeight="1">
      <c r="A50" s="589">
        <f ca="1">IFERROR(__xludf.DUMMYFUNCTION("""COMPUTED_VALUE"""),48)</f>
        <v>48</v>
      </c>
      <c r="B50" s="590" t="str">
        <f ca="1">IFERROR(__xludf.DUMMYFUNCTION("""COMPUTED_VALUE"""),"6239 力成")</f>
        <v>6239 力成</v>
      </c>
      <c r="C50" s="591">
        <f ca="1">IFERROR(__xludf.DUMMYFUNCTION("""COMPUTED_VALUE"""),278)</f>
        <v>278</v>
      </c>
      <c r="D50" s="725">
        <v>-5</v>
      </c>
      <c r="E50" s="729">
        <v>-1.77E-2</v>
      </c>
      <c r="F50" s="593">
        <f ca="1">IFERROR(__xludf.DUMMYFUNCTION("""COMPUTED_VALUE"""),4202927)</f>
        <v>4202927</v>
      </c>
      <c r="G50" s="57">
        <f t="shared" ca="1" si="0"/>
        <v>-1.7667844522968199E-2</v>
      </c>
      <c r="H50" s="589">
        <f ca="1">IFERROR(__xludf.DUMMYFUNCTION("""COMPUTED_VALUE"""),48)</f>
        <v>48</v>
      </c>
      <c r="I50" s="590" t="str">
        <f ca="1">IFERROR(__xludf.DUMMYFUNCTION("""COMPUTED_VALUE"""),"6265 方土昶")</f>
        <v>6265 方土昶</v>
      </c>
      <c r="J50" s="592">
        <f ca="1">IFERROR(__xludf.DUMMYFUNCTION("""COMPUTED_VALUE"""),62.5)</f>
        <v>62.5</v>
      </c>
      <c r="K50" s="728">
        <v>3.6</v>
      </c>
      <c r="L50" s="729">
        <v>6.1100000000000002E-2</v>
      </c>
      <c r="M50" s="598">
        <f ca="1">IFERROR(__xludf.DUMMYFUNCTION("""COMPUTED_VALUE"""),935642)</f>
        <v>935642</v>
      </c>
      <c r="N50" s="58">
        <f t="shared" ca="1" si="1"/>
        <v>6.1120543293718167E-2</v>
      </c>
      <c r="O50" s="595">
        <f ca="1">IFERROR(__xludf.DUMMYFUNCTION("""COMPUTED_VALUE"""),48)</f>
        <v>48</v>
      </c>
      <c r="P50" s="499" t="str">
        <f ca="1">IFERROR(__xludf.DUMMYFUNCTION("""COMPUTED_VALUE"""),"2451 創見")</f>
        <v>2451 創見</v>
      </c>
      <c r="Q50" s="499">
        <f ca="1">IFERROR(__xludf.DUMMYFUNCTION("""COMPUTED_VALUE"""),292.5)</f>
        <v>292.5</v>
      </c>
      <c r="R50" s="726">
        <v>-9.5</v>
      </c>
      <c r="S50" s="730">
        <v>-3.15E-2</v>
      </c>
      <c r="T50" s="511">
        <f ca="1">IFERROR(__xludf.DUMMYFUNCTION("""COMPUTED_VALUE"""),534)</f>
        <v>534</v>
      </c>
      <c r="U50" s="511">
        <f ca="1">IFERROR(__xludf.DUMMYFUNCTION("""COMPUTED_VALUE"""),6443)</f>
        <v>6443</v>
      </c>
      <c r="V50" s="732">
        <f ca="1">IFERROR(__xludf.DUMMYFUNCTION("""COMPUTED_VALUE"""),0.0829)</f>
        <v>8.2900000000000001E-2</v>
      </c>
      <c r="W50" s="57">
        <f t="shared" ca="1" si="2"/>
        <v>-3.1456953642384107E-2</v>
      </c>
      <c r="X50" s="618">
        <f ca="1">IFERROR(__xludf.DUMMYFUNCTION("""COMPUTED_VALUE"""),48)</f>
        <v>48</v>
      </c>
      <c r="Y50" s="499" t="str">
        <f ca="1">IFERROR(__xludf.DUMMYFUNCTION("""COMPUTED_VALUE"""),"6465 威潤")</f>
        <v>6465 威潤</v>
      </c>
      <c r="Z50" s="499">
        <f ca="1">IFERROR(__xludf.DUMMYFUNCTION("""COMPUTED_VALUE"""),47.1)</f>
        <v>47.1</v>
      </c>
      <c r="AA50" s="726">
        <v>-0.6</v>
      </c>
      <c r="AB50" s="730">
        <v>-1.26E-2</v>
      </c>
      <c r="AC50" s="511">
        <f ca="1">IFERROR(__xludf.DUMMYFUNCTION("""COMPUTED_VALUE"""),44)</f>
        <v>44</v>
      </c>
      <c r="AD50" s="511">
        <f ca="1">IFERROR(__xludf.DUMMYFUNCTION("""COMPUTED_VALUE"""),1436)</f>
        <v>1436</v>
      </c>
      <c r="AE50" s="732">
        <f ca="1">IFERROR(__xludf.DUMMYFUNCTION("""COMPUTED_VALUE"""),0.0306)</f>
        <v>3.0599999999999999E-2</v>
      </c>
      <c r="AF50" s="57">
        <f t="shared" ca="1" si="3"/>
        <v>-1.2578616352201257E-2</v>
      </c>
      <c r="AG50" s="8"/>
      <c r="AH50" s="8"/>
      <c r="AI50" s="8"/>
      <c r="AJ50" s="8"/>
      <c r="AK50" s="8"/>
      <c r="AL50" s="8"/>
      <c r="AM50" s="8"/>
      <c r="AN50" s="8"/>
      <c r="AO50" s="8"/>
    </row>
    <row r="51" spans="1:41" ht="15.75" customHeight="1">
      <c r="A51" s="589">
        <f ca="1">IFERROR(__xludf.DUMMYFUNCTION("""COMPUTED_VALUE"""),49)</f>
        <v>49</v>
      </c>
      <c r="B51" s="590" t="str">
        <f ca="1">IFERROR(__xludf.DUMMYFUNCTION("""COMPUTED_VALUE"""),"7769 鴻勁")</f>
        <v>7769 鴻勁</v>
      </c>
      <c r="C51" s="594">
        <f ca="1">IFERROR(__xludf.DUMMYFUNCTION("""COMPUTED_VALUE"""),6590)</f>
        <v>6590</v>
      </c>
      <c r="D51" s="725">
        <v>-180</v>
      </c>
      <c r="E51" s="729">
        <v>-2.6599999999999999E-2</v>
      </c>
      <c r="F51" s="593">
        <f ca="1">IFERROR(__xludf.DUMMYFUNCTION("""COMPUTED_VALUE"""),4137203)</f>
        <v>4137203</v>
      </c>
      <c r="G51" s="57">
        <f t="shared" ca="1" si="0"/>
        <v>-2.6587887740029542E-2</v>
      </c>
      <c r="H51" s="589">
        <f ca="1">IFERROR(__xludf.DUMMYFUNCTION("""COMPUTED_VALUE"""),49)</f>
        <v>49</v>
      </c>
      <c r="I51" s="590" t="str">
        <f ca="1">IFERROR(__xludf.DUMMYFUNCTION("""COMPUTED_VALUE"""),"3163 波若威")</f>
        <v>3163 波若威</v>
      </c>
      <c r="J51" s="592">
        <f ca="1">IFERROR(__xludf.DUMMYFUNCTION("""COMPUTED_VALUE"""),702)</f>
        <v>702</v>
      </c>
      <c r="K51" s="728">
        <v>-15</v>
      </c>
      <c r="L51" s="729">
        <v>-2.0899999999999998E-2</v>
      </c>
      <c r="M51" s="598">
        <f ca="1">IFERROR(__xludf.DUMMYFUNCTION("""COMPUTED_VALUE"""),851936)</f>
        <v>851936</v>
      </c>
      <c r="N51" s="58">
        <f t="shared" ca="1" si="1"/>
        <v>-2.0920502092050208E-2</v>
      </c>
      <c r="O51" s="595">
        <f ca="1">IFERROR(__xludf.DUMMYFUNCTION("""COMPUTED_VALUE"""),49)</f>
        <v>49</v>
      </c>
      <c r="P51" s="499" t="str">
        <f ca="1">IFERROR(__xludf.DUMMYFUNCTION("""COMPUTED_VALUE"""),"00706L期元大S＆P日圓正2")</f>
        <v>00706L期元大S＆P日圓正2</v>
      </c>
      <c r="Q51" s="499">
        <f ca="1">IFERROR(__xludf.DUMMYFUNCTION("""COMPUTED_VALUE"""),18.98)</f>
        <v>18.98</v>
      </c>
      <c r="R51" s="726">
        <v>-0.02</v>
      </c>
      <c r="S51" s="730">
        <v>-1.1000000000000001E-3</v>
      </c>
      <c r="T51" s="511">
        <f ca="1">IFERROR(__xludf.DUMMYFUNCTION("""COMPUTED_VALUE"""),285)</f>
        <v>285</v>
      </c>
      <c r="U51" s="511">
        <f ca="1">IFERROR(__xludf.DUMMYFUNCTION("""COMPUTED_VALUE"""),3618)</f>
        <v>3618</v>
      </c>
      <c r="V51" s="732">
        <f ca="1">IFERROR(__xludf.DUMMYFUNCTION("""COMPUTED_VALUE"""),0.0788)</f>
        <v>7.8799999999999995E-2</v>
      </c>
      <c r="W51" s="57">
        <f t="shared" ca="1" si="2"/>
        <v>-1.0526315789473684E-3</v>
      </c>
      <c r="X51" s="618">
        <f ca="1">IFERROR(__xludf.DUMMYFUNCTION("""COMPUTED_VALUE"""),49)</f>
        <v>49</v>
      </c>
      <c r="Y51" s="499" t="str">
        <f ca="1">IFERROR(__xludf.DUMMYFUNCTION("""COMPUTED_VALUE"""),"4973 廣穎")</f>
        <v>4973 廣穎</v>
      </c>
      <c r="Z51" s="499">
        <f ca="1">IFERROR(__xludf.DUMMYFUNCTION("""COMPUTED_VALUE"""),159.5)</f>
        <v>159.5</v>
      </c>
      <c r="AA51" s="726">
        <v>-4</v>
      </c>
      <c r="AB51" s="730">
        <v>-2.4500000000000001E-2</v>
      </c>
      <c r="AC51" s="511">
        <f ca="1">IFERROR(__xludf.DUMMYFUNCTION("""COMPUTED_VALUE"""),96)</f>
        <v>96</v>
      </c>
      <c r="AD51" s="511">
        <f ca="1">IFERROR(__xludf.DUMMYFUNCTION("""COMPUTED_VALUE"""),3165)</f>
        <v>3165</v>
      </c>
      <c r="AE51" s="732">
        <f ca="1">IFERROR(__xludf.DUMMYFUNCTION("""COMPUTED_VALUE"""),0.0303)</f>
        <v>3.0300000000000001E-2</v>
      </c>
      <c r="AF51" s="57">
        <f t="shared" ca="1" si="3"/>
        <v>-2.4464831804281346E-2</v>
      </c>
      <c r="AG51" s="8"/>
      <c r="AH51" s="8"/>
      <c r="AI51" s="8"/>
      <c r="AJ51" s="8"/>
      <c r="AK51" s="8"/>
      <c r="AL51" s="8"/>
      <c r="AM51" s="8"/>
      <c r="AN51" s="8"/>
      <c r="AO51" s="8"/>
    </row>
    <row r="52" spans="1:41" ht="15.75" customHeight="1">
      <c r="A52" s="589">
        <f ca="1">IFERROR(__xludf.DUMMYFUNCTION("""COMPUTED_VALUE"""),50)</f>
        <v>50</v>
      </c>
      <c r="B52" s="590" t="str">
        <f ca="1">IFERROR(__xludf.DUMMYFUNCTION("""COMPUTED_VALUE"""),"6442 光聖")</f>
        <v>6442 光聖</v>
      </c>
      <c r="C52" s="594">
        <f ca="1">IFERROR(__xludf.DUMMYFUNCTION("""COMPUTED_VALUE"""),1560)</f>
        <v>1560</v>
      </c>
      <c r="D52" s="725">
        <v>-5</v>
      </c>
      <c r="E52" s="729">
        <v>-3.2000000000000002E-3</v>
      </c>
      <c r="F52" s="593">
        <f ca="1">IFERROR(__xludf.DUMMYFUNCTION("""COMPUTED_VALUE"""),4065470)</f>
        <v>4065470</v>
      </c>
      <c r="G52" s="57">
        <f t="shared" ca="1" si="0"/>
        <v>-3.1948881789137379E-3</v>
      </c>
      <c r="H52" s="589">
        <f ca="1">IFERROR(__xludf.DUMMYFUNCTION("""COMPUTED_VALUE"""),50)</f>
        <v>50</v>
      </c>
      <c r="I52" s="590" t="str">
        <f ca="1">IFERROR(__xludf.DUMMYFUNCTION("""COMPUTED_VALUE"""),"3441 聯一光")</f>
        <v>3441 聯一光</v>
      </c>
      <c r="J52" s="592">
        <f ca="1">IFERROR(__xludf.DUMMYFUNCTION("""COMPUTED_VALUE"""),83.8)</f>
        <v>83.8</v>
      </c>
      <c r="K52" s="728">
        <v>-1.2</v>
      </c>
      <c r="L52" s="729">
        <v>-1.41E-2</v>
      </c>
      <c r="M52" s="598">
        <f ca="1">IFERROR(__xludf.DUMMYFUNCTION("""COMPUTED_VALUE"""),849617)</f>
        <v>849617</v>
      </c>
      <c r="N52" s="58">
        <f t="shared" ca="1" si="1"/>
        <v>-1.4117647058823528E-2</v>
      </c>
      <c r="O52" s="595">
        <f ca="1">IFERROR(__xludf.DUMMYFUNCTION("""COMPUTED_VALUE"""),50)</f>
        <v>50</v>
      </c>
      <c r="P52" s="499" t="str">
        <f ca="1">IFERROR(__xludf.DUMMYFUNCTION("""COMPUTED_VALUE"""),"00752 中信中國50")</f>
        <v>00752 中信中國50</v>
      </c>
      <c r="Q52" s="499">
        <f ca="1">IFERROR(__xludf.DUMMYFUNCTION("""COMPUTED_VALUE"""),23.06)</f>
        <v>23.06</v>
      </c>
      <c r="R52" s="726">
        <v>-0.55000000000000004</v>
      </c>
      <c r="S52" s="730">
        <v>-2.3300000000000001E-2</v>
      </c>
      <c r="T52" s="511">
        <f ca="1">IFERROR(__xludf.DUMMYFUNCTION("""COMPUTED_VALUE"""),16)</f>
        <v>16</v>
      </c>
      <c r="U52" s="511">
        <f ca="1">IFERROR(__xludf.DUMMYFUNCTION("""COMPUTED_VALUE"""),224)</f>
        <v>224</v>
      </c>
      <c r="V52" s="732">
        <f ca="1">IFERROR(__xludf.DUMMYFUNCTION("""COMPUTED_VALUE"""),0.0714)</f>
        <v>7.1400000000000005E-2</v>
      </c>
      <c r="W52" s="57">
        <f t="shared" ca="1" si="2"/>
        <v>-2.3295213892418468E-2</v>
      </c>
      <c r="X52" s="618">
        <f ca="1">IFERROR(__xludf.DUMMYFUNCTION("""COMPUTED_VALUE"""),50)</f>
        <v>50</v>
      </c>
      <c r="Y52" s="499" t="str">
        <f ca="1">IFERROR(__xludf.DUMMYFUNCTION("""COMPUTED_VALUE"""),"6023 元大期")</f>
        <v>6023 元大期</v>
      </c>
      <c r="Z52" s="499">
        <f ca="1">IFERROR(__xludf.DUMMYFUNCTION("""COMPUTED_VALUE"""),84.6)</f>
        <v>84.6</v>
      </c>
      <c r="AA52" s="726">
        <v>-0.6</v>
      </c>
      <c r="AB52" s="730">
        <v>-7.0000000000000001E-3</v>
      </c>
      <c r="AC52" s="511">
        <f ca="1">IFERROR(__xludf.DUMMYFUNCTION("""COMPUTED_VALUE"""),17)</f>
        <v>17</v>
      </c>
      <c r="AD52" s="511">
        <f ca="1">IFERROR(__xludf.DUMMYFUNCTION("""COMPUTED_VALUE"""),575)</f>
        <v>575</v>
      </c>
      <c r="AE52" s="732">
        <f ca="1">IFERROR(__xludf.DUMMYFUNCTION("""COMPUTED_VALUE"""),0.0296)</f>
        <v>2.9600000000000001E-2</v>
      </c>
      <c r="AF52" s="57">
        <f t="shared" ca="1" si="3"/>
        <v>-7.0422535211267616E-3</v>
      </c>
      <c r="AG52" s="8"/>
      <c r="AH52" s="8"/>
      <c r="AI52" s="8"/>
      <c r="AJ52" s="8"/>
      <c r="AK52" s="8"/>
      <c r="AL52" s="8"/>
      <c r="AM52" s="8"/>
      <c r="AN52" s="8"/>
      <c r="AO52" s="8"/>
    </row>
    <row r="53" spans="1:41" ht="15.75" customHeight="1">
      <c r="A53" s="595"/>
      <c r="B53" s="499"/>
      <c r="C53" s="499"/>
      <c r="D53" s="726"/>
      <c r="E53" s="730"/>
      <c r="F53" s="598"/>
      <c r="G53" s="8"/>
      <c r="H53" s="595"/>
      <c r="I53" s="499"/>
      <c r="J53" s="499"/>
      <c r="K53" s="726"/>
      <c r="L53" s="730"/>
      <c r="M53" s="598"/>
      <c r="N53" s="8"/>
      <c r="O53" s="595"/>
      <c r="P53" s="499"/>
      <c r="Q53" s="499"/>
      <c r="R53" s="726"/>
      <c r="S53" s="730"/>
      <c r="T53" s="511"/>
      <c r="U53" s="511"/>
      <c r="V53" s="732"/>
      <c r="W53" s="8"/>
      <c r="X53" s="595"/>
      <c r="Y53" s="499"/>
      <c r="Z53" s="499"/>
      <c r="AA53" s="726"/>
      <c r="AB53" s="730"/>
      <c r="AC53" s="511"/>
      <c r="AD53" s="511"/>
      <c r="AE53" s="732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spans="1:41" ht="15.75" customHeight="1">
      <c r="A54" s="596" t="str">
        <f ca="1">IFERROR(__xludf.DUMMYFUNCTION("IMPORTHTML(""https://fubon-ebrokerdj.fbs.com.tw/z/zg/zg_BD_0_0.djhtm"",""table"",0)"),"上市週轉率排行上櫃週轉率排行  
日期：08/14")</f>
        <v>上市週轉率排行上櫃週轉率排行  
日期：08/14</v>
      </c>
      <c r="B54" s="499"/>
      <c r="C54" s="499"/>
      <c r="D54" s="726"/>
      <c r="E54" s="730"/>
      <c r="F54" s="598"/>
      <c r="G54" s="8"/>
      <c r="H54" s="595"/>
      <c r="I54" s="610" t="str">
        <f ca="1">IFERROR(__xludf.DUMMYFUNCTION("IMPORTHTML(""https://fubon-ebrokerdj.fbs.com.tw/z/zg/zg_BD_1_0.djhtm"",""table"",0)"),"上市週轉率排行上櫃週轉率排行  
日期：08/14")</f>
        <v>上市週轉率排行上櫃週轉率排行  
日期：08/14</v>
      </c>
      <c r="J54" s="499"/>
      <c r="K54" s="726"/>
      <c r="L54" s="730"/>
      <c r="M54" s="598"/>
      <c r="N54" s="8"/>
      <c r="O54" s="595"/>
      <c r="P54" s="499"/>
      <c r="Q54" s="499"/>
      <c r="R54" s="726"/>
      <c r="S54" s="730"/>
      <c r="T54" s="511"/>
      <c r="U54" s="511"/>
      <c r="V54" s="732"/>
      <c r="W54" s="8"/>
      <c r="X54" s="595"/>
      <c r="Y54" s="499"/>
      <c r="Z54" s="499"/>
      <c r="AA54" s="726"/>
      <c r="AB54" s="730"/>
      <c r="AC54" s="511"/>
      <c r="AD54" s="511"/>
      <c r="AE54" s="732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spans="1:41" ht="15.5">
      <c r="A55" s="595" t="str">
        <f ca="1">IFERROR(__xludf.DUMMYFUNCTION("""COMPUTED_VALUE"""),"名次")</f>
        <v>名次</v>
      </c>
      <c r="B55" s="597" t="str">
        <f ca="1">IFERROR(__xludf.DUMMYFUNCTION("""COMPUTED_VALUE"""),"股票名稱")</f>
        <v>股票名稱</v>
      </c>
      <c r="C55" s="499" t="str">
        <f ca="1">IFERROR(__xludf.DUMMYFUNCTION("""COMPUTED_VALUE"""),"收盤價")</f>
        <v>收盤價</v>
      </c>
      <c r="D55" s="726" t="s">
        <v>285</v>
      </c>
      <c r="E55" s="730" t="s">
        <v>287</v>
      </c>
      <c r="F55" s="598" t="str">
        <f ca="1">IFERROR(__xludf.DUMMYFUNCTION("""COMPUTED_VALUE"""),"成交量")</f>
        <v>成交量</v>
      </c>
      <c r="G55" s="8" t="str">
        <f ca="1">IFERROR(__xludf.DUMMYFUNCTION("""COMPUTED_VALUE"""),"週轉率")</f>
        <v>週轉率</v>
      </c>
      <c r="H55" s="595"/>
      <c r="I55" s="499" t="str">
        <f ca="1">IFERROR(__xludf.DUMMYFUNCTION("""COMPUTED_VALUE"""),"名次")</f>
        <v>名次</v>
      </c>
      <c r="J55" s="597" t="str">
        <f ca="1">IFERROR(__xludf.DUMMYFUNCTION("""COMPUTED_VALUE"""),"股票名稱")</f>
        <v>股票名稱</v>
      </c>
      <c r="K55" s="726" t="s">
        <v>286</v>
      </c>
      <c r="L55" s="730" t="s">
        <v>285</v>
      </c>
      <c r="M55" s="598" t="str">
        <f ca="1">IFERROR(__xludf.DUMMYFUNCTION("""COMPUTED_VALUE"""),"漲跌幅")</f>
        <v>漲跌幅</v>
      </c>
      <c r="N55" s="8" t="str">
        <f ca="1">IFERROR(__xludf.DUMMYFUNCTION("""COMPUTED_VALUE"""),"成交量")</f>
        <v>成交量</v>
      </c>
      <c r="O55" s="595" t="str">
        <f ca="1">IFERROR(__xludf.DUMMYFUNCTION("""COMPUTED_VALUE"""),"週轉率")</f>
        <v>週轉率</v>
      </c>
      <c r="P55" s="499"/>
      <c r="Q55" s="499"/>
      <c r="R55" s="726"/>
      <c r="S55" s="730"/>
      <c r="T55" s="511"/>
      <c r="U55" s="511"/>
      <c r="V55" s="732"/>
      <c r="W55" s="8"/>
      <c r="X55" s="595"/>
      <c r="Y55" s="499"/>
      <c r="Z55" s="499"/>
      <c r="AA55" s="726"/>
      <c r="AB55" s="730"/>
      <c r="AC55" s="511"/>
      <c r="AD55" s="511"/>
      <c r="AE55" s="732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spans="1:41" ht="15.5">
      <c r="A56" s="595">
        <f ca="1">IFERROR(__xludf.DUMMYFUNCTION("""COMPUTED_VALUE"""),1)</f>
        <v>1</v>
      </c>
      <c r="B56" s="597" t="str">
        <f ca="1">IFERROR(__xludf.DUMMYFUNCTION("""COMPUTED_VALUE"""),"8039 台虹")</f>
        <v>8039 台虹</v>
      </c>
      <c r="C56" s="499">
        <f ca="1">IFERROR(__xludf.DUMMYFUNCTION("""COMPUTED_VALUE"""),272.5)</f>
        <v>272.5</v>
      </c>
      <c r="D56" s="726">
        <v>23</v>
      </c>
      <c r="E56" s="730">
        <v>9.2200000000000004E-2</v>
      </c>
      <c r="F56" s="598">
        <f ca="1">IFERROR(__xludf.DUMMYFUNCTION("""COMPUTED_VALUE"""),55937)</f>
        <v>55937</v>
      </c>
      <c r="G56" s="57">
        <f ca="1">IFERROR(__xludf.DUMMYFUNCTION("""COMPUTED_VALUE"""),0.2121)</f>
        <v>0.21210000000000001</v>
      </c>
      <c r="H56" s="611">
        <f t="shared" ref="H56:H105" ca="1" si="4">D56/(C56-D56)</f>
        <v>9.2184368737474945E-2</v>
      </c>
      <c r="I56" s="499">
        <f ca="1">IFERROR(__xludf.DUMMYFUNCTION("""COMPUTED_VALUE"""),1)</f>
        <v>1</v>
      </c>
      <c r="J56" s="597" t="str">
        <f ca="1">IFERROR(__xludf.DUMMYFUNCTION("""COMPUTED_VALUE"""),"4541 晟田")</f>
        <v>4541 晟田</v>
      </c>
      <c r="K56" s="726">
        <v>73.900000000000006</v>
      </c>
      <c r="L56" s="730">
        <v>1.3</v>
      </c>
      <c r="M56" s="598" t="str">
        <f ca="1">IFERROR(__xludf.DUMMYFUNCTION("""COMPUTED_VALUE"""),"+1.79%")</f>
        <v>+1.79%</v>
      </c>
      <c r="N56" s="58">
        <f ca="1">IFERROR(__xludf.DUMMYFUNCTION("""COMPUTED_VALUE"""),17652)</f>
        <v>17652</v>
      </c>
      <c r="O56" s="611">
        <f ca="1">IFERROR(__xludf.DUMMYFUNCTION("""COMPUTED_VALUE"""),0.2609)</f>
        <v>0.26090000000000002</v>
      </c>
      <c r="P56" s="599">
        <f t="shared" ref="P56:P105" si="5">L56/(K56-L56)</f>
        <v>1.7906336088154267E-2</v>
      </c>
      <c r="Q56" s="499"/>
      <c r="R56" s="726"/>
      <c r="S56" s="730"/>
      <c r="T56" s="511"/>
      <c r="U56" s="511"/>
      <c r="V56" s="732"/>
      <c r="W56" s="8"/>
      <c r="X56" s="595"/>
      <c r="Y56" s="499"/>
      <c r="Z56" s="499"/>
      <c r="AA56" s="726"/>
      <c r="AB56" s="730"/>
      <c r="AC56" s="511"/>
      <c r="AD56" s="511"/>
      <c r="AE56" s="732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 spans="1:41" ht="15.5">
      <c r="A57" s="595">
        <f ca="1">IFERROR(__xludf.DUMMYFUNCTION("""COMPUTED_VALUE"""),2)</f>
        <v>2</v>
      </c>
      <c r="B57" s="597" t="str">
        <f ca="1">IFERROR(__xludf.DUMMYFUNCTION("""COMPUTED_VALUE"""),"6155 鈞寶")</f>
        <v>6155 鈞寶</v>
      </c>
      <c r="C57" s="499">
        <f ca="1">IFERROR(__xludf.DUMMYFUNCTION("""COMPUTED_VALUE"""),63.7)</f>
        <v>63.7</v>
      </c>
      <c r="D57" s="726">
        <v>0.2</v>
      </c>
      <c r="E57" s="730">
        <v>3.0999999999999999E-3</v>
      </c>
      <c r="F57" s="598">
        <f ca="1">IFERROR(__xludf.DUMMYFUNCTION("""COMPUTED_VALUE"""),14034)</f>
        <v>14034</v>
      </c>
      <c r="G57" s="57">
        <f ca="1">IFERROR(__xludf.DUMMYFUNCTION("""COMPUTED_VALUE"""),0.1594)</f>
        <v>0.15939999999999999</v>
      </c>
      <c r="H57" s="611">
        <f t="shared" ca="1" si="4"/>
        <v>3.1496062992125988E-3</v>
      </c>
      <c r="I57" s="499">
        <f ca="1">IFERROR(__xludf.DUMMYFUNCTION("""COMPUTED_VALUE"""),2)</f>
        <v>2</v>
      </c>
      <c r="J57" s="597" t="str">
        <f ca="1">IFERROR(__xludf.DUMMYFUNCTION("""COMPUTED_VALUE"""),"3441 聯一光")</f>
        <v>3441 聯一光</v>
      </c>
      <c r="K57" s="726">
        <v>83.8</v>
      </c>
      <c r="L57" s="730">
        <v>-1.2</v>
      </c>
      <c r="M57" s="598">
        <f ca="1">IFERROR(__xludf.DUMMYFUNCTION("""COMPUTED_VALUE"""),-0.0141)</f>
        <v>-1.41E-2</v>
      </c>
      <c r="N57" s="58">
        <f ca="1">IFERROR(__xludf.DUMMYFUNCTION("""COMPUTED_VALUE"""),10107)</f>
        <v>10107</v>
      </c>
      <c r="O57" s="611">
        <f ca="1">IFERROR(__xludf.DUMMYFUNCTION("""COMPUTED_VALUE"""),0.2524)</f>
        <v>0.25240000000000001</v>
      </c>
      <c r="P57" s="599">
        <f t="shared" si="5"/>
        <v>-1.4117647058823528E-2</v>
      </c>
      <c r="Q57" s="499"/>
      <c r="R57" s="726"/>
      <c r="S57" s="730"/>
      <c r="T57" s="511"/>
      <c r="U57" s="511"/>
      <c r="V57" s="732"/>
      <c r="W57" s="8"/>
      <c r="X57" s="595"/>
      <c r="Y57" s="499"/>
      <c r="Z57" s="499"/>
      <c r="AA57" s="726"/>
      <c r="AB57" s="730"/>
      <c r="AC57" s="511"/>
      <c r="AD57" s="511"/>
      <c r="AE57" s="732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spans="1:41" ht="15.5">
      <c r="A58" s="595">
        <f ca="1">IFERROR(__xludf.DUMMYFUNCTION("""COMPUTED_VALUE"""),3)</f>
        <v>3</v>
      </c>
      <c r="B58" s="597" t="str">
        <f ca="1">IFERROR(__xludf.DUMMYFUNCTION("""COMPUTED_VALUE"""),"2359 所羅門")</f>
        <v>2359 所羅門</v>
      </c>
      <c r="C58" s="499">
        <f ca="1">IFERROR(__xludf.DUMMYFUNCTION("""COMPUTED_VALUE"""),159.5)</f>
        <v>159.5</v>
      </c>
      <c r="D58" s="726">
        <v>2.5</v>
      </c>
      <c r="E58" s="730">
        <v>1.5900000000000001E-2</v>
      </c>
      <c r="F58" s="598">
        <f ca="1">IFERROR(__xludf.DUMMYFUNCTION("""COMPUTED_VALUE"""),26289)</f>
        <v>26289</v>
      </c>
      <c r="G58" s="57">
        <f ca="1">IFERROR(__xludf.DUMMYFUNCTION("""COMPUTED_VALUE"""),0.1533)</f>
        <v>0.15329999999999999</v>
      </c>
      <c r="H58" s="611">
        <f t="shared" ca="1" si="4"/>
        <v>1.5923566878980892E-2</v>
      </c>
      <c r="I58" s="499">
        <f ca="1">IFERROR(__xludf.DUMMYFUNCTION("""COMPUTED_VALUE"""),3)</f>
        <v>3</v>
      </c>
      <c r="J58" s="597" t="str">
        <f ca="1">IFERROR(__xludf.DUMMYFUNCTION("""COMPUTED_VALUE"""),"3490 單井")</f>
        <v>3490 單井</v>
      </c>
      <c r="K58" s="726">
        <v>39.65</v>
      </c>
      <c r="L58" s="730">
        <v>2.8</v>
      </c>
      <c r="M58" s="598" t="str">
        <f ca="1">IFERROR(__xludf.DUMMYFUNCTION("""COMPUTED_VALUE"""),"+7.60%")</f>
        <v>+7.60%</v>
      </c>
      <c r="N58" s="58">
        <f ca="1">IFERROR(__xludf.DUMMYFUNCTION("""COMPUTED_VALUE"""),12750)</f>
        <v>12750</v>
      </c>
      <c r="O58" s="611">
        <f ca="1">IFERROR(__xludf.DUMMYFUNCTION("""COMPUTED_VALUE"""),0.2318)</f>
        <v>0.23180000000000001</v>
      </c>
      <c r="P58" s="599">
        <f t="shared" si="5"/>
        <v>7.5983717774762538E-2</v>
      </c>
      <c r="Q58" s="499"/>
      <c r="R58" s="726"/>
      <c r="S58" s="730"/>
      <c r="T58" s="511"/>
      <c r="U58" s="511"/>
      <c r="V58" s="732"/>
      <c r="W58" s="8"/>
      <c r="X58" s="595"/>
      <c r="Y58" s="499"/>
      <c r="Z58" s="499"/>
      <c r="AA58" s="726"/>
      <c r="AB58" s="730"/>
      <c r="AC58" s="511"/>
      <c r="AD58" s="511"/>
      <c r="AE58" s="732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spans="1:41" ht="15.5">
      <c r="A59" s="595">
        <f ca="1">IFERROR(__xludf.DUMMYFUNCTION("""COMPUTED_VALUE"""),4)</f>
        <v>4</v>
      </c>
      <c r="B59" s="597" t="str">
        <f ca="1">IFERROR(__xludf.DUMMYFUNCTION("""COMPUTED_VALUE"""),"6243 迅杰")</f>
        <v>6243 迅杰</v>
      </c>
      <c r="C59" s="499">
        <f ca="1">IFERROR(__xludf.DUMMYFUNCTION("""COMPUTED_VALUE"""),46.8)</f>
        <v>46.8</v>
      </c>
      <c r="D59" s="726">
        <v>2.9</v>
      </c>
      <c r="E59" s="730">
        <v>6.6100000000000006E-2</v>
      </c>
      <c r="F59" s="598">
        <f ca="1">IFERROR(__xludf.DUMMYFUNCTION("""COMPUTED_VALUE"""),5230)</f>
        <v>5230</v>
      </c>
      <c r="G59" s="57">
        <f ca="1">IFERROR(__xludf.DUMMYFUNCTION("""COMPUTED_VALUE"""),0.1155)</f>
        <v>0.11550000000000001</v>
      </c>
      <c r="H59" s="611">
        <f t="shared" ca="1" si="4"/>
        <v>6.6059225512528477E-2</v>
      </c>
      <c r="I59" s="499">
        <f ca="1">IFERROR(__xludf.DUMMYFUNCTION("""COMPUTED_VALUE"""),4)</f>
        <v>4</v>
      </c>
      <c r="J59" s="597" t="str">
        <f ca="1">IFERROR(__xludf.DUMMYFUNCTION("""COMPUTED_VALUE"""),"5475 德宏")</f>
        <v>5475 德宏</v>
      </c>
      <c r="K59" s="726">
        <v>170.5</v>
      </c>
      <c r="L59" s="730">
        <v>7.5</v>
      </c>
      <c r="M59" s="598" t="str">
        <f ca="1">IFERROR(__xludf.DUMMYFUNCTION("""COMPUTED_VALUE"""),"+4.60%")</f>
        <v>+4.60%</v>
      </c>
      <c r="N59" s="58">
        <f ca="1">IFERROR(__xludf.DUMMYFUNCTION("""COMPUTED_VALUE"""),27837)</f>
        <v>27837</v>
      </c>
      <c r="O59" s="611">
        <f ca="1">IFERROR(__xludf.DUMMYFUNCTION("""COMPUTED_VALUE"""),0.219)</f>
        <v>0.219</v>
      </c>
      <c r="P59" s="599">
        <f t="shared" si="5"/>
        <v>4.6012269938650305E-2</v>
      </c>
      <c r="Q59" s="499"/>
      <c r="R59" s="726"/>
      <c r="S59" s="730"/>
      <c r="T59" s="511"/>
      <c r="U59" s="511"/>
      <c r="V59" s="732"/>
      <c r="W59" s="8"/>
      <c r="X59" s="595"/>
      <c r="Y59" s="499"/>
      <c r="Z59" s="499"/>
      <c r="AA59" s="726"/>
      <c r="AB59" s="730"/>
      <c r="AC59" s="511"/>
      <c r="AD59" s="511"/>
      <c r="AE59" s="732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spans="1:41" ht="15.5">
      <c r="A60" s="595">
        <f ca="1">IFERROR(__xludf.DUMMYFUNCTION("""COMPUTED_VALUE"""),5)</f>
        <v>5</v>
      </c>
      <c r="B60" s="597" t="str">
        <f ca="1">IFERROR(__xludf.DUMMYFUNCTION("""COMPUTED_VALUE"""),"6770 力積電")</f>
        <v>6770 力積電</v>
      </c>
      <c r="C60" s="499">
        <f ca="1">IFERROR(__xludf.DUMMYFUNCTION("""COMPUTED_VALUE"""),78.4)</f>
        <v>78.400000000000006</v>
      </c>
      <c r="D60" s="726">
        <v>3.5</v>
      </c>
      <c r="E60" s="730">
        <v>4.6699999999999998E-2</v>
      </c>
      <c r="F60" s="598">
        <f ca="1">IFERROR(__xludf.DUMMYFUNCTION("""COMPUTED_VALUE"""),527933)</f>
        <v>527933</v>
      </c>
      <c r="G60" s="57">
        <f ca="1">IFERROR(__xludf.DUMMYFUNCTION("""COMPUTED_VALUE"""),0.1132)</f>
        <v>0.1132</v>
      </c>
      <c r="H60" s="611">
        <f t="shared" ca="1" si="4"/>
        <v>4.6728971962616821E-2</v>
      </c>
      <c r="I60" s="499">
        <f ca="1">IFERROR(__xludf.DUMMYFUNCTION("""COMPUTED_VALUE"""),5)</f>
        <v>5</v>
      </c>
      <c r="J60" s="597" t="str">
        <f ca="1">IFERROR(__xludf.DUMMYFUNCTION("""COMPUTED_VALUE"""),"4939 亞電")</f>
        <v>4939 亞電</v>
      </c>
      <c r="K60" s="726">
        <v>61.4</v>
      </c>
      <c r="L60" s="730">
        <v>-2.5</v>
      </c>
      <c r="M60" s="598">
        <f ca="1">IFERROR(__xludf.DUMMYFUNCTION("""COMPUTED_VALUE"""),-0.0391)</f>
        <v>-3.9100000000000003E-2</v>
      </c>
      <c r="N60" s="58">
        <f ca="1">IFERROR(__xludf.DUMMYFUNCTION("""COMPUTED_VALUE"""),19911)</f>
        <v>19911</v>
      </c>
      <c r="O60" s="611">
        <f ca="1">IFERROR(__xludf.DUMMYFUNCTION("""COMPUTED_VALUE"""),0.2028)</f>
        <v>0.20280000000000001</v>
      </c>
      <c r="P60" s="599">
        <f t="shared" si="5"/>
        <v>-3.912363067292645E-2</v>
      </c>
      <c r="Q60" s="499"/>
      <c r="R60" s="726"/>
      <c r="S60" s="730"/>
      <c r="T60" s="511"/>
      <c r="U60" s="511"/>
      <c r="V60" s="732"/>
      <c r="W60" s="8"/>
      <c r="X60" s="595"/>
      <c r="Y60" s="499"/>
      <c r="Z60" s="499"/>
      <c r="AA60" s="726"/>
      <c r="AB60" s="730"/>
      <c r="AC60" s="511"/>
      <c r="AD60" s="511"/>
      <c r="AE60" s="732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 spans="1:41" ht="15.5">
      <c r="A61" s="595">
        <f ca="1">IFERROR(__xludf.DUMMYFUNCTION("""COMPUTED_VALUE"""),6)</f>
        <v>6</v>
      </c>
      <c r="B61" s="597" t="str">
        <f ca="1">IFERROR(__xludf.DUMMYFUNCTION("""COMPUTED_VALUE"""),"3605 宏致")</f>
        <v>3605 宏致</v>
      </c>
      <c r="C61" s="499">
        <f ca="1">IFERROR(__xludf.DUMMYFUNCTION("""COMPUTED_VALUE"""),131.5)</f>
        <v>131.5</v>
      </c>
      <c r="D61" s="726">
        <v>-0.5</v>
      </c>
      <c r="E61" s="730">
        <v>-3.8E-3</v>
      </c>
      <c r="F61" s="598">
        <f ca="1">IFERROR(__xludf.DUMMYFUNCTION("""COMPUTED_VALUE"""),18820)</f>
        <v>18820</v>
      </c>
      <c r="G61" s="57">
        <f ca="1">IFERROR(__xludf.DUMMYFUNCTION("""COMPUTED_VALUE"""),0.1077)</f>
        <v>0.1077</v>
      </c>
      <c r="H61" s="611">
        <f t="shared" ca="1" si="4"/>
        <v>-3.787878787878788E-3</v>
      </c>
      <c r="I61" s="499">
        <f ca="1">IFERROR(__xludf.DUMMYFUNCTION("""COMPUTED_VALUE"""),6)</f>
        <v>6</v>
      </c>
      <c r="J61" s="597" t="str">
        <f ca="1">IFERROR(__xludf.DUMMYFUNCTION("""COMPUTED_VALUE"""),"6182 合晶")</f>
        <v>6182 合晶</v>
      </c>
      <c r="K61" s="726">
        <v>111.5</v>
      </c>
      <c r="L61" s="730">
        <v>-1.5</v>
      </c>
      <c r="M61" s="598">
        <f ca="1">IFERROR(__xludf.DUMMYFUNCTION("""COMPUTED_VALUE"""),-0.0133)</f>
        <v>-1.3299999999999999E-2</v>
      </c>
      <c r="N61" s="58">
        <f ca="1">IFERROR(__xludf.DUMMYFUNCTION("""COMPUTED_VALUE"""),123819)</f>
        <v>123819</v>
      </c>
      <c r="O61" s="611">
        <f ca="1">IFERROR(__xludf.DUMMYFUNCTION("""COMPUTED_VALUE"""),0.198)</f>
        <v>0.19800000000000001</v>
      </c>
      <c r="P61" s="599">
        <f t="shared" si="5"/>
        <v>-1.3274336283185841E-2</v>
      </c>
      <c r="Q61" s="499"/>
      <c r="R61" s="726"/>
      <c r="S61" s="730"/>
      <c r="T61" s="511"/>
      <c r="U61" s="511"/>
      <c r="V61" s="732"/>
      <c r="W61" s="8"/>
      <c r="X61" s="595"/>
      <c r="Y61" s="499"/>
      <c r="Z61" s="499"/>
      <c r="AA61" s="726"/>
      <c r="AB61" s="730"/>
      <c r="AC61" s="511"/>
      <c r="AD61" s="511"/>
      <c r="AE61" s="732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spans="1:41" ht="15.5">
      <c r="A62" s="595">
        <f ca="1">IFERROR(__xludf.DUMMYFUNCTION("""COMPUTED_VALUE"""),7)</f>
        <v>7</v>
      </c>
      <c r="B62" s="597" t="str">
        <f ca="1">IFERROR(__xludf.DUMMYFUNCTION("""COMPUTED_VALUE"""),"2375 凱美")</f>
        <v>2375 凱美</v>
      </c>
      <c r="C62" s="499">
        <f ca="1">IFERROR(__xludf.DUMMYFUNCTION("""COMPUTED_VALUE"""),130.5)</f>
        <v>130.5</v>
      </c>
      <c r="D62" s="726">
        <v>-9</v>
      </c>
      <c r="E62" s="730">
        <v>-6.4500000000000002E-2</v>
      </c>
      <c r="F62" s="598">
        <f ca="1">IFERROR(__xludf.DUMMYFUNCTION("""COMPUTED_VALUE"""),11541)</f>
        <v>11541</v>
      </c>
      <c r="G62" s="57">
        <f ca="1">IFERROR(__xludf.DUMMYFUNCTION("""COMPUTED_VALUE"""),0.1062)</f>
        <v>0.1062</v>
      </c>
      <c r="H62" s="611">
        <f t="shared" ca="1" si="4"/>
        <v>-6.4516129032258063E-2</v>
      </c>
      <c r="I62" s="499">
        <f ca="1">IFERROR(__xludf.DUMMYFUNCTION("""COMPUTED_VALUE"""),7)</f>
        <v>7</v>
      </c>
      <c r="J62" s="597" t="str">
        <f ca="1">IFERROR(__xludf.DUMMYFUNCTION("""COMPUTED_VALUE"""),"8358 金居")</f>
        <v>8358 金居</v>
      </c>
      <c r="K62" s="726">
        <v>428.5</v>
      </c>
      <c r="L62" s="730">
        <v>7.5</v>
      </c>
      <c r="M62" s="598" t="str">
        <f ca="1">IFERROR(__xludf.DUMMYFUNCTION("""COMPUTED_VALUE"""),"+1.78%")</f>
        <v>+1.78%</v>
      </c>
      <c r="N62" s="58">
        <f ca="1">IFERROR(__xludf.DUMMYFUNCTION("""COMPUTED_VALUE"""),45126)</f>
        <v>45126</v>
      </c>
      <c r="O62" s="611">
        <f ca="1">IFERROR(__xludf.DUMMYFUNCTION("""COMPUTED_VALUE"""),0.1787)</f>
        <v>0.1787</v>
      </c>
      <c r="P62" s="599">
        <f t="shared" si="5"/>
        <v>1.7814726840855107E-2</v>
      </c>
      <c r="Q62" s="499"/>
      <c r="R62" s="726"/>
      <c r="S62" s="730"/>
      <c r="T62" s="511"/>
      <c r="U62" s="511"/>
      <c r="V62" s="732"/>
      <c r="W62" s="8"/>
      <c r="X62" s="595"/>
      <c r="Y62" s="499"/>
      <c r="Z62" s="499"/>
      <c r="AA62" s="726"/>
      <c r="AB62" s="730"/>
      <c r="AC62" s="511"/>
      <c r="AD62" s="511"/>
      <c r="AE62" s="732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spans="1:41" ht="15.5">
      <c r="A63" s="595">
        <f ca="1">IFERROR(__xludf.DUMMYFUNCTION("""COMPUTED_VALUE"""),8)</f>
        <v>8</v>
      </c>
      <c r="B63" s="597" t="str">
        <f ca="1">IFERROR(__xludf.DUMMYFUNCTION("""COMPUTED_VALUE"""),"8261 富鼎")</f>
        <v>8261 富鼎</v>
      </c>
      <c r="C63" s="499">
        <f ca="1">IFERROR(__xludf.DUMMYFUNCTION("""COMPUTED_VALUE"""),185)</f>
        <v>185</v>
      </c>
      <c r="D63" s="726">
        <v>-17</v>
      </c>
      <c r="E63" s="730">
        <v>-8.4199999999999997E-2</v>
      </c>
      <c r="F63" s="598">
        <f ca="1">IFERROR(__xludf.DUMMYFUNCTION("""COMPUTED_VALUE"""),12237)</f>
        <v>12237</v>
      </c>
      <c r="G63" s="57">
        <f ca="1">IFERROR(__xludf.DUMMYFUNCTION("""COMPUTED_VALUE"""),0.1029)</f>
        <v>0.10290000000000001</v>
      </c>
      <c r="H63" s="611">
        <f t="shared" ca="1" si="4"/>
        <v>-8.4158415841584164E-2</v>
      </c>
      <c r="I63" s="499">
        <f ca="1">IFERROR(__xludf.DUMMYFUNCTION("""COMPUTED_VALUE"""),8)</f>
        <v>8</v>
      </c>
      <c r="J63" s="597" t="str">
        <f ca="1">IFERROR(__xludf.DUMMYFUNCTION("""COMPUTED_VALUE"""),"6538 倉和")</f>
        <v>6538 倉和</v>
      </c>
      <c r="K63" s="726">
        <v>184</v>
      </c>
      <c r="L63" s="730">
        <v>6.5</v>
      </c>
      <c r="M63" s="598" t="str">
        <f ca="1">IFERROR(__xludf.DUMMYFUNCTION("""COMPUTED_VALUE"""),"+3.66%")</f>
        <v>+3.66%</v>
      </c>
      <c r="N63" s="58">
        <f ca="1">IFERROR(__xludf.DUMMYFUNCTION("""COMPUTED_VALUE"""),5680)</f>
        <v>5680</v>
      </c>
      <c r="O63" s="611">
        <f ca="1">IFERROR(__xludf.DUMMYFUNCTION("""COMPUTED_VALUE"""),0.1493)</f>
        <v>0.14929999999999999</v>
      </c>
      <c r="P63" s="599">
        <f t="shared" si="5"/>
        <v>3.6619718309859155E-2</v>
      </c>
      <c r="Q63" s="499"/>
      <c r="R63" s="726"/>
      <c r="S63" s="730"/>
      <c r="T63" s="511"/>
      <c r="U63" s="511"/>
      <c r="V63" s="732"/>
      <c r="W63" s="8"/>
      <c r="X63" s="595"/>
      <c r="Y63" s="499"/>
      <c r="Z63" s="499"/>
      <c r="AA63" s="726"/>
      <c r="AB63" s="730"/>
      <c r="AC63" s="511"/>
      <c r="AD63" s="511"/>
      <c r="AE63" s="732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spans="1:41" ht="15.5">
      <c r="A64" s="595">
        <f ca="1">IFERROR(__xludf.DUMMYFUNCTION("""COMPUTED_VALUE"""),9)</f>
        <v>9</v>
      </c>
      <c r="B64" s="597" t="str">
        <f ca="1">IFERROR(__xludf.DUMMYFUNCTION("""COMPUTED_VALUE"""),"8033 雷虎")</f>
        <v>8033 雷虎</v>
      </c>
      <c r="C64" s="499">
        <f ca="1">IFERROR(__xludf.DUMMYFUNCTION("""COMPUTED_VALUE"""),201.5)</f>
        <v>201.5</v>
      </c>
      <c r="D64" s="726">
        <v>18</v>
      </c>
      <c r="E64" s="730">
        <v>9.8100000000000007E-2</v>
      </c>
      <c r="F64" s="598">
        <f ca="1">IFERROR(__xludf.DUMMYFUNCTION("""COMPUTED_VALUE"""),16898)</f>
        <v>16898</v>
      </c>
      <c r="G64" s="57">
        <f ca="1">IFERROR(__xludf.DUMMYFUNCTION("""COMPUTED_VALUE"""),0.1026)</f>
        <v>0.1026</v>
      </c>
      <c r="H64" s="611">
        <f t="shared" ca="1" si="4"/>
        <v>9.8092643051771122E-2</v>
      </c>
      <c r="I64" s="499">
        <f ca="1">IFERROR(__xludf.DUMMYFUNCTION("""COMPUTED_VALUE"""),9)</f>
        <v>9</v>
      </c>
      <c r="J64" s="597" t="str">
        <f ca="1">IFERROR(__xludf.DUMMYFUNCTION("""COMPUTED_VALUE"""),"00989B台新美國非投等債")</f>
        <v>00989B台新美國非投等債</v>
      </c>
      <c r="K64" s="726">
        <v>10.28</v>
      </c>
      <c r="L64" s="730">
        <v>-0.02</v>
      </c>
      <c r="M64" s="598">
        <f ca="1">IFERROR(__xludf.DUMMYFUNCTION("""COMPUTED_VALUE"""),-0.0019)</f>
        <v>-1.9E-3</v>
      </c>
      <c r="N64" s="58">
        <f ca="1">IFERROR(__xludf.DUMMYFUNCTION("""COMPUTED_VALUE"""),9386)</f>
        <v>9386</v>
      </c>
      <c r="O64" s="611">
        <f ca="1">IFERROR(__xludf.DUMMYFUNCTION("""COMPUTED_VALUE"""),0.1295)</f>
        <v>0.1295</v>
      </c>
      <c r="P64" s="599">
        <f t="shared" si="5"/>
        <v>-1.9417475728155341E-3</v>
      </c>
      <c r="Q64" s="499"/>
      <c r="R64" s="726"/>
      <c r="S64" s="730"/>
      <c r="T64" s="511"/>
      <c r="U64" s="511"/>
      <c r="V64" s="732"/>
      <c r="W64" s="8"/>
      <c r="X64" s="595"/>
      <c r="Y64" s="499"/>
      <c r="Z64" s="499"/>
      <c r="AA64" s="726"/>
      <c r="AB64" s="730"/>
      <c r="AC64" s="511"/>
      <c r="AD64" s="511"/>
      <c r="AE64" s="732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 spans="1:41" ht="15.5">
      <c r="A65" s="595">
        <f ca="1">IFERROR(__xludf.DUMMYFUNCTION("""COMPUTED_VALUE"""),10)</f>
        <v>10</v>
      </c>
      <c r="B65" s="597" t="str">
        <f ca="1">IFERROR(__xludf.DUMMYFUNCTION("""COMPUTED_VALUE"""),"2492 華新科")</f>
        <v>2492 華新科</v>
      </c>
      <c r="C65" s="499">
        <f ca="1">IFERROR(__xludf.DUMMYFUNCTION("""COMPUTED_VALUE"""),302.5)</f>
        <v>302.5</v>
      </c>
      <c r="D65" s="726">
        <v>-14</v>
      </c>
      <c r="E65" s="730">
        <v>-4.4200000000000003E-2</v>
      </c>
      <c r="F65" s="598">
        <f ca="1">IFERROR(__xludf.DUMMYFUNCTION("""COMPUTED_VALUE"""),49332)</f>
        <v>49332</v>
      </c>
      <c r="G65" s="57">
        <f ca="1">IFERROR(__xludf.DUMMYFUNCTION("""COMPUTED_VALUE"""),0.1017)</f>
        <v>0.1017</v>
      </c>
      <c r="H65" s="611">
        <f t="shared" ca="1" si="4"/>
        <v>-4.4233807266982623E-2</v>
      </c>
      <c r="I65" s="499">
        <f ca="1">IFERROR(__xludf.DUMMYFUNCTION("""COMPUTED_VALUE"""),10)</f>
        <v>10</v>
      </c>
      <c r="J65" s="597" t="str">
        <f ca="1">IFERROR(__xludf.DUMMYFUNCTION("""COMPUTED_VALUE"""),"00859B群益0-1年美債")</f>
        <v>00859B群益0-1年美債</v>
      </c>
      <c r="K65" s="726">
        <v>41.33</v>
      </c>
      <c r="L65" s="730">
        <v>-0.19</v>
      </c>
      <c r="M65" s="598">
        <f ca="1">IFERROR(__xludf.DUMMYFUNCTION("""COMPUTED_VALUE"""),-0.0046)</f>
        <v>-4.5999999999999999E-3</v>
      </c>
      <c r="N65" s="58">
        <f ca="1">IFERROR(__xludf.DUMMYFUNCTION("""COMPUTED_VALUE"""),3396)</f>
        <v>3396</v>
      </c>
      <c r="O65" s="611">
        <f ca="1">IFERROR(__xludf.DUMMYFUNCTION("""COMPUTED_VALUE"""),0.1281)</f>
        <v>0.12809999999999999</v>
      </c>
      <c r="P65" s="599">
        <f t="shared" si="5"/>
        <v>-4.5761078998073227E-3</v>
      </c>
      <c r="Q65" s="499"/>
      <c r="R65" s="726"/>
      <c r="S65" s="730"/>
      <c r="T65" s="511"/>
      <c r="U65" s="511"/>
      <c r="V65" s="732"/>
      <c r="W65" s="8"/>
      <c r="X65" s="595"/>
      <c r="Y65" s="499"/>
      <c r="Z65" s="499"/>
      <c r="AA65" s="726"/>
      <c r="AB65" s="730"/>
      <c r="AC65" s="511"/>
      <c r="AD65" s="511"/>
      <c r="AE65" s="732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spans="1:41" ht="15.5">
      <c r="A66" s="595">
        <f ca="1">IFERROR(__xludf.DUMMYFUNCTION("""COMPUTED_VALUE"""),11)</f>
        <v>11</v>
      </c>
      <c r="B66" s="597" t="str">
        <f ca="1">IFERROR(__xludf.DUMMYFUNCTION("""COMPUTED_VALUE"""),"00657K國泰日經225+U")</f>
        <v>00657K國泰日經225+U</v>
      </c>
      <c r="C66" s="499">
        <f ca="1">IFERROR(__xludf.DUMMYFUNCTION("""COMPUTED_VALUE"""),25.35)</f>
        <v>25.35</v>
      </c>
      <c r="D66" s="726">
        <v>0.05</v>
      </c>
      <c r="E66" s="730">
        <v>2E-3</v>
      </c>
      <c r="F66" s="598">
        <f ca="1">IFERROR(__xludf.DUMMYFUNCTION("""COMPUTED_VALUE"""),2)</f>
        <v>2</v>
      </c>
      <c r="G66" s="57">
        <f ca="1">IFERROR(__xludf.DUMMYFUNCTION("""COMPUTED_VALUE"""),0.1)</f>
        <v>0.1</v>
      </c>
      <c r="H66" s="611">
        <f t="shared" ca="1" si="4"/>
        <v>1.976284584980237E-3</v>
      </c>
      <c r="I66" s="499">
        <f ca="1">IFERROR(__xludf.DUMMYFUNCTION("""COMPUTED_VALUE"""),11)</f>
        <v>11</v>
      </c>
      <c r="J66" s="597" t="str">
        <f ca="1">IFERROR(__xludf.DUMMYFUNCTION("""COMPUTED_VALUE"""),"6265 方土昶")</f>
        <v>6265 方土昶</v>
      </c>
      <c r="K66" s="726">
        <v>62.5</v>
      </c>
      <c r="L66" s="730">
        <v>3.6</v>
      </c>
      <c r="M66" s="598" t="str">
        <f ca="1">IFERROR(__xludf.DUMMYFUNCTION("""COMPUTED_VALUE"""),"+6.11%")</f>
        <v>+6.11%</v>
      </c>
      <c r="N66" s="58">
        <f ca="1">IFERROR(__xludf.DUMMYFUNCTION("""COMPUTED_VALUE"""),14975)</f>
        <v>14975</v>
      </c>
      <c r="O66" s="611">
        <f ca="1">IFERROR(__xludf.DUMMYFUNCTION("""COMPUTED_VALUE"""),0.1267)</f>
        <v>0.12670000000000001</v>
      </c>
      <c r="P66" s="599">
        <f t="shared" si="5"/>
        <v>6.1120543293718167E-2</v>
      </c>
      <c r="Q66" s="499"/>
      <c r="R66" s="726"/>
      <c r="S66" s="730"/>
      <c r="T66" s="511"/>
      <c r="U66" s="511"/>
      <c r="V66" s="732"/>
      <c r="W66" s="8"/>
      <c r="X66" s="595"/>
      <c r="Y66" s="499"/>
      <c r="Z66" s="499"/>
      <c r="AA66" s="726"/>
      <c r="AB66" s="730"/>
      <c r="AC66" s="511"/>
      <c r="AD66" s="511"/>
      <c r="AE66" s="732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spans="1:41" ht="15.5">
      <c r="A67" s="595">
        <f ca="1">IFERROR(__xludf.DUMMYFUNCTION("""COMPUTED_VALUE"""),12)</f>
        <v>12</v>
      </c>
      <c r="B67" s="597" t="str">
        <f ca="1">IFERROR(__xludf.DUMMYFUNCTION("""COMPUTED_VALUE"""),"2465 麗臺")</f>
        <v>2465 麗臺</v>
      </c>
      <c r="C67" s="499">
        <f ca="1">IFERROR(__xludf.DUMMYFUNCTION("""COMPUTED_VALUE"""),95.9)</f>
        <v>95.9</v>
      </c>
      <c r="D67" s="726">
        <v>-9.1</v>
      </c>
      <c r="E67" s="730">
        <v>-8.6699999999999999E-2</v>
      </c>
      <c r="F67" s="598">
        <f ca="1">IFERROR(__xludf.DUMMYFUNCTION("""COMPUTED_VALUE"""),8885)</f>
        <v>8885</v>
      </c>
      <c r="G67" s="57">
        <f ca="1">IFERROR(__xludf.DUMMYFUNCTION("""COMPUTED_VALUE"""),0.0946)</f>
        <v>9.4600000000000004E-2</v>
      </c>
      <c r="H67" s="611">
        <f t="shared" ca="1" si="4"/>
        <v>-8.666666666666667E-2</v>
      </c>
      <c r="I67" s="499">
        <f ca="1">IFERROR(__xludf.DUMMYFUNCTION("""COMPUTED_VALUE"""),12)</f>
        <v>12</v>
      </c>
      <c r="J67" s="597" t="str">
        <f ca="1">IFERROR(__xludf.DUMMYFUNCTION("""COMPUTED_VALUE"""),"00847B中信美國市政債")</f>
        <v>00847B中信美國市政債</v>
      </c>
      <c r="K67" s="726">
        <v>25.13</v>
      </c>
      <c r="L67" s="730">
        <v>-0.12</v>
      </c>
      <c r="M67" s="598">
        <f ca="1">IFERROR(__xludf.DUMMYFUNCTION("""COMPUTED_VALUE"""),-0.0048)</f>
        <v>-4.7999999999999996E-3</v>
      </c>
      <c r="N67" s="58">
        <f ca="1">IFERROR(__xludf.DUMMYFUNCTION("""COMPUTED_VALUE"""),523)</f>
        <v>523</v>
      </c>
      <c r="O67" s="611">
        <f ca="1">IFERROR(__xludf.DUMMYFUNCTION("""COMPUTED_VALUE"""),0.1215)</f>
        <v>0.1215</v>
      </c>
      <c r="P67" s="599">
        <f t="shared" si="5"/>
        <v>-4.7524752475247524E-3</v>
      </c>
      <c r="Q67" s="499"/>
      <c r="R67" s="726"/>
      <c r="S67" s="730"/>
      <c r="T67" s="511"/>
      <c r="U67" s="511"/>
      <c r="V67" s="732"/>
      <c r="W67" s="8"/>
      <c r="X67" s="595"/>
      <c r="Y67" s="499"/>
      <c r="Z67" s="499"/>
      <c r="AA67" s="726"/>
      <c r="AB67" s="730"/>
      <c r="AC67" s="511"/>
      <c r="AD67" s="511"/>
      <c r="AE67" s="732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spans="1:41" ht="15.5">
      <c r="A68" s="595">
        <f ca="1">IFERROR(__xludf.DUMMYFUNCTION("""COMPUTED_VALUE"""),13)</f>
        <v>13</v>
      </c>
      <c r="B68" s="597" t="str">
        <f ca="1">IFERROR(__xludf.DUMMYFUNCTION("""COMPUTED_VALUE"""),"2324 仁寶")</f>
        <v>2324 仁寶</v>
      </c>
      <c r="C68" s="499">
        <f ca="1">IFERROR(__xludf.DUMMYFUNCTION("""COMPUTED_VALUE"""),43.2)</f>
        <v>43.2</v>
      </c>
      <c r="D68" s="726">
        <v>3.9</v>
      </c>
      <c r="E68" s="730">
        <v>9.9199999999999997E-2</v>
      </c>
      <c r="F68" s="598">
        <f ca="1">IFERROR(__xludf.DUMMYFUNCTION("""COMPUTED_VALUE"""),402245)</f>
        <v>402245</v>
      </c>
      <c r="G68" s="57">
        <f ca="1">IFERROR(__xludf.DUMMYFUNCTION("""COMPUTED_VALUE"""),0.0913)</f>
        <v>9.1300000000000006E-2</v>
      </c>
      <c r="H68" s="611">
        <f t="shared" ca="1" si="4"/>
        <v>9.9236641221374031E-2</v>
      </c>
      <c r="I68" s="499">
        <f ca="1">IFERROR(__xludf.DUMMYFUNCTION("""COMPUTED_VALUE"""),13)</f>
        <v>13</v>
      </c>
      <c r="J68" s="597" t="str">
        <f ca="1">IFERROR(__xludf.DUMMYFUNCTION("""COMPUTED_VALUE"""),"6173 信昌電")</f>
        <v>6173 信昌電</v>
      </c>
      <c r="K68" s="726">
        <v>210</v>
      </c>
      <c r="L68" s="730">
        <v>-13.5</v>
      </c>
      <c r="M68" s="598">
        <f ca="1">IFERROR(__xludf.DUMMYFUNCTION("""COMPUTED_VALUE"""),-0.0604)</f>
        <v>-6.0400000000000002E-2</v>
      </c>
      <c r="N68" s="58">
        <f ca="1">IFERROR(__xludf.DUMMYFUNCTION("""COMPUTED_VALUE"""),19106)</f>
        <v>19106</v>
      </c>
      <c r="O68" s="611">
        <f ca="1">IFERROR(__xludf.DUMMYFUNCTION("""COMPUTED_VALUE"""),0.1116)</f>
        <v>0.1116</v>
      </c>
      <c r="P68" s="599">
        <f t="shared" si="5"/>
        <v>-6.0402684563758392E-2</v>
      </c>
      <c r="Q68" s="499"/>
      <c r="R68" s="726"/>
      <c r="S68" s="730"/>
      <c r="T68" s="511"/>
      <c r="U68" s="511"/>
      <c r="V68" s="732"/>
      <c r="W68" s="8"/>
      <c r="X68" s="595"/>
      <c r="Y68" s="499"/>
      <c r="Z68" s="499"/>
      <c r="AA68" s="726"/>
      <c r="AB68" s="730"/>
      <c r="AC68" s="511"/>
      <c r="AD68" s="511"/>
      <c r="AE68" s="732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spans="1:41" ht="15.5">
      <c r="A69" s="595">
        <f ca="1">IFERROR(__xludf.DUMMYFUNCTION("""COMPUTED_VALUE"""),14)</f>
        <v>14</v>
      </c>
      <c r="B69" s="597" t="str">
        <f ca="1">IFERROR(__xludf.DUMMYFUNCTION("""COMPUTED_VALUE"""),"2634 漢翔")</f>
        <v>2634 漢翔</v>
      </c>
      <c r="C69" s="499">
        <f ca="1">IFERROR(__xludf.DUMMYFUNCTION("""COMPUTED_VALUE"""),70.6)</f>
        <v>70.599999999999994</v>
      </c>
      <c r="D69" s="726">
        <v>6.4</v>
      </c>
      <c r="E69" s="730">
        <v>9.9699999999999997E-2</v>
      </c>
      <c r="F69" s="598">
        <f ca="1">IFERROR(__xludf.DUMMYFUNCTION("""COMPUTED_VALUE"""),79395)</f>
        <v>79395</v>
      </c>
      <c r="G69" s="57">
        <f ca="1">IFERROR(__xludf.DUMMYFUNCTION("""COMPUTED_VALUE"""),0.0843)</f>
        <v>8.43E-2</v>
      </c>
      <c r="H69" s="611">
        <f t="shared" ca="1" si="4"/>
        <v>9.9688473520249246E-2</v>
      </c>
      <c r="I69" s="499">
        <f ca="1">IFERROR(__xludf.DUMMYFUNCTION("""COMPUTED_VALUE"""),14)</f>
        <v>14</v>
      </c>
      <c r="J69" s="597" t="str">
        <f ca="1">IFERROR(__xludf.DUMMYFUNCTION("""COMPUTED_VALUE"""),"3498 陽程")</f>
        <v>3498 陽程</v>
      </c>
      <c r="K69" s="726">
        <v>158</v>
      </c>
      <c r="L69" s="730">
        <v>14</v>
      </c>
      <c r="M69" s="598" t="str">
        <f ca="1">IFERROR(__xludf.DUMMYFUNCTION("""COMPUTED_VALUE"""),"+9.72%")</f>
        <v>+9.72%</v>
      </c>
      <c r="N69" s="58">
        <f ca="1">IFERROR(__xludf.DUMMYFUNCTION("""COMPUTED_VALUE"""),6332)</f>
        <v>6332</v>
      </c>
      <c r="O69" s="611">
        <f ca="1">IFERROR(__xludf.DUMMYFUNCTION("""COMPUTED_VALUE"""),0.1033)</f>
        <v>0.1033</v>
      </c>
      <c r="P69" s="599">
        <f t="shared" si="5"/>
        <v>9.7222222222222224E-2</v>
      </c>
      <c r="Q69" s="499"/>
      <c r="R69" s="726"/>
      <c r="S69" s="730"/>
      <c r="T69" s="511"/>
      <c r="U69" s="511"/>
      <c r="V69" s="732"/>
      <c r="W69" s="8"/>
      <c r="X69" s="595"/>
      <c r="Y69" s="499"/>
      <c r="Z69" s="499"/>
      <c r="AA69" s="726"/>
      <c r="AB69" s="730"/>
      <c r="AC69" s="511"/>
      <c r="AD69" s="511"/>
      <c r="AE69" s="732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spans="1:41" ht="15.5">
      <c r="A70" s="595">
        <f ca="1">IFERROR(__xludf.DUMMYFUNCTION("""COMPUTED_VALUE"""),15)</f>
        <v>15</v>
      </c>
      <c r="B70" s="597" t="str">
        <f ca="1">IFERROR(__xludf.DUMMYFUNCTION("""COMPUTED_VALUE"""),"2484 希華")</f>
        <v>2484 希華</v>
      </c>
      <c r="C70" s="499">
        <f ca="1">IFERROR(__xludf.DUMMYFUNCTION("""COMPUTED_VALUE"""),72.8)</f>
        <v>72.8</v>
      </c>
      <c r="D70" s="726">
        <v>-3.1</v>
      </c>
      <c r="E70" s="730">
        <v>-4.0800000000000003E-2</v>
      </c>
      <c r="F70" s="598">
        <f ca="1">IFERROR(__xludf.DUMMYFUNCTION("""COMPUTED_VALUE"""),13328)</f>
        <v>13328</v>
      </c>
      <c r="G70" s="57">
        <f ca="1">IFERROR(__xludf.DUMMYFUNCTION("""COMPUTED_VALUE"""),0.0836)</f>
        <v>8.3599999999999994E-2</v>
      </c>
      <c r="H70" s="611">
        <f t="shared" ca="1" si="4"/>
        <v>-4.0843214756258239E-2</v>
      </c>
      <c r="I70" s="499">
        <f ca="1">IFERROR(__xludf.DUMMYFUNCTION("""COMPUTED_VALUE"""),15)</f>
        <v>15</v>
      </c>
      <c r="J70" s="597" t="str">
        <f ca="1">IFERROR(__xludf.DUMMYFUNCTION("""COMPUTED_VALUE"""),"3624 光頡")</f>
        <v>3624 光頡</v>
      </c>
      <c r="K70" s="726">
        <v>89.5</v>
      </c>
      <c r="L70" s="730">
        <v>-5.6</v>
      </c>
      <c r="M70" s="598">
        <f ca="1">IFERROR(__xludf.DUMMYFUNCTION("""COMPUTED_VALUE"""),-0.0589)</f>
        <v>-5.8900000000000001E-2</v>
      </c>
      <c r="N70" s="58">
        <f ca="1">IFERROR(__xludf.DUMMYFUNCTION("""COMPUTED_VALUE"""),11250)</f>
        <v>11250</v>
      </c>
      <c r="O70" s="611">
        <f ca="1">IFERROR(__xludf.DUMMYFUNCTION("""COMPUTED_VALUE"""),0.0959)</f>
        <v>9.5899999999999999E-2</v>
      </c>
      <c r="P70" s="599">
        <f t="shared" si="5"/>
        <v>-5.8885383806519455E-2</v>
      </c>
      <c r="Q70" s="499"/>
      <c r="R70" s="726"/>
      <c r="S70" s="730"/>
      <c r="T70" s="511"/>
      <c r="U70" s="511"/>
      <c r="V70" s="732"/>
      <c r="W70" s="8"/>
      <c r="X70" s="595"/>
      <c r="Y70" s="499"/>
      <c r="Z70" s="499"/>
      <c r="AA70" s="726"/>
      <c r="AB70" s="730"/>
      <c r="AC70" s="511"/>
      <c r="AD70" s="511"/>
      <c r="AE70" s="732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spans="1:41" ht="15.5">
      <c r="A71" s="595">
        <f ca="1">IFERROR(__xludf.DUMMYFUNCTION("""COMPUTED_VALUE"""),16)</f>
        <v>16</v>
      </c>
      <c r="B71" s="597" t="str">
        <f ca="1">IFERROR(__xludf.DUMMYFUNCTION("""COMPUTED_VALUE"""),"00686R群益臺灣加權反1")</f>
        <v>00686R群益臺灣加權反1</v>
      </c>
      <c r="C71" s="499">
        <f ca="1">IFERROR(__xludf.DUMMYFUNCTION("""COMPUTED_VALUE"""),0.99)</f>
        <v>0.99</v>
      </c>
      <c r="D71" s="726">
        <v>0</v>
      </c>
      <c r="E71" s="730">
        <v>0</v>
      </c>
      <c r="F71" s="598">
        <f ca="1">IFERROR(__xludf.DUMMYFUNCTION("""COMPUTED_VALUE"""),18124)</f>
        <v>18124</v>
      </c>
      <c r="G71" s="57">
        <f ca="1">IFERROR(__xludf.DUMMYFUNCTION("""COMPUTED_VALUE"""),0.0834)</f>
        <v>8.3400000000000002E-2</v>
      </c>
      <c r="H71" s="611">
        <f t="shared" ca="1" si="4"/>
        <v>0</v>
      </c>
      <c r="I71" s="499">
        <f ca="1">IFERROR(__xludf.DUMMYFUNCTION("""COMPUTED_VALUE"""),16)</f>
        <v>16</v>
      </c>
      <c r="J71" s="597" t="str">
        <f ca="1">IFERROR(__xludf.DUMMYFUNCTION("""COMPUTED_VALUE"""),"5371 中光電")</f>
        <v>5371 中光電</v>
      </c>
      <c r="K71" s="726">
        <v>90.1</v>
      </c>
      <c r="L71" s="730">
        <v>3.8</v>
      </c>
      <c r="M71" s="598" t="str">
        <f ca="1">IFERROR(__xludf.DUMMYFUNCTION("""COMPUTED_VALUE"""),"+4.40%")</f>
        <v>+4.40%</v>
      </c>
      <c r="N71" s="58">
        <f ca="1">IFERROR(__xludf.DUMMYFUNCTION("""COMPUTED_VALUE"""),36824)</f>
        <v>36824</v>
      </c>
      <c r="O71" s="611">
        <f ca="1">IFERROR(__xludf.DUMMYFUNCTION("""COMPUTED_VALUE"""),0.0942)</f>
        <v>9.4200000000000006E-2</v>
      </c>
      <c r="P71" s="599">
        <f t="shared" si="5"/>
        <v>4.4032444959443799E-2</v>
      </c>
      <c r="Q71" s="499"/>
      <c r="R71" s="726"/>
      <c r="S71" s="730"/>
      <c r="T71" s="511"/>
      <c r="U71" s="511"/>
      <c r="V71" s="732"/>
      <c r="W71" s="8"/>
      <c r="X71" s="595"/>
      <c r="Y71" s="499"/>
      <c r="Z71" s="499"/>
      <c r="AA71" s="726"/>
      <c r="AB71" s="730"/>
      <c r="AC71" s="511"/>
      <c r="AD71" s="511"/>
      <c r="AE71" s="732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spans="1:41" ht="15.5">
      <c r="A72" s="595">
        <f ca="1">IFERROR(__xludf.DUMMYFUNCTION("""COMPUTED_VALUE"""),17)</f>
        <v>17</v>
      </c>
      <c r="B72" s="597" t="str">
        <f ca="1">IFERROR(__xludf.DUMMYFUNCTION("""COMPUTED_VALUE"""),"00961 FT臺灣永續高息")</f>
        <v>00961 FT臺灣永續高息</v>
      </c>
      <c r="C72" s="499">
        <f ca="1">IFERROR(__xludf.DUMMYFUNCTION("""COMPUTED_VALUE"""),13.44)</f>
        <v>13.44</v>
      </c>
      <c r="D72" s="726">
        <v>0.13</v>
      </c>
      <c r="E72" s="730">
        <v>9.7999999999999997E-3</v>
      </c>
      <c r="F72" s="598">
        <f ca="1">IFERROR(__xludf.DUMMYFUNCTION("""COMPUTED_VALUE"""),48033)</f>
        <v>48033</v>
      </c>
      <c r="G72" s="57">
        <f ca="1">IFERROR(__xludf.DUMMYFUNCTION("""COMPUTED_VALUE"""),0.0815)</f>
        <v>8.1500000000000003E-2</v>
      </c>
      <c r="H72" s="611">
        <f t="shared" ca="1" si="4"/>
        <v>9.7670924117205116E-3</v>
      </c>
      <c r="I72" s="499">
        <f ca="1">IFERROR(__xludf.DUMMYFUNCTION("""COMPUTED_VALUE"""),17)</f>
        <v>17</v>
      </c>
      <c r="J72" s="597" t="str">
        <f ca="1">IFERROR(__xludf.DUMMYFUNCTION("""COMPUTED_VALUE"""),"5328 華容")</f>
        <v>5328 華容</v>
      </c>
      <c r="K72" s="726">
        <v>67.2</v>
      </c>
      <c r="L72" s="730">
        <v>-1.6</v>
      </c>
      <c r="M72" s="598">
        <f ca="1">IFERROR(__xludf.DUMMYFUNCTION("""COMPUTED_VALUE"""),-0.0233)</f>
        <v>-2.3300000000000001E-2</v>
      </c>
      <c r="N72" s="58">
        <f ca="1">IFERROR(__xludf.DUMMYFUNCTION("""COMPUTED_VALUE"""),14952)</f>
        <v>14952</v>
      </c>
      <c r="O72" s="611">
        <f ca="1">IFERROR(__xludf.DUMMYFUNCTION("""COMPUTED_VALUE"""),0.0866)</f>
        <v>8.6599999999999996E-2</v>
      </c>
      <c r="P72" s="599">
        <f t="shared" si="5"/>
        <v>-2.3255813953488375E-2</v>
      </c>
      <c r="Q72" s="499"/>
      <c r="R72" s="726"/>
      <c r="S72" s="730"/>
      <c r="T72" s="511"/>
      <c r="U72" s="511"/>
      <c r="V72" s="732"/>
      <c r="W72" s="8"/>
      <c r="X72" s="595"/>
      <c r="Y72" s="499"/>
      <c r="Z72" s="499"/>
      <c r="AA72" s="726"/>
      <c r="AB72" s="730"/>
      <c r="AC72" s="511"/>
      <c r="AD72" s="511"/>
      <c r="AE72" s="732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spans="1:41" ht="15.5">
      <c r="A73" s="595">
        <f ca="1">IFERROR(__xludf.DUMMYFUNCTION("""COMPUTED_VALUE"""),18)</f>
        <v>18</v>
      </c>
      <c r="B73" s="597" t="str">
        <f ca="1">IFERROR(__xludf.DUMMYFUNCTION("""COMPUTED_VALUE"""),"1810 和成")</f>
        <v>1810 和成</v>
      </c>
      <c r="C73" s="499">
        <f ca="1">IFERROR(__xludf.DUMMYFUNCTION("""COMPUTED_VALUE"""),27.55)</f>
        <v>27.55</v>
      </c>
      <c r="D73" s="726">
        <v>2.5</v>
      </c>
      <c r="E73" s="730">
        <v>9.98E-2</v>
      </c>
      <c r="F73" s="598">
        <f ca="1">IFERROR(__xludf.DUMMYFUNCTION("""COMPUTED_VALUE"""),24344)</f>
        <v>24344</v>
      </c>
      <c r="G73" s="57">
        <f ca="1">IFERROR(__xludf.DUMMYFUNCTION("""COMPUTED_VALUE"""),0.0805)</f>
        <v>8.0500000000000002E-2</v>
      </c>
      <c r="H73" s="611">
        <f t="shared" ca="1" si="4"/>
        <v>9.9800399201596807E-2</v>
      </c>
      <c r="I73" s="499">
        <f ca="1">IFERROR(__xludf.DUMMYFUNCTION("""COMPUTED_VALUE"""),18)</f>
        <v>18</v>
      </c>
      <c r="J73" s="597" t="str">
        <f ca="1">IFERROR(__xludf.DUMMYFUNCTION("""COMPUTED_VALUE"""),"2061 風青")</f>
        <v>2061 風青</v>
      </c>
      <c r="K73" s="726">
        <v>50.7</v>
      </c>
      <c r="L73" s="730">
        <v>-5.6</v>
      </c>
      <c r="M73" s="598">
        <f ca="1">IFERROR(__xludf.DUMMYFUNCTION("""COMPUTED_VALUE"""),-0.0995)</f>
        <v>-9.9500000000000005E-2</v>
      </c>
      <c r="N73" s="58">
        <f ca="1">IFERROR(__xludf.DUMMYFUNCTION("""COMPUTED_VALUE"""),4853)</f>
        <v>4853</v>
      </c>
      <c r="O73" s="611">
        <f ca="1">IFERROR(__xludf.DUMMYFUNCTION("""COMPUTED_VALUE"""),0.0846)</f>
        <v>8.4599999999999995E-2</v>
      </c>
      <c r="P73" s="599">
        <f t="shared" si="5"/>
        <v>-9.9467140319715791E-2</v>
      </c>
      <c r="Q73" s="499"/>
      <c r="R73" s="726"/>
      <c r="S73" s="730"/>
      <c r="T73" s="511"/>
      <c r="U73" s="511"/>
      <c r="V73" s="732"/>
      <c r="W73" s="8"/>
      <c r="X73" s="595"/>
      <c r="Y73" s="499"/>
      <c r="Z73" s="499"/>
      <c r="AA73" s="726"/>
      <c r="AB73" s="730"/>
      <c r="AC73" s="511"/>
      <c r="AD73" s="511"/>
      <c r="AE73" s="732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spans="1:41" ht="15.5">
      <c r="A74" s="595">
        <f ca="1">IFERROR(__xludf.DUMMYFUNCTION("""COMPUTED_VALUE"""),19)</f>
        <v>19</v>
      </c>
      <c r="B74" s="597" t="str">
        <f ca="1">IFERROR(__xludf.DUMMYFUNCTION("""COMPUTED_VALUE"""),"6672 騰輝電子-KY")</f>
        <v>6672 騰輝電子-KY</v>
      </c>
      <c r="C74" s="499">
        <f ca="1">IFERROR(__xludf.DUMMYFUNCTION("""COMPUTED_VALUE"""),270)</f>
        <v>270</v>
      </c>
      <c r="D74" s="726">
        <v>5.5</v>
      </c>
      <c r="E74" s="730">
        <v>2.0799999999999999E-2</v>
      </c>
      <c r="F74" s="598">
        <f ca="1">IFERROR(__xludf.DUMMYFUNCTION("""COMPUTED_VALUE"""),6295)</f>
        <v>6295</v>
      </c>
      <c r="G74" s="57">
        <f ca="1">IFERROR(__xludf.DUMMYFUNCTION("""COMPUTED_VALUE"""),0.0771)</f>
        <v>7.7100000000000002E-2</v>
      </c>
      <c r="H74" s="611">
        <f t="shared" ca="1" si="4"/>
        <v>2.0793950850661626E-2</v>
      </c>
      <c r="I74" s="499">
        <f ca="1">IFERROR(__xludf.DUMMYFUNCTION("""COMPUTED_VALUE"""),19)</f>
        <v>19</v>
      </c>
      <c r="J74" s="597" t="str">
        <f ca="1">IFERROR(__xludf.DUMMYFUNCTION("""COMPUTED_VALUE"""),"8299 群聯")</f>
        <v>8299 群聯</v>
      </c>
      <c r="K74" s="726">
        <v>2080</v>
      </c>
      <c r="L74" s="730">
        <v>-200</v>
      </c>
      <c r="M74" s="598">
        <f ca="1">IFERROR(__xludf.DUMMYFUNCTION("""COMPUTED_VALUE"""),-0.0877)</f>
        <v>-8.77E-2</v>
      </c>
      <c r="N74" s="58">
        <f ca="1">IFERROR(__xludf.DUMMYFUNCTION("""COMPUTED_VALUE"""),16636)</f>
        <v>16636</v>
      </c>
      <c r="O74" s="611">
        <f ca="1">IFERROR(__xludf.DUMMYFUNCTION("""COMPUTED_VALUE"""),0.0752)</f>
        <v>7.5200000000000003E-2</v>
      </c>
      <c r="P74" s="599">
        <f t="shared" si="5"/>
        <v>-8.771929824561403E-2</v>
      </c>
      <c r="Q74" s="499"/>
      <c r="R74" s="726"/>
      <c r="S74" s="730"/>
      <c r="T74" s="511"/>
      <c r="U74" s="511"/>
      <c r="V74" s="732"/>
      <c r="W74" s="8"/>
      <c r="X74" s="595"/>
      <c r="Y74" s="499"/>
      <c r="Z74" s="499"/>
      <c r="AA74" s="726"/>
      <c r="AB74" s="730"/>
      <c r="AC74" s="511"/>
      <c r="AD74" s="511"/>
      <c r="AE74" s="732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spans="1:41" ht="15.5">
      <c r="A75" s="595">
        <f ca="1">IFERROR(__xludf.DUMMYFUNCTION("""COMPUTED_VALUE"""),20)</f>
        <v>20</v>
      </c>
      <c r="B75" s="597" t="str">
        <f ca="1">IFERROR(__xludf.DUMMYFUNCTION("""COMPUTED_VALUE"""),"00668 國泰美國道瓊")</f>
        <v>00668 國泰美國道瓊</v>
      </c>
      <c r="C75" s="499">
        <f ca="1">IFERROR(__xludf.DUMMYFUNCTION("""COMPUTED_VALUE"""),63)</f>
        <v>63</v>
      </c>
      <c r="D75" s="726">
        <v>-0.1</v>
      </c>
      <c r="E75" s="730">
        <v>-1.6000000000000001E-3</v>
      </c>
      <c r="F75" s="598">
        <f ca="1">IFERROR(__xludf.DUMMYFUNCTION("""COMPUTED_VALUE"""),561)</f>
        <v>561</v>
      </c>
      <c r="G75" s="57">
        <f ca="1">IFERROR(__xludf.DUMMYFUNCTION("""COMPUTED_VALUE"""),0.075)</f>
        <v>7.4999999999999997E-2</v>
      </c>
      <c r="H75" s="611">
        <f t="shared" ca="1" si="4"/>
        <v>-1.5847860538827259E-3</v>
      </c>
      <c r="I75" s="499">
        <f ca="1">IFERROR(__xludf.DUMMYFUNCTION("""COMPUTED_VALUE"""),20)</f>
        <v>20</v>
      </c>
      <c r="J75" s="597" t="str">
        <f ca="1">IFERROR(__xludf.DUMMYFUNCTION("""COMPUTED_VALUE"""),"6840 東研信超")</f>
        <v>6840 東研信超</v>
      </c>
      <c r="K75" s="726">
        <v>81</v>
      </c>
      <c r="L75" s="730">
        <v>5.4</v>
      </c>
      <c r="M75" s="598" t="str">
        <f ca="1">IFERROR(__xludf.DUMMYFUNCTION("""COMPUTED_VALUE"""),"+7.14%")</f>
        <v>+7.14%</v>
      </c>
      <c r="N75" s="58">
        <f ca="1">IFERROR(__xludf.DUMMYFUNCTION("""COMPUTED_VALUE"""),2309)</f>
        <v>2309</v>
      </c>
      <c r="O75" s="611">
        <f ca="1">IFERROR(__xludf.DUMMYFUNCTION("""COMPUTED_VALUE"""),0.0751)</f>
        <v>7.51E-2</v>
      </c>
      <c r="P75" s="599">
        <f t="shared" si="5"/>
        <v>7.1428571428571438E-2</v>
      </c>
      <c r="Q75" s="499"/>
      <c r="R75" s="726"/>
      <c r="S75" s="730"/>
      <c r="T75" s="511"/>
      <c r="U75" s="511"/>
      <c r="V75" s="732"/>
      <c r="W75" s="8"/>
      <c r="X75" s="595"/>
      <c r="Y75" s="499"/>
      <c r="Z75" s="499"/>
      <c r="AA75" s="726"/>
      <c r="AB75" s="730"/>
      <c r="AC75" s="511"/>
      <c r="AD75" s="511"/>
      <c r="AE75" s="732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spans="1:41" ht="15.5">
      <c r="A76" s="595">
        <f ca="1">IFERROR(__xludf.DUMMYFUNCTION("""COMPUTED_VALUE"""),21)</f>
        <v>21</v>
      </c>
      <c r="B76" s="597" t="str">
        <f ca="1">IFERROR(__xludf.DUMMYFUNCTION("""COMPUTED_VALUE"""),"8222 寶一")</f>
        <v>8222 寶一</v>
      </c>
      <c r="C76" s="499">
        <f ca="1">IFERROR(__xludf.DUMMYFUNCTION("""COMPUTED_VALUE"""),41.3)</f>
        <v>41.3</v>
      </c>
      <c r="D76" s="726">
        <v>1.75</v>
      </c>
      <c r="E76" s="730">
        <v>4.4200000000000003E-2</v>
      </c>
      <c r="F76" s="598">
        <f ca="1">IFERROR(__xludf.DUMMYFUNCTION("""COMPUTED_VALUE"""),4902)</f>
        <v>4902</v>
      </c>
      <c r="G76" s="57">
        <f ca="1">IFERROR(__xludf.DUMMYFUNCTION("""COMPUTED_VALUE"""),0.0715)</f>
        <v>7.1499999999999994E-2</v>
      </c>
      <c r="H76" s="611">
        <f t="shared" ca="1" si="4"/>
        <v>4.4247787610619475E-2</v>
      </c>
      <c r="I76" s="499">
        <f ca="1">IFERROR(__xludf.DUMMYFUNCTION("""COMPUTED_VALUE"""),21)</f>
        <v>21</v>
      </c>
      <c r="J76" s="597" t="str">
        <f ca="1">IFERROR(__xludf.DUMMYFUNCTION("""COMPUTED_VALUE"""),"6727 亞泰金屬")</f>
        <v>6727 亞泰金屬</v>
      </c>
      <c r="K76" s="726">
        <v>432</v>
      </c>
      <c r="L76" s="730">
        <v>39</v>
      </c>
      <c r="M76" s="598" t="str">
        <f ca="1">IFERROR(__xludf.DUMMYFUNCTION("""COMPUTED_VALUE"""),"+9.92%")</f>
        <v>+9.92%</v>
      </c>
      <c r="N76" s="58">
        <f ca="1">IFERROR(__xludf.DUMMYFUNCTION("""COMPUTED_VALUE"""),1947)</f>
        <v>1947</v>
      </c>
      <c r="O76" s="611">
        <f ca="1">IFERROR(__xludf.DUMMYFUNCTION("""COMPUTED_VALUE"""),0.0724)</f>
        <v>7.2400000000000006E-2</v>
      </c>
      <c r="P76" s="599">
        <f t="shared" si="5"/>
        <v>9.9236641221374045E-2</v>
      </c>
      <c r="Q76" s="499"/>
      <c r="R76" s="726"/>
      <c r="S76" s="730"/>
      <c r="T76" s="511"/>
      <c r="U76" s="511"/>
      <c r="V76" s="732"/>
      <c r="W76" s="8"/>
      <c r="X76" s="595"/>
      <c r="Y76" s="499"/>
      <c r="Z76" s="499"/>
      <c r="AA76" s="726"/>
      <c r="AB76" s="730"/>
      <c r="AC76" s="511"/>
      <c r="AD76" s="511"/>
      <c r="AE76" s="732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spans="1:41" ht="15.5">
      <c r="A77" s="595">
        <f ca="1">IFERROR(__xludf.DUMMYFUNCTION("""COMPUTED_VALUE"""),22)</f>
        <v>22</v>
      </c>
      <c r="B77" s="597" t="str">
        <f ca="1">IFERROR(__xludf.DUMMYFUNCTION("""COMPUTED_VALUE"""),"6753 龍德造船")</f>
        <v>6753 龍德造船</v>
      </c>
      <c r="C77" s="499">
        <f ca="1">IFERROR(__xludf.DUMMYFUNCTION("""COMPUTED_VALUE"""),158)</f>
        <v>158</v>
      </c>
      <c r="D77" s="726">
        <v>14</v>
      </c>
      <c r="E77" s="730">
        <v>9.7199999999999995E-2</v>
      </c>
      <c r="F77" s="598">
        <f ca="1">IFERROR(__xludf.DUMMYFUNCTION("""COMPUTED_VALUE"""),8145)</f>
        <v>8145</v>
      </c>
      <c r="G77" s="57">
        <f ca="1">IFERROR(__xludf.DUMMYFUNCTION("""COMPUTED_VALUE"""),0.0695)</f>
        <v>6.9500000000000006E-2</v>
      </c>
      <c r="H77" s="611">
        <f t="shared" ca="1" si="4"/>
        <v>9.7222222222222224E-2</v>
      </c>
      <c r="I77" s="499">
        <f ca="1">IFERROR(__xludf.DUMMYFUNCTION("""COMPUTED_VALUE"""),22)</f>
        <v>22</v>
      </c>
      <c r="J77" s="597" t="str">
        <f ca="1">IFERROR(__xludf.DUMMYFUNCTION("""COMPUTED_VALUE"""),"009825聯邦美國金融創新")</f>
        <v>009825聯邦美國金融創新</v>
      </c>
      <c r="K77" s="726">
        <v>10.24</v>
      </c>
      <c r="L77" s="730">
        <v>0.14000000000000001</v>
      </c>
      <c r="M77" s="598" t="str">
        <f ca="1">IFERROR(__xludf.DUMMYFUNCTION("""COMPUTED_VALUE"""),"+1.39%")</f>
        <v>+1.39%</v>
      </c>
      <c r="N77" s="58">
        <f ca="1">IFERROR(__xludf.DUMMYFUNCTION("""COMPUTED_VALUE"""),10521)</f>
        <v>10521</v>
      </c>
      <c r="O77" s="611">
        <f ca="1">IFERROR(__xludf.DUMMYFUNCTION("""COMPUTED_VALUE"""),0.0687)</f>
        <v>6.8699999999999997E-2</v>
      </c>
      <c r="P77" s="599">
        <f t="shared" si="5"/>
        <v>1.3861386138613863E-2</v>
      </c>
      <c r="Q77" s="499"/>
      <c r="R77" s="726"/>
      <c r="S77" s="730"/>
      <c r="T77" s="511"/>
      <c r="U77" s="511"/>
      <c r="V77" s="732"/>
      <c r="W77" s="8"/>
      <c r="X77" s="595"/>
      <c r="Y77" s="499"/>
      <c r="Z77" s="499"/>
      <c r="AA77" s="726"/>
      <c r="AB77" s="730"/>
      <c r="AC77" s="511"/>
      <c r="AD77" s="511"/>
      <c r="AE77" s="732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spans="1:41" ht="15.5">
      <c r="A78" s="595">
        <f ca="1">IFERROR(__xludf.DUMMYFUNCTION("""COMPUTED_VALUE"""),23)</f>
        <v>23</v>
      </c>
      <c r="B78" s="597" t="str">
        <f ca="1">IFERROR(__xludf.DUMMYFUNCTION("""COMPUTED_VALUE"""),"8271 宇瞻")</f>
        <v>8271 宇瞻</v>
      </c>
      <c r="C78" s="499">
        <f ca="1">IFERROR(__xludf.DUMMYFUNCTION("""COMPUTED_VALUE"""),233)</f>
        <v>233</v>
      </c>
      <c r="D78" s="726">
        <v>3.5</v>
      </c>
      <c r="E78" s="730">
        <v>1.5299999999999999E-2</v>
      </c>
      <c r="F78" s="598">
        <f ca="1">IFERROR(__xludf.DUMMYFUNCTION("""COMPUTED_VALUE"""),8476)</f>
        <v>8476</v>
      </c>
      <c r="G78" s="57">
        <f ca="1">IFERROR(__xludf.DUMMYFUNCTION("""COMPUTED_VALUE"""),0.0686)</f>
        <v>6.8599999999999994E-2</v>
      </c>
      <c r="H78" s="611">
        <f t="shared" ca="1" si="4"/>
        <v>1.5250544662309368E-2</v>
      </c>
      <c r="I78" s="499">
        <f ca="1">IFERROR(__xludf.DUMMYFUNCTION("""COMPUTED_VALUE"""),23)</f>
        <v>23</v>
      </c>
      <c r="J78" s="597" t="str">
        <f ca="1">IFERROR(__xludf.DUMMYFUNCTION("""COMPUTED_VALUE"""),"6716 應廣")</f>
        <v>6716 應廣</v>
      </c>
      <c r="K78" s="726">
        <v>123.5</v>
      </c>
      <c r="L78" s="730">
        <v>6</v>
      </c>
      <c r="M78" s="598" t="str">
        <f ca="1">IFERROR(__xludf.DUMMYFUNCTION("""COMPUTED_VALUE"""),"+5.11%")</f>
        <v>+5.11%</v>
      </c>
      <c r="N78" s="58">
        <f ca="1">IFERROR(__xludf.DUMMYFUNCTION("""COMPUTED_VALUE"""),2078)</f>
        <v>2078</v>
      </c>
      <c r="O78" s="611">
        <f ca="1">IFERROR(__xludf.DUMMYFUNCTION("""COMPUTED_VALUE"""),0.0687)</f>
        <v>6.8699999999999997E-2</v>
      </c>
      <c r="P78" s="599">
        <f t="shared" si="5"/>
        <v>5.106382978723404E-2</v>
      </c>
      <c r="Q78" s="499"/>
      <c r="R78" s="726"/>
      <c r="S78" s="730"/>
      <c r="T78" s="511"/>
      <c r="U78" s="511"/>
      <c r="V78" s="732"/>
      <c r="W78" s="8"/>
      <c r="X78" s="595"/>
      <c r="Y78" s="499"/>
      <c r="Z78" s="499"/>
      <c r="AA78" s="726"/>
      <c r="AB78" s="730"/>
      <c r="AC78" s="511"/>
      <c r="AD78" s="511"/>
      <c r="AE78" s="732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spans="1:41" ht="15.5">
      <c r="A79" s="595">
        <f ca="1">IFERROR(__xludf.DUMMYFUNCTION("""COMPUTED_VALUE"""),24)</f>
        <v>24</v>
      </c>
      <c r="B79" s="597" t="str">
        <f ca="1">IFERROR(__xludf.DUMMYFUNCTION("""COMPUTED_VALUE"""),"4989 榮科")</f>
        <v>4989 榮科</v>
      </c>
      <c r="C79" s="499">
        <f ca="1">IFERROR(__xludf.DUMMYFUNCTION("""COMPUTED_VALUE"""),64.8)</f>
        <v>64.8</v>
      </c>
      <c r="D79" s="726">
        <v>-4.5</v>
      </c>
      <c r="E79" s="730">
        <v>-6.4899999999999999E-2</v>
      </c>
      <c r="F79" s="598">
        <f ca="1">IFERROR(__xludf.DUMMYFUNCTION("""COMPUTED_VALUE"""),11657)</f>
        <v>11657</v>
      </c>
      <c r="G79" s="57">
        <f ca="1">IFERROR(__xludf.DUMMYFUNCTION("""COMPUTED_VALUE"""),0.0675)</f>
        <v>6.7500000000000004E-2</v>
      </c>
      <c r="H79" s="611">
        <f t="shared" ca="1" si="4"/>
        <v>-6.4935064935064943E-2</v>
      </c>
      <c r="I79" s="499">
        <f ca="1">IFERROR(__xludf.DUMMYFUNCTION("""COMPUTED_VALUE"""),24)</f>
        <v>24</v>
      </c>
      <c r="J79" s="597" t="str">
        <f ca="1">IFERROR(__xludf.DUMMYFUNCTION("""COMPUTED_VALUE"""),"3374 精材")</f>
        <v>3374 精材</v>
      </c>
      <c r="K79" s="726">
        <v>325</v>
      </c>
      <c r="L79" s="730">
        <v>0</v>
      </c>
      <c r="M79" s="598">
        <f ca="1">IFERROR(__xludf.DUMMYFUNCTION("""COMPUTED_VALUE"""),0)</f>
        <v>0</v>
      </c>
      <c r="N79" s="58">
        <f ca="1">IFERROR(__xludf.DUMMYFUNCTION("""COMPUTED_VALUE"""),18546)</f>
        <v>18546</v>
      </c>
      <c r="O79" s="611">
        <f ca="1">IFERROR(__xludf.DUMMYFUNCTION("""COMPUTED_VALUE"""),0.0683)</f>
        <v>6.83E-2</v>
      </c>
      <c r="P79" s="599">
        <f t="shared" si="5"/>
        <v>0</v>
      </c>
      <c r="Q79" s="499"/>
      <c r="R79" s="726"/>
      <c r="S79" s="730"/>
      <c r="T79" s="511"/>
      <c r="U79" s="511"/>
      <c r="V79" s="732"/>
      <c r="W79" s="8"/>
      <c r="X79" s="595"/>
      <c r="Y79" s="499"/>
      <c r="Z79" s="499"/>
      <c r="AA79" s="726"/>
      <c r="AB79" s="730"/>
      <c r="AC79" s="511"/>
      <c r="AD79" s="511"/>
      <c r="AE79" s="732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spans="1:41" ht="15.5">
      <c r="A80" s="595">
        <f ca="1">IFERROR(__xludf.DUMMYFUNCTION("""COMPUTED_VALUE"""),25)</f>
        <v>25</v>
      </c>
      <c r="B80" s="597" t="str">
        <f ca="1">IFERROR(__xludf.DUMMYFUNCTION("""COMPUTED_VALUE"""),"8996 高力")</f>
        <v>8996 高力</v>
      </c>
      <c r="C80" s="600">
        <f ca="1">IFERROR(__xludf.DUMMYFUNCTION("""COMPUTED_VALUE"""),1280)</f>
        <v>1280</v>
      </c>
      <c r="D80" s="726">
        <v>-5</v>
      </c>
      <c r="E80" s="730">
        <v>-3.8999999999999998E-3</v>
      </c>
      <c r="F80" s="598">
        <f ca="1">IFERROR(__xludf.DUMMYFUNCTION("""COMPUTED_VALUE"""),6189)</f>
        <v>6189</v>
      </c>
      <c r="G80" s="57">
        <f ca="1">IFERROR(__xludf.DUMMYFUNCTION("""COMPUTED_VALUE"""),0.0663)</f>
        <v>6.6299999999999998E-2</v>
      </c>
      <c r="H80" s="611">
        <f t="shared" ca="1" si="4"/>
        <v>-3.8910505836575876E-3</v>
      </c>
      <c r="I80" s="499">
        <f ca="1">IFERROR(__xludf.DUMMYFUNCTION("""COMPUTED_VALUE"""),25)</f>
        <v>25</v>
      </c>
      <c r="J80" s="597" t="str">
        <f ca="1">IFERROR(__xludf.DUMMYFUNCTION("""COMPUTED_VALUE"""),"3287 廣寰科")</f>
        <v>3287 廣寰科</v>
      </c>
      <c r="K80" s="726">
        <v>37.5</v>
      </c>
      <c r="L80" s="730">
        <v>1.8</v>
      </c>
      <c r="M80" s="598" t="str">
        <f ca="1">IFERROR(__xludf.DUMMYFUNCTION("""COMPUTED_VALUE"""),"+5.04%")</f>
        <v>+5.04%</v>
      </c>
      <c r="N80" s="58">
        <f ca="1">IFERROR(__xludf.DUMMYFUNCTION("""COMPUTED_VALUE"""),2819)</f>
        <v>2819</v>
      </c>
      <c r="O80" s="611">
        <f ca="1">IFERROR(__xludf.DUMMYFUNCTION("""COMPUTED_VALUE"""),0.0641)</f>
        <v>6.4100000000000004E-2</v>
      </c>
      <c r="P80" s="599">
        <f t="shared" si="5"/>
        <v>5.0420168067226885E-2</v>
      </c>
      <c r="Q80" s="499"/>
      <c r="R80" s="726"/>
      <c r="S80" s="730"/>
      <c r="T80" s="511"/>
      <c r="U80" s="511"/>
      <c r="V80" s="732"/>
      <c r="W80" s="8"/>
      <c r="X80" s="595"/>
      <c r="Y80" s="499"/>
      <c r="Z80" s="499"/>
      <c r="AA80" s="726"/>
      <c r="AB80" s="730"/>
      <c r="AC80" s="511"/>
      <c r="AD80" s="511"/>
      <c r="AE80" s="732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spans="1:41" ht="15.5">
      <c r="A81" s="595">
        <f ca="1">IFERROR(__xludf.DUMMYFUNCTION("""COMPUTED_VALUE"""),26)</f>
        <v>26</v>
      </c>
      <c r="B81" s="597" t="str">
        <f ca="1">IFERROR(__xludf.DUMMYFUNCTION("""COMPUTED_VALUE"""),"2399 映泰")</f>
        <v>2399 映泰</v>
      </c>
      <c r="C81" s="499">
        <f ca="1">IFERROR(__xludf.DUMMYFUNCTION("""COMPUTED_VALUE"""),45.95)</f>
        <v>45.95</v>
      </c>
      <c r="D81" s="726">
        <v>1.55</v>
      </c>
      <c r="E81" s="730">
        <v>3.49E-2</v>
      </c>
      <c r="F81" s="598">
        <f ca="1">IFERROR(__xludf.DUMMYFUNCTION("""COMPUTED_VALUE"""),11445)</f>
        <v>11445</v>
      </c>
      <c r="G81" s="57">
        <f ca="1">IFERROR(__xludf.DUMMYFUNCTION("""COMPUTED_VALUE"""),0.0643)</f>
        <v>6.4299999999999996E-2</v>
      </c>
      <c r="H81" s="611">
        <f t="shared" ca="1" si="4"/>
        <v>3.4909909909909907E-2</v>
      </c>
      <c r="I81" s="499">
        <f ca="1">IFERROR(__xludf.DUMMYFUNCTION("""COMPUTED_VALUE"""),26)</f>
        <v>26</v>
      </c>
      <c r="J81" s="597" t="str">
        <f ca="1">IFERROR(__xludf.DUMMYFUNCTION("""COMPUTED_VALUE"""),"6432 今展科")</f>
        <v>6432 今展科</v>
      </c>
      <c r="K81" s="726">
        <v>71.8</v>
      </c>
      <c r="L81" s="730">
        <v>-6.2</v>
      </c>
      <c r="M81" s="598">
        <f ca="1">IFERROR(__xludf.DUMMYFUNCTION("""COMPUTED_VALUE"""),-0.0795)</f>
        <v>-7.9500000000000001E-2</v>
      </c>
      <c r="N81" s="58">
        <f ca="1">IFERROR(__xludf.DUMMYFUNCTION("""COMPUTED_VALUE"""),2434)</f>
        <v>2434</v>
      </c>
      <c r="O81" s="611">
        <f ca="1">IFERROR(__xludf.DUMMYFUNCTION("""COMPUTED_VALUE"""),0.0628)</f>
        <v>6.2799999999999995E-2</v>
      </c>
      <c r="P81" s="599">
        <f t="shared" si="5"/>
        <v>-7.9487179487179496E-2</v>
      </c>
      <c r="Q81" s="499"/>
      <c r="R81" s="726"/>
      <c r="S81" s="730"/>
      <c r="T81" s="511"/>
      <c r="U81" s="511"/>
      <c r="V81" s="732"/>
      <c r="W81" s="8"/>
      <c r="X81" s="595"/>
      <c r="Y81" s="499"/>
      <c r="Z81" s="499"/>
      <c r="AA81" s="726"/>
      <c r="AB81" s="730"/>
      <c r="AC81" s="511"/>
      <c r="AD81" s="511"/>
      <c r="AE81" s="732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spans="1:41" ht="15.5">
      <c r="A82" s="595">
        <f ca="1">IFERROR(__xludf.DUMMYFUNCTION("""COMPUTED_VALUE"""),27)</f>
        <v>27</v>
      </c>
      <c r="B82" s="597" t="str">
        <f ca="1">IFERROR(__xludf.DUMMYFUNCTION("""COMPUTED_VALUE"""),"4916 事欣科")</f>
        <v>4916 事欣科</v>
      </c>
      <c r="C82" s="499">
        <f ca="1">IFERROR(__xludf.DUMMYFUNCTION("""COMPUTED_VALUE"""),106)</f>
        <v>106</v>
      </c>
      <c r="D82" s="726">
        <v>4.5</v>
      </c>
      <c r="E82" s="730">
        <v>4.4299999999999999E-2</v>
      </c>
      <c r="F82" s="598">
        <f ca="1">IFERROR(__xludf.DUMMYFUNCTION("""COMPUTED_VALUE"""),7652)</f>
        <v>7652</v>
      </c>
      <c r="G82" s="57">
        <f ca="1">IFERROR(__xludf.DUMMYFUNCTION("""COMPUTED_VALUE"""),0.0619)</f>
        <v>6.1899999999999997E-2</v>
      </c>
      <c r="H82" s="611">
        <f t="shared" ca="1" si="4"/>
        <v>4.4334975369458129E-2</v>
      </c>
      <c r="I82" s="499">
        <f ca="1">IFERROR(__xludf.DUMMYFUNCTION("""COMPUTED_VALUE"""),27)</f>
        <v>27</v>
      </c>
      <c r="J82" s="597" t="str">
        <f ca="1">IFERROR(__xludf.DUMMYFUNCTION("""COMPUTED_VALUE"""),"7584 樂意")</f>
        <v>7584 樂意</v>
      </c>
      <c r="K82" s="726">
        <v>26.75</v>
      </c>
      <c r="L82" s="730">
        <v>0.25</v>
      </c>
      <c r="M82" s="598" t="str">
        <f ca="1">IFERROR(__xludf.DUMMYFUNCTION("""COMPUTED_VALUE"""),"+0.94%")</f>
        <v>+0.94%</v>
      </c>
      <c r="N82" s="58">
        <f ca="1">IFERROR(__xludf.DUMMYFUNCTION("""COMPUTED_VALUE"""),1018)</f>
        <v>1018</v>
      </c>
      <c r="O82" s="611">
        <f ca="1">IFERROR(__xludf.DUMMYFUNCTION("""COMPUTED_VALUE"""),0.0618)</f>
        <v>6.1800000000000001E-2</v>
      </c>
      <c r="P82" s="599">
        <f t="shared" si="5"/>
        <v>9.433962264150943E-3</v>
      </c>
      <c r="Q82" s="499"/>
      <c r="R82" s="726"/>
      <c r="S82" s="730"/>
      <c r="T82" s="511"/>
      <c r="U82" s="511"/>
      <c r="V82" s="732"/>
      <c r="W82" s="8"/>
      <c r="X82" s="595"/>
      <c r="Y82" s="499"/>
      <c r="Z82" s="499"/>
      <c r="AA82" s="726"/>
      <c r="AB82" s="730"/>
      <c r="AC82" s="511"/>
      <c r="AD82" s="511"/>
      <c r="AE82" s="732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spans="1:41" ht="15.5">
      <c r="A83" s="595">
        <f ca="1">IFERROR(__xludf.DUMMYFUNCTION("""COMPUTED_VALUE"""),28)</f>
        <v>28</v>
      </c>
      <c r="B83" s="597" t="str">
        <f ca="1">IFERROR(__xludf.DUMMYFUNCTION("""COMPUTED_VALUE"""),"00632R元大台灣50反1")</f>
        <v>00632R元大台灣50反1</v>
      </c>
      <c r="C83" s="499">
        <f ca="1">IFERROR(__xludf.DUMMYFUNCTION("""COMPUTED_VALUE"""),10.01)</f>
        <v>10.01</v>
      </c>
      <c r="D83" s="726">
        <v>0.06</v>
      </c>
      <c r="E83" s="730">
        <v>6.0000000000000001E-3</v>
      </c>
      <c r="F83" s="598">
        <f ca="1">IFERROR(__xludf.DUMMYFUNCTION("""COMPUTED_VALUE"""),162663)</f>
        <v>162663</v>
      </c>
      <c r="G83" s="57">
        <f ca="1">IFERROR(__xludf.DUMMYFUNCTION("""COMPUTED_VALUE"""),0.06)</f>
        <v>0.06</v>
      </c>
      <c r="H83" s="611">
        <f t="shared" ca="1" si="4"/>
        <v>6.0301507537688448E-3</v>
      </c>
      <c r="I83" s="499">
        <f ca="1">IFERROR(__xludf.DUMMYFUNCTION("""COMPUTED_VALUE"""),28)</f>
        <v>28</v>
      </c>
      <c r="J83" s="597" t="str">
        <f ca="1">IFERROR(__xludf.DUMMYFUNCTION("""COMPUTED_VALUE"""),"4127 天良")</f>
        <v>4127 天良</v>
      </c>
      <c r="K83" s="726">
        <v>83.3</v>
      </c>
      <c r="L83" s="730">
        <v>0.3</v>
      </c>
      <c r="M83" s="598" t="str">
        <f ca="1">IFERROR(__xludf.DUMMYFUNCTION("""COMPUTED_VALUE"""),"+0.36%")</f>
        <v>+0.36%</v>
      </c>
      <c r="N83" s="58">
        <f ca="1">IFERROR(__xludf.DUMMYFUNCTION("""COMPUTED_VALUE"""),2825)</f>
        <v>2825</v>
      </c>
      <c r="O83" s="611">
        <f ca="1">IFERROR(__xludf.DUMMYFUNCTION("""COMPUTED_VALUE"""),0.0617)</f>
        <v>6.1699999999999998E-2</v>
      </c>
      <c r="P83" s="599">
        <f t="shared" si="5"/>
        <v>3.6144578313253009E-3</v>
      </c>
      <c r="Q83" s="499"/>
      <c r="R83" s="726"/>
      <c r="S83" s="730"/>
      <c r="T83" s="511"/>
      <c r="U83" s="511"/>
      <c r="V83" s="732"/>
      <c r="W83" s="8"/>
      <c r="X83" s="595"/>
      <c r="Y83" s="499"/>
      <c r="Z83" s="499"/>
      <c r="AA83" s="726"/>
      <c r="AB83" s="730"/>
      <c r="AC83" s="511"/>
      <c r="AD83" s="511"/>
      <c r="AE83" s="732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spans="1:41" ht="15.5">
      <c r="A84" s="595">
        <f ca="1">IFERROR(__xludf.DUMMYFUNCTION("""COMPUTED_VALUE"""),29)</f>
        <v>29</v>
      </c>
      <c r="B84" s="597" t="str">
        <f ca="1">IFERROR(__xludf.DUMMYFUNCTION("""COMPUTED_VALUE"""),"00984D主動聯博全球非投")</f>
        <v>00984D主動聯博全球非投</v>
      </c>
      <c r="C84" s="499">
        <f ca="1">IFERROR(__xludf.DUMMYFUNCTION("""COMPUTED_VALUE"""),10.12)</f>
        <v>10.119999999999999</v>
      </c>
      <c r="D84" s="726">
        <v>-0.03</v>
      </c>
      <c r="E84" s="730">
        <v>-3.0000000000000001E-3</v>
      </c>
      <c r="F84" s="598">
        <f ca="1">IFERROR(__xludf.DUMMYFUNCTION("""COMPUTED_VALUE"""),45522)</f>
        <v>45522</v>
      </c>
      <c r="G84" s="57">
        <f ca="1">IFERROR(__xludf.DUMMYFUNCTION("""COMPUTED_VALUE"""),0.0586)</f>
        <v>5.8599999999999999E-2</v>
      </c>
      <c r="H84" s="611">
        <f t="shared" ca="1" si="4"/>
        <v>-2.9556650246305421E-3</v>
      </c>
      <c r="I84" s="499">
        <f ca="1">IFERROR(__xludf.DUMMYFUNCTION("""COMPUTED_VALUE"""),29)</f>
        <v>29</v>
      </c>
      <c r="J84" s="597" t="str">
        <f ca="1">IFERROR(__xludf.DUMMYFUNCTION("""COMPUTED_VALUE"""),"00860B群益1-5Y投資級債")</f>
        <v>00860B群益1-5Y投資級債</v>
      </c>
      <c r="K84" s="726">
        <v>38.61</v>
      </c>
      <c r="L84" s="730">
        <v>-0.16</v>
      </c>
      <c r="M84" s="598">
        <f ca="1">IFERROR(__xludf.DUMMYFUNCTION("""COMPUTED_VALUE"""),-0.0041)</f>
        <v>-4.1000000000000003E-3</v>
      </c>
      <c r="N84" s="58">
        <f ca="1">IFERROR(__xludf.DUMMYFUNCTION("""COMPUTED_VALUE"""),157)</f>
        <v>157</v>
      </c>
      <c r="O84" s="611">
        <f ca="1">IFERROR(__xludf.DUMMYFUNCTION("""COMPUTED_VALUE"""),0.0588)</f>
        <v>5.8799999999999998E-2</v>
      </c>
      <c r="P84" s="599">
        <f t="shared" si="5"/>
        <v>-4.1269022440030955E-3</v>
      </c>
      <c r="Q84" s="499"/>
      <c r="R84" s="726"/>
      <c r="S84" s="730"/>
      <c r="T84" s="511"/>
      <c r="U84" s="511"/>
      <c r="V84" s="732"/>
      <c r="W84" s="8"/>
      <c r="X84" s="595"/>
      <c r="Y84" s="499"/>
      <c r="Z84" s="499"/>
      <c r="AA84" s="726"/>
      <c r="AB84" s="730"/>
      <c r="AC84" s="511"/>
      <c r="AD84" s="511"/>
      <c r="AE84" s="732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spans="1:41" ht="15.5">
      <c r="A85" s="595">
        <f ca="1">IFERROR(__xludf.DUMMYFUNCTION("""COMPUTED_VALUE"""),30)</f>
        <v>30</v>
      </c>
      <c r="B85" s="597" t="str">
        <f ca="1">IFERROR(__xludf.DUMMYFUNCTION("""COMPUTED_VALUE"""),"00715L期街口布蘭特正2")</f>
        <v>00715L期街口布蘭特正2</v>
      </c>
      <c r="C85" s="499">
        <f ca="1">IFERROR(__xludf.DUMMYFUNCTION("""COMPUTED_VALUE"""),46.31)</f>
        <v>46.31</v>
      </c>
      <c r="D85" s="726">
        <v>-1.65</v>
      </c>
      <c r="E85" s="730">
        <v>-3.44E-2</v>
      </c>
      <c r="F85" s="598">
        <f ca="1">IFERROR(__xludf.DUMMYFUNCTION("""COMPUTED_VALUE"""),5814)</f>
        <v>5814</v>
      </c>
      <c r="G85" s="57">
        <f ca="1">IFERROR(__xludf.DUMMYFUNCTION("""COMPUTED_VALUE"""),0.0575)</f>
        <v>5.7500000000000002E-2</v>
      </c>
      <c r="H85" s="611">
        <f t="shared" ca="1" si="4"/>
        <v>-3.4403669724770637E-2</v>
      </c>
      <c r="I85" s="499">
        <f ca="1">IFERROR(__xludf.DUMMYFUNCTION("""COMPUTED_VALUE"""),30)</f>
        <v>30</v>
      </c>
      <c r="J85" s="597" t="str">
        <f ca="1">IFERROR(__xludf.DUMMYFUNCTION("""COMPUTED_VALUE"""),"4760 勤凱")</f>
        <v>4760 勤凱</v>
      </c>
      <c r="K85" s="726">
        <v>261</v>
      </c>
      <c r="L85" s="730">
        <v>-22</v>
      </c>
      <c r="M85" s="598">
        <f ca="1">IFERROR(__xludf.DUMMYFUNCTION("""COMPUTED_VALUE"""),-0.0777)</f>
        <v>-7.7700000000000005E-2</v>
      </c>
      <c r="N85" s="58">
        <f ca="1">IFERROR(__xludf.DUMMYFUNCTION("""COMPUTED_VALUE"""),1842)</f>
        <v>1842</v>
      </c>
      <c r="O85" s="611">
        <f ca="1">IFERROR(__xludf.DUMMYFUNCTION("""COMPUTED_VALUE"""),0.0572)</f>
        <v>5.7200000000000001E-2</v>
      </c>
      <c r="P85" s="599">
        <f t="shared" si="5"/>
        <v>-7.7738515901060068E-2</v>
      </c>
      <c r="Q85" s="499"/>
      <c r="R85" s="726"/>
      <c r="S85" s="730"/>
      <c r="T85" s="511"/>
      <c r="U85" s="511"/>
      <c r="V85" s="732"/>
      <c r="W85" s="8"/>
      <c r="X85" s="595"/>
      <c r="Y85" s="499"/>
      <c r="Z85" s="499"/>
      <c r="AA85" s="726"/>
      <c r="AB85" s="730"/>
      <c r="AC85" s="511"/>
      <c r="AD85" s="511"/>
      <c r="AE85" s="732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spans="1:41" ht="15.5">
      <c r="A86" s="595">
        <f ca="1">IFERROR(__xludf.DUMMYFUNCTION("""COMPUTED_VALUE"""),31)</f>
        <v>31</v>
      </c>
      <c r="B86" s="597" t="str">
        <f ca="1">IFERROR(__xludf.DUMMYFUNCTION("""COMPUTED_VALUE"""),"8150 南茂")</f>
        <v>8150 南茂</v>
      </c>
      <c r="C86" s="499">
        <f ca="1">IFERROR(__xludf.DUMMYFUNCTION("""COMPUTED_VALUE"""),91.9)</f>
        <v>91.9</v>
      </c>
      <c r="D86" s="726">
        <v>-1</v>
      </c>
      <c r="E86" s="730">
        <v>-1.0800000000000001E-2</v>
      </c>
      <c r="F86" s="598">
        <f ca="1">IFERROR(__xludf.DUMMYFUNCTION("""COMPUTED_VALUE"""),39987)</f>
        <v>39987</v>
      </c>
      <c r="G86" s="57">
        <f ca="1">IFERROR(__xludf.DUMMYFUNCTION("""COMPUTED_VALUE"""),0.0568)</f>
        <v>5.6800000000000003E-2</v>
      </c>
      <c r="H86" s="611">
        <f t="shared" ca="1" si="4"/>
        <v>-1.076426264800861E-2</v>
      </c>
      <c r="I86" s="499">
        <f ca="1">IFERROR(__xludf.DUMMYFUNCTION("""COMPUTED_VALUE"""),31)</f>
        <v>31</v>
      </c>
      <c r="J86" s="597" t="str">
        <f ca="1">IFERROR(__xludf.DUMMYFUNCTION("""COMPUTED_VALUE"""),"3693 營邦")</f>
        <v>3693 營邦</v>
      </c>
      <c r="K86" s="726">
        <v>536</v>
      </c>
      <c r="L86" s="730">
        <v>-16</v>
      </c>
      <c r="M86" s="598">
        <f ca="1">IFERROR(__xludf.DUMMYFUNCTION("""COMPUTED_VALUE"""),-0.029)</f>
        <v>-2.9000000000000001E-2</v>
      </c>
      <c r="N86" s="58">
        <f ca="1">IFERROR(__xludf.DUMMYFUNCTION("""COMPUTED_VALUE"""),2394)</f>
        <v>2394</v>
      </c>
      <c r="O86" s="611">
        <f ca="1">IFERROR(__xludf.DUMMYFUNCTION("""COMPUTED_VALUE"""),0.0557)</f>
        <v>5.57E-2</v>
      </c>
      <c r="P86" s="599">
        <f t="shared" si="5"/>
        <v>-2.8985507246376812E-2</v>
      </c>
      <c r="Q86" s="499"/>
      <c r="R86" s="726"/>
      <c r="S86" s="730"/>
      <c r="T86" s="511"/>
      <c r="U86" s="511"/>
      <c r="V86" s="732"/>
      <c r="W86" s="8"/>
      <c r="X86" s="595"/>
      <c r="Y86" s="499"/>
      <c r="Z86" s="499"/>
      <c r="AA86" s="726"/>
      <c r="AB86" s="730"/>
      <c r="AC86" s="511"/>
      <c r="AD86" s="511"/>
      <c r="AE86" s="732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spans="1:41" ht="15.5">
      <c r="A87" s="595">
        <f ca="1">IFERROR(__xludf.DUMMYFUNCTION("""COMPUTED_VALUE"""),32)</f>
        <v>32</v>
      </c>
      <c r="B87" s="597" t="str">
        <f ca="1">IFERROR(__xludf.DUMMYFUNCTION("""COMPUTED_VALUE"""),"4958 臻鼎-KY")</f>
        <v>4958 臻鼎-KY</v>
      </c>
      <c r="C87" s="499">
        <f ca="1">IFERROR(__xludf.DUMMYFUNCTION("""COMPUTED_VALUE"""),489.5)</f>
        <v>489.5</v>
      </c>
      <c r="D87" s="726">
        <v>12</v>
      </c>
      <c r="E87" s="730">
        <v>2.5099999999999997E-2</v>
      </c>
      <c r="F87" s="598">
        <f ca="1">IFERROR(__xludf.DUMMYFUNCTION("""COMPUTED_VALUE"""),62707)</f>
        <v>62707</v>
      </c>
      <c r="G87" s="57">
        <f ca="1">IFERROR(__xludf.DUMMYFUNCTION("""COMPUTED_VALUE"""),0.0565)</f>
        <v>5.6500000000000002E-2</v>
      </c>
      <c r="H87" s="611">
        <f t="shared" ca="1" si="4"/>
        <v>2.5130890052356022E-2</v>
      </c>
      <c r="I87" s="499">
        <f ca="1">IFERROR(__xludf.DUMMYFUNCTION("""COMPUTED_VALUE"""),32)</f>
        <v>32</v>
      </c>
      <c r="J87" s="597" t="str">
        <f ca="1">IFERROR(__xludf.DUMMYFUNCTION("""COMPUTED_VALUE"""),"8096 擎亞")</f>
        <v>8096 擎亞</v>
      </c>
      <c r="K87" s="726">
        <v>116.5</v>
      </c>
      <c r="L87" s="730">
        <v>-9</v>
      </c>
      <c r="M87" s="598">
        <f ca="1">IFERROR(__xludf.DUMMYFUNCTION("""COMPUTED_VALUE"""),-0.0717)</f>
        <v>-7.17E-2</v>
      </c>
      <c r="N87" s="58">
        <f ca="1">IFERROR(__xludf.DUMMYFUNCTION("""COMPUTED_VALUE"""),8272)</f>
        <v>8272</v>
      </c>
      <c r="O87" s="611">
        <f ca="1">IFERROR(__xludf.DUMMYFUNCTION("""COMPUTED_VALUE"""),0.0554)</f>
        <v>5.5399999999999998E-2</v>
      </c>
      <c r="P87" s="599">
        <f t="shared" si="5"/>
        <v>-7.1713147410358571E-2</v>
      </c>
      <c r="Q87" s="499"/>
      <c r="R87" s="726"/>
      <c r="S87" s="730"/>
      <c r="T87" s="511"/>
      <c r="U87" s="511"/>
      <c r="V87" s="732"/>
      <c r="W87" s="8"/>
      <c r="X87" s="595"/>
      <c r="Y87" s="499"/>
      <c r="Z87" s="499"/>
      <c r="AA87" s="726"/>
      <c r="AB87" s="730"/>
      <c r="AC87" s="511"/>
      <c r="AD87" s="511"/>
      <c r="AE87" s="732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spans="1:41" ht="15.5">
      <c r="A88" s="595">
        <f ca="1">IFERROR(__xludf.DUMMYFUNCTION("""COMPUTED_VALUE"""),33)</f>
        <v>33</v>
      </c>
      <c r="B88" s="597" t="str">
        <f ca="1">IFERROR(__xludf.DUMMYFUNCTION("""COMPUTED_VALUE"""),"00643K群益深証中小+R")</f>
        <v>00643K群益深証中小+R</v>
      </c>
      <c r="C88" s="499">
        <f ca="1">IFERROR(__xludf.DUMMYFUNCTION("""COMPUTED_VALUE"""),4.03)</f>
        <v>4.03</v>
      </c>
      <c r="D88" s="726">
        <v>-0.03</v>
      </c>
      <c r="E88" s="730">
        <v>-7.4000000000000003E-3</v>
      </c>
      <c r="F88" s="598">
        <f ca="1">IFERROR(__xludf.DUMMYFUNCTION("""COMPUTED_VALUE"""),11)</f>
        <v>11</v>
      </c>
      <c r="G88" s="57">
        <f ca="1">IFERROR(__xludf.DUMMYFUNCTION("""COMPUTED_VALUE"""),0.0558)</f>
        <v>5.5800000000000002E-2</v>
      </c>
      <c r="H88" s="611">
        <f t="shared" ca="1" si="4"/>
        <v>-7.3891625615763535E-3</v>
      </c>
      <c r="I88" s="499">
        <f ca="1">IFERROR(__xludf.DUMMYFUNCTION("""COMPUTED_VALUE"""),33)</f>
        <v>33</v>
      </c>
      <c r="J88" s="597" t="str">
        <f ca="1">IFERROR(__xludf.DUMMYFUNCTION("""COMPUTED_VALUE"""),"00988B玉山嚴選非投債")</f>
        <v>00988B玉山嚴選非投債</v>
      </c>
      <c r="K88" s="726">
        <v>19.940000000000001</v>
      </c>
      <c r="L88" s="730">
        <v>-0.02</v>
      </c>
      <c r="M88" s="598">
        <f ca="1">IFERROR(__xludf.DUMMYFUNCTION("""COMPUTED_VALUE"""),-0.001)</f>
        <v>-1E-3</v>
      </c>
      <c r="N88" s="58">
        <f ca="1">IFERROR(__xludf.DUMMYFUNCTION("""COMPUTED_VALUE"""),7162)</f>
        <v>7162</v>
      </c>
      <c r="O88" s="611">
        <f ca="1">IFERROR(__xludf.DUMMYFUNCTION("""COMPUTED_VALUE"""),0.0535)</f>
        <v>5.3499999999999999E-2</v>
      </c>
      <c r="P88" s="599">
        <f t="shared" si="5"/>
        <v>-1.002004008016032E-3</v>
      </c>
      <c r="Q88" s="499"/>
      <c r="R88" s="726"/>
      <c r="S88" s="730"/>
      <c r="T88" s="511"/>
      <c r="U88" s="511"/>
      <c r="V88" s="732"/>
      <c r="W88" s="8"/>
      <c r="X88" s="595"/>
      <c r="Y88" s="499"/>
      <c r="Z88" s="499"/>
      <c r="AA88" s="726"/>
      <c r="AB88" s="730"/>
      <c r="AC88" s="511"/>
      <c r="AD88" s="511"/>
      <c r="AE88" s="732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spans="1:41" ht="15.5">
      <c r="A89" s="595">
        <f ca="1">IFERROR(__xludf.DUMMYFUNCTION("""COMPUTED_VALUE"""),34)</f>
        <v>34</v>
      </c>
      <c r="B89" s="597" t="str">
        <f ca="1">IFERROR(__xludf.DUMMYFUNCTION("""COMPUTED_VALUE"""),"00676R富邦臺灣加權反1")</f>
        <v>00676R富邦臺灣加權反1</v>
      </c>
      <c r="C89" s="499">
        <f ca="1">IFERROR(__xludf.DUMMYFUNCTION("""COMPUTED_VALUE"""),5.53)</f>
        <v>5.53</v>
      </c>
      <c r="D89" s="726">
        <v>0.03</v>
      </c>
      <c r="E89" s="730">
        <v>5.5000000000000005E-3</v>
      </c>
      <c r="F89" s="598">
        <f ca="1">IFERROR(__xludf.DUMMYFUNCTION("""COMPUTED_VALUE"""),9683)</f>
        <v>9683</v>
      </c>
      <c r="G89" s="57">
        <f ca="1">IFERROR(__xludf.DUMMYFUNCTION("""COMPUTED_VALUE"""),0.0549)</f>
        <v>5.4899999999999997E-2</v>
      </c>
      <c r="H89" s="611">
        <f t="shared" ca="1" si="4"/>
        <v>5.4545454545454541E-3</v>
      </c>
      <c r="I89" s="499">
        <f ca="1">IFERROR(__xludf.DUMMYFUNCTION("""COMPUTED_VALUE"""),34)</f>
        <v>34</v>
      </c>
      <c r="J89" s="597" t="str">
        <f ca="1">IFERROR(__xludf.DUMMYFUNCTION("""COMPUTED_VALUE"""),"5439 高技")</f>
        <v>5439 高技</v>
      </c>
      <c r="K89" s="726">
        <v>247</v>
      </c>
      <c r="L89" s="730">
        <v>-3</v>
      </c>
      <c r="M89" s="598">
        <f ca="1">IFERROR(__xludf.DUMMYFUNCTION("""COMPUTED_VALUE"""),-0.012)</f>
        <v>-1.2E-2</v>
      </c>
      <c r="N89" s="58">
        <f ca="1">IFERROR(__xludf.DUMMYFUNCTION("""COMPUTED_VALUE"""),4879)</f>
        <v>4879</v>
      </c>
      <c r="O89" s="611">
        <f ca="1">IFERROR(__xludf.DUMMYFUNCTION("""COMPUTED_VALUE"""),0.0525)</f>
        <v>5.2499999999999998E-2</v>
      </c>
      <c r="P89" s="599">
        <f t="shared" si="5"/>
        <v>-1.2E-2</v>
      </c>
      <c r="Q89" s="499"/>
      <c r="R89" s="726"/>
      <c r="S89" s="730"/>
      <c r="T89" s="511"/>
      <c r="U89" s="511"/>
      <c r="V89" s="732"/>
      <c r="W89" s="8"/>
      <c r="X89" s="595"/>
      <c r="Y89" s="499"/>
      <c r="Z89" s="499"/>
      <c r="AA89" s="726"/>
      <c r="AB89" s="730"/>
      <c r="AC89" s="511"/>
      <c r="AD89" s="511"/>
      <c r="AE89" s="732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spans="1:41" ht="15.5">
      <c r="A90" s="595">
        <f ca="1">IFERROR(__xludf.DUMMYFUNCTION("""COMPUTED_VALUE"""),35)</f>
        <v>35</v>
      </c>
      <c r="B90" s="597" t="str">
        <f ca="1">IFERROR(__xludf.DUMMYFUNCTION("""COMPUTED_VALUE"""),"4967 十銓")</f>
        <v>4967 十銓</v>
      </c>
      <c r="C90" s="499">
        <f ca="1">IFERROR(__xludf.DUMMYFUNCTION("""COMPUTED_VALUE"""),275)</f>
        <v>275</v>
      </c>
      <c r="D90" s="726">
        <v>-5.5</v>
      </c>
      <c r="E90" s="730">
        <v>-1.9599999999999999E-2</v>
      </c>
      <c r="F90" s="598">
        <f ca="1">IFERROR(__xludf.DUMMYFUNCTION("""COMPUTED_VALUE"""),4655)</f>
        <v>4655</v>
      </c>
      <c r="G90" s="57">
        <f ca="1">IFERROR(__xludf.DUMMYFUNCTION("""COMPUTED_VALUE"""),0.0548)</f>
        <v>5.4800000000000001E-2</v>
      </c>
      <c r="H90" s="611">
        <f t="shared" ca="1" si="4"/>
        <v>-1.9607843137254902E-2</v>
      </c>
      <c r="I90" s="499">
        <f ca="1">IFERROR(__xludf.DUMMYFUNCTION("""COMPUTED_VALUE"""),35)</f>
        <v>35</v>
      </c>
      <c r="J90" s="597" t="str">
        <f ca="1">IFERROR(__xludf.DUMMYFUNCTION("""COMPUTED_VALUE"""),"8383 千附")</f>
        <v>8383 千附</v>
      </c>
      <c r="K90" s="726">
        <v>75.099999999999994</v>
      </c>
      <c r="L90" s="730">
        <v>4.3</v>
      </c>
      <c r="M90" s="598" t="str">
        <f ca="1">IFERROR(__xludf.DUMMYFUNCTION("""COMPUTED_VALUE"""),"+6.07%")</f>
        <v>+6.07%</v>
      </c>
      <c r="N90" s="58">
        <f ca="1">IFERROR(__xludf.DUMMYFUNCTION("""COMPUTED_VALUE"""),5952)</f>
        <v>5952</v>
      </c>
      <c r="O90" s="611">
        <f ca="1">IFERROR(__xludf.DUMMYFUNCTION("""COMPUTED_VALUE"""),0.0523)</f>
        <v>5.2299999999999999E-2</v>
      </c>
      <c r="P90" s="599">
        <f t="shared" si="5"/>
        <v>6.0734463276836161E-2</v>
      </c>
      <c r="Q90" s="499"/>
      <c r="R90" s="726"/>
      <c r="S90" s="730"/>
      <c r="T90" s="511"/>
      <c r="U90" s="511"/>
      <c r="V90" s="732"/>
      <c r="W90" s="8"/>
      <c r="X90" s="595"/>
      <c r="Y90" s="499"/>
      <c r="Z90" s="499"/>
      <c r="AA90" s="726"/>
      <c r="AB90" s="730"/>
      <c r="AC90" s="511"/>
      <c r="AD90" s="511"/>
      <c r="AE90" s="732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spans="1:41" ht="15.5">
      <c r="A91" s="595">
        <f ca="1">IFERROR(__xludf.DUMMYFUNCTION("""COMPUTED_VALUE"""),36)</f>
        <v>36</v>
      </c>
      <c r="B91" s="597" t="str">
        <f ca="1">IFERROR(__xludf.DUMMYFUNCTION("""COMPUTED_VALUE"""),"2483 百容")</f>
        <v>2483 百容</v>
      </c>
      <c r="C91" s="499">
        <f ca="1">IFERROR(__xludf.DUMMYFUNCTION("""COMPUTED_VALUE"""),38.1)</f>
        <v>38.1</v>
      </c>
      <c r="D91" s="726">
        <v>-1.95</v>
      </c>
      <c r="E91" s="730">
        <v>-4.87E-2</v>
      </c>
      <c r="F91" s="598">
        <f ca="1">IFERROR(__xludf.DUMMYFUNCTION("""COMPUTED_VALUE"""),5840)</f>
        <v>5840</v>
      </c>
      <c r="G91" s="57">
        <f ca="1">IFERROR(__xludf.DUMMYFUNCTION("""COMPUTED_VALUE"""),0.0541)</f>
        <v>5.4100000000000002E-2</v>
      </c>
      <c r="H91" s="611">
        <f t="shared" ca="1" si="4"/>
        <v>-4.868913857677902E-2</v>
      </c>
      <c r="I91" s="499">
        <f ca="1">IFERROR(__xludf.DUMMYFUNCTION("""COMPUTED_VALUE"""),36)</f>
        <v>36</v>
      </c>
      <c r="J91" s="597" t="str">
        <f ca="1">IFERROR(__xludf.DUMMYFUNCTION("""COMPUTED_VALUE"""),"4510 高鋒")</f>
        <v>4510 高鋒</v>
      </c>
      <c r="K91" s="726">
        <v>46.45</v>
      </c>
      <c r="L91" s="730">
        <v>0.75</v>
      </c>
      <c r="M91" s="598" t="str">
        <f ca="1">IFERROR(__xludf.DUMMYFUNCTION("""COMPUTED_VALUE"""),"+1.64%")</f>
        <v>+1.64%</v>
      </c>
      <c r="N91" s="58">
        <f ca="1">IFERROR(__xludf.DUMMYFUNCTION("""COMPUTED_VALUE"""),5689)</f>
        <v>5689</v>
      </c>
      <c r="O91" s="611">
        <f ca="1">IFERROR(__xludf.DUMMYFUNCTION("""COMPUTED_VALUE"""),0.0522)</f>
        <v>5.2200000000000003E-2</v>
      </c>
      <c r="P91" s="599">
        <f t="shared" si="5"/>
        <v>1.6411378555798686E-2</v>
      </c>
      <c r="Q91" s="499"/>
      <c r="R91" s="726"/>
      <c r="S91" s="730"/>
      <c r="T91" s="511"/>
      <c r="U91" s="511"/>
      <c r="V91" s="732"/>
      <c r="W91" s="8"/>
      <c r="X91" s="595"/>
      <c r="Y91" s="499"/>
      <c r="Z91" s="499"/>
      <c r="AA91" s="726"/>
      <c r="AB91" s="730"/>
      <c r="AC91" s="511"/>
      <c r="AD91" s="511"/>
      <c r="AE91" s="732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spans="1:41" ht="15.5">
      <c r="A92" s="595">
        <f ca="1">IFERROR(__xludf.DUMMYFUNCTION("""COMPUTED_VALUE"""),37)</f>
        <v>37</v>
      </c>
      <c r="B92" s="597" t="str">
        <f ca="1">IFERROR(__xludf.DUMMYFUNCTION("""COMPUTED_VALUE"""),"2344 華邦電")</f>
        <v>2344 華邦電</v>
      </c>
      <c r="C92" s="499">
        <f ca="1">IFERROR(__xludf.DUMMYFUNCTION("""COMPUTED_VALUE"""),183.5)</f>
        <v>183.5</v>
      </c>
      <c r="D92" s="726">
        <v>6.5</v>
      </c>
      <c r="E92" s="730">
        <v>3.6700000000000003E-2</v>
      </c>
      <c r="F92" s="598">
        <f ca="1">IFERROR(__xludf.DUMMYFUNCTION("""COMPUTED_VALUE"""),241146)</f>
        <v>241146</v>
      </c>
      <c r="G92" s="57">
        <f ca="1">IFERROR(__xludf.DUMMYFUNCTION("""COMPUTED_VALUE"""),0.0536)</f>
        <v>5.3600000000000002E-2</v>
      </c>
      <c r="H92" s="611">
        <f t="shared" ca="1" si="4"/>
        <v>3.6723163841807911E-2</v>
      </c>
      <c r="I92" s="499">
        <f ca="1">IFERROR(__xludf.DUMMYFUNCTION("""COMPUTED_VALUE"""),37)</f>
        <v>37</v>
      </c>
      <c r="J92" s="597" t="str">
        <f ca="1">IFERROR(__xludf.DUMMYFUNCTION("""COMPUTED_VALUE"""),"6419 京晨科")</f>
        <v>6419 京晨科</v>
      </c>
      <c r="K92" s="726">
        <v>168</v>
      </c>
      <c r="L92" s="730">
        <v>0.5</v>
      </c>
      <c r="M92" s="598" t="str">
        <f ca="1">IFERROR(__xludf.DUMMYFUNCTION("""COMPUTED_VALUE"""),"+0.30%")</f>
        <v>+0.30%</v>
      </c>
      <c r="N92" s="58">
        <f ca="1">IFERROR(__xludf.DUMMYFUNCTION("""COMPUTED_VALUE"""),678)</f>
        <v>678</v>
      </c>
      <c r="O92" s="611">
        <f ca="1">IFERROR(__xludf.DUMMYFUNCTION("""COMPUTED_VALUE"""),0.0515)</f>
        <v>5.1499999999999997E-2</v>
      </c>
      <c r="P92" s="599">
        <f t="shared" si="5"/>
        <v>2.9850746268656717E-3</v>
      </c>
      <c r="Q92" s="499"/>
      <c r="R92" s="726"/>
      <c r="S92" s="730"/>
      <c r="T92" s="511"/>
      <c r="U92" s="511"/>
      <c r="V92" s="732"/>
      <c r="W92" s="8"/>
      <c r="X92" s="595"/>
      <c r="Y92" s="499"/>
      <c r="Z92" s="499"/>
      <c r="AA92" s="726"/>
      <c r="AB92" s="730"/>
      <c r="AC92" s="511"/>
      <c r="AD92" s="511"/>
      <c r="AE92" s="732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spans="1:41" ht="15.5">
      <c r="A93" s="595">
        <f ca="1">IFERROR(__xludf.DUMMYFUNCTION("""COMPUTED_VALUE"""),38)</f>
        <v>38</v>
      </c>
      <c r="B93" s="597" t="str">
        <f ca="1">IFERROR(__xludf.DUMMYFUNCTION("""COMPUTED_VALUE"""),"00708L期元大S＆P黃金正2")</f>
        <v>00708L期元大S＆P黃金正2</v>
      </c>
      <c r="C93" s="499">
        <f ca="1">IFERROR(__xludf.DUMMYFUNCTION("""COMPUTED_VALUE"""),78.8)</f>
        <v>78.8</v>
      </c>
      <c r="D93" s="726">
        <v>-3.45</v>
      </c>
      <c r="E93" s="730">
        <v>-4.19E-2</v>
      </c>
      <c r="F93" s="598">
        <f ca="1">IFERROR(__xludf.DUMMYFUNCTION("""COMPUTED_VALUE"""),6784)</f>
        <v>6784</v>
      </c>
      <c r="G93" s="57">
        <f ca="1">IFERROR(__xludf.DUMMYFUNCTION("""COMPUTED_VALUE"""),0.0514)</f>
        <v>5.1400000000000001E-2</v>
      </c>
      <c r="H93" s="611">
        <f t="shared" ca="1" si="4"/>
        <v>-4.1945288753799395E-2</v>
      </c>
      <c r="I93" s="499">
        <f ca="1">IFERROR(__xludf.DUMMYFUNCTION("""COMPUTED_VALUE"""),38)</f>
        <v>38</v>
      </c>
      <c r="J93" s="597" t="str">
        <f ca="1">IFERROR(__xludf.DUMMYFUNCTION("""COMPUTED_VALUE"""),"6259 百徽")</f>
        <v>6259 百徽</v>
      </c>
      <c r="K93" s="726">
        <v>33.450000000000003</v>
      </c>
      <c r="L93" s="730">
        <v>1.45</v>
      </c>
      <c r="M93" s="598" t="str">
        <f ca="1">IFERROR(__xludf.DUMMYFUNCTION("""COMPUTED_VALUE"""),"+4.53%")</f>
        <v>+4.53%</v>
      </c>
      <c r="N93" s="58">
        <f ca="1">IFERROR(__xludf.DUMMYFUNCTION("""COMPUTED_VALUE"""),1425)</f>
        <v>1425</v>
      </c>
      <c r="O93" s="611">
        <f ca="1">IFERROR(__xludf.DUMMYFUNCTION("""COMPUTED_VALUE"""),0.0508)</f>
        <v>5.0799999999999998E-2</v>
      </c>
      <c r="P93" s="599">
        <f t="shared" si="5"/>
        <v>4.5312499999999999E-2</v>
      </c>
      <c r="Q93" s="499"/>
      <c r="R93" s="726"/>
      <c r="S93" s="730"/>
      <c r="T93" s="511"/>
      <c r="U93" s="511"/>
      <c r="V93" s="732"/>
      <c r="W93" s="8"/>
      <c r="X93" s="595"/>
      <c r="Y93" s="499"/>
      <c r="Z93" s="499"/>
      <c r="AA93" s="726"/>
      <c r="AB93" s="730"/>
      <c r="AC93" s="511"/>
      <c r="AD93" s="511"/>
      <c r="AE93" s="732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spans="1:41" ht="15.5">
      <c r="A94" s="595">
        <f ca="1">IFERROR(__xludf.DUMMYFUNCTION("""COMPUTED_VALUE"""),39)</f>
        <v>39</v>
      </c>
      <c r="B94" s="597" t="str">
        <f ca="1">IFERROR(__xludf.DUMMYFUNCTION("""COMPUTED_VALUE"""),"2478 大毅")</f>
        <v>2478 大毅</v>
      </c>
      <c r="C94" s="499">
        <f ca="1">IFERROR(__xludf.DUMMYFUNCTION("""COMPUTED_VALUE"""),128)</f>
        <v>128</v>
      </c>
      <c r="D94" s="726">
        <v>-2</v>
      </c>
      <c r="E94" s="730">
        <v>-1.54E-2</v>
      </c>
      <c r="F94" s="598">
        <f ca="1">IFERROR(__xludf.DUMMYFUNCTION("""COMPUTED_VALUE"""),7190)</f>
        <v>7190</v>
      </c>
      <c r="G94" s="57">
        <f ca="1">IFERROR(__xludf.DUMMYFUNCTION("""COMPUTED_VALUE"""),0.0497)</f>
        <v>4.9700000000000001E-2</v>
      </c>
      <c r="H94" s="611">
        <f t="shared" ca="1" si="4"/>
        <v>-1.5384615384615385E-2</v>
      </c>
      <c r="I94" s="499">
        <f ca="1">IFERROR(__xludf.DUMMYFUNCTION("""COMPUTED_VALUE"""),39)</f>
        <v>39</v>
      </c>
      <c r="J94" s="597" t="str">
        <f ca="1">IFERROR(__xludf.DUMMYFUNCTION("""COMPUTED_VALUE"""),"00980T平衡凱基美國TOP")</f>
        <v>00980T平衡凱基美國TOP</v>
      </c>
      <c r="K94" s="726">
        <v>12</v>
      </c>
      <c r="L94" s="730">
        <v>0.05</v>
      </c>
      <c r="M94" s="598" t="str">
        <f ca="1">IFERROR(__xludf.DUMMYFUNCTION("""COMPUTED_VALUE"""),"+0.42%")</f>
        <v>+0.42%</v>
      </c>
      <c r="N94" s="58">
        <f ca="1">IFERROR(__xludf.DUMMYFUNCTION("""COMPUTED_VALUE"""),3624)</f>
        <v>3624</v>
      </c>
      <c r="O94" s="611">
        <f ca="1">IFERROR(__xludf.DUMMYFUNCTION("""COMPUTED_VALUE"""),0.0484)</f>
        <v>4.8399999999999999E-2</v>
      </c>
      <c r="P94" s="599">
        <f t="shared" si="5"/>
        <v>4.1841004184100423E-3</v>
      </c>
      <c r="Q94" s="499"/>
      <c r="R94" s="726"/>
      <c r="S94" s="730"/>
      <c r="T94" s="511"/>
      <c r="U94" s="511"/>
      <c r="V94" s="732"/>
      <c r="W94" s="8"/>
      <c r="X94" s="595"/>
      <c r="Y94" s="499"/>
      <c r="Z94" s="499"/>
      <c r="AA94" s="726"/>
      <c r="AB94" s="730"/>
      <c r="AC94" s="511"/>
      <c r="AD94" s="511"/>
      <c r="AE94" s="732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spans="1:41" ht="15.5">
      <c r="A95" s="595">
        <f ca="1">IFERROR(__xludf.DUMMYFUNCTION("""COMPUTED_VALUE"""),40)</f>
        <v>40</v>
      </c>
      <c r="B95" s="597" t="str">
        <f ca="1">IFERROR(__xludf.DUMMYFUNCTION("""COMPUTED_VALUE"""),"2305 全友")</f>
        <v>2305 全友</v>
      </c>
      <c r="C95" s="499">
        <f ca="1">IFERROR(__xludf.DUMMYFUNCTION("""COMPUTED_VALUE"""),29.35)</f>
        <v>29.35</v>
      </c>
      <c r="D95" s="726">
        <v>-1.2</v>
      </c>
      <c r="E95" s="730">
        <v>-3.9300000000000002E-2</v>
      </c>
      <c r="F95" s="598">
        <f ca="1">IFERROR(__xludf.DUMMYFUNCTION("""COMPUTED_VALUE"""),10187)</f>
        <v>10187</v>
      </c>
      <c r="G95" s="57">
        <f ca="1">IFERROR(__xludf.DUMMYFUNCTION("""COMPUTED_VALUE"""),0.0495)</f>
        <v>4.9500000000000002E-2</v>
      </c>
      <c r="H95" s="611">
        <f t="shared" ca="1" si="4"/>
        <v>-3.927986906710311E-2</v>
      </c>
      <c r="I95" s="499">
        <f ca="1">IFERROR(__xludf.DUMMYFUNCTION("""COMPUTED_VALUE"""),40)</f>
        <v>40</v>
      </c>
      <c r="J95" s="597" t="str">
        <f ca="1">IFERROR(__xludf.DUMMYFUNCTION("""COMPUTED_VALUE"""),"8043 蜜望實")</f>
        <v>8043 蜜望實</v>
      </c>
      <c r="K95" s="726">
        <v>146</v>
      </c>
      <c r="L95" s="730">
        <v>-8</v>
      </c>
      <c r="M95" s="598">
        <f ca="1">IFERROR(__xludf.DUMMYFUNCTION("""COMPUTED_VALUE"""),-0.0519)</f>
        <v>-5.1900000000000002E-2</v>
      </c>
      <c r="N95" s="58">
        <f ca="1">IFERROR(__xludf.DUMMYFUNCTION("""COMPUTED_VALUE"""),3816)</f>
        <v>3816</v>
      </c>
      <c r="O95" s="611">
        <f ca="1">IFERROR(__xludf.DUMMYFUNCTION("""COMPUTED_VALUE"""),0.0478)</f>
        <v>4.7800000000000002E-2</v>
      </c>
      <c r="P95" s="599">
        <f t="shared" si="5"/>
        <v>-5.1948051948051951E-2</v>
      </c>
      <c r="Q95" s="499"/>
      <c r="R95" s="726"/>
      <c r="S95" s="730"/>
      <c r="T95" s="511"/>
      <c r="U95" s="511"/>
      <c r="V95" s="732"/>
      <c r="W95" s="8"/>
      <c r="X95" s="595"/>
      <c r="Y95" s="499"/>
      <c r="Z95" s="499"/>
      <c r="AA95" s="726"/>
      <c r="AB95" s="730"/>
      <c r="AC95" s="511"/>
      <c r="AD95" s="511"/>
      <c r="AE95" s="732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 spans="1:41" ht="15.5">
      <c r="A96" s="595">
        <f ca="1">IFERROR(__xludf.DUMMYFUNCTION("""COMPUTED_VALUE"""),41)</f>
        <v>41</v>
      </c>
      <c r="B96" s="597" t="str">
        <f ca="1">IFERROR(__xludf.DUMMYFUNCTION("""COMPUTED_VALUE"""),"3094 聯傑")</f>
        <v>3094 聯傑</v>
      </c>
      <c r="C96" s="499">
        <f ca="1">IFERROR(__xludf.DUMMYFUNCTION("""COMPUTED_VALUE"""),37.75)</f>
        <v>37.75</v>
      </c>
      <c r="D96" s="726">
        <v>-1.05</v>
      </c>
      <c r="E96" s="730">
        <v>-2.7099999999999999E-2</v>
      </c>
      <c r="F96" s="598">
        <f ca="1">IFERROR(__xludf.DUMMYFUNCTION("""COMPUTED_VALUE"""),4081)</f>
        <v>4081</v>
      </c>
      <c r="G96" s="57">
        <f ca="1">IFERROR(__xludf.DUMMYFUNCTION("""COMPUTED_VALUE"""),0.0491)</f>
        <v>4.9099999999999998E-2</v>
      </c>
      <c r="H96" s="611">
        <f t="shared" ca="1" si="4"/>
        <v>-2.7061855670103097E-2</v>
      </c>
      <c r="I96" s="499">
        <f ca="1">IFERROR(__xludf.DUMMYFUNCTION("""COMPUTED_VALUE"""),41)</f>
        <v>41</v>
      </c>
      <c r="J96" s="597" t="str">
        <f ca="1">IFERROR(__xludf.DUMMYFUNCTION("""COMPUTED_VALUE"""),"6187 萬潤")</f>
        <v>6187 萬潤</v>
      </c>
      <c r="K96" s="726">
        <v>1275</v>
      </c>
      <c r="L96" s="730">
        <v>5</v>
      </c>
      <c r="M96" s="598" t="str">
        <f ca="1">IFERROR(__xludf.DUMMYFUNCTION("""COMPUTED_VALUE"""),"+0.39%")</f>
        <v>+0.39%</v>
      </c>
      <c r="N96" s="58">
        <f ca="1">IFERROR(__xludf.DUMMYFUNCTION("""COMPUTED_VALUE"""),4690)</f>
        <v>4690</v>
      </c>
      <c r="O96" s="611">
        <f ca="1">IFERROR(__xludf.DUMMYFUNCTION("""COMPUTED_VALUE"""),0.0477)</f>
        <v>4.7699999999999999E-2</v>
      </c>
      <c r="P96" s="599">
        <f t="shared" si="5"/>
        <v>3.937007874015748E-3</v>
      </c>
      <c r="Q96" s="499"/>
      <c r="R96" s="726"/>
      <c r="S96" s="730"/>
      <c r="T96" s="511"/>
      <c r="U96" s="511"/>
      <c r="V96" s="732"/>
      <c r="W96" s="8"/>
      <c r="X96" s="595"/>
      <c r="Y96" s="499"/>
      <c r="Z96" s="499"/>
      <c r="AA96" s="726"/>
      <c r="AB96" s="730"/>
      <c r="AC96" s="511"/>
      <c r="AD96" s="511"/>
      <c r="AE96" s="732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spans="1:41" ht="15.5">
      <c r="A97" s="595">
        <f ca="1">IFERROR(__xludf.DUMMYFUNCTION("""COMPUTED_VALUE"""),42)</f>
        <v>42</v>
      </c>
      <c r="B97" s="597" t="str">
        <f ca="1">IFERROR(__xludf.DUMMYFUNCTION("""COMPUTED_VALUE"""),"2332 友訊")</f>
        <v>2332 友訊</v>
      </c>
      <c r="C97" s="499">
        <f ca="1">IFERROR(__xludf.DUMMYFUNCTION("""COMPUTED_VALUE"""),22.6)</f>
        <v>22.6</v>
      </c>
      <c r="D97" s="726">
        <v>-0.05</v>
      </c>
      <c r="E97" s="730">
        <v>-2.2000000000000001E-3</v>
      </c>
      <c r="F97" s="598">
        <f ca="1">IFERROR(__xludf.DUMMYFUNCTION("""COMPUTED_VALUE"""),29370)</f>
        <v>29370</v>
      </c>
      <c r="G97" s="57">
        <f ca="1">IFERROR(__xludf.DUMMYFUNCTION("""COMPUTED_VALUE"""),0.0488)</f>
        <v>4.8800000000000003E-2</v>
      </c>
      <c r="H97" s="611">
        <f t="shared" ca="1" si="4"/>
        <v>-2.2075055187637969E-3</v>
      </c>
      <c r="I97" s="499">
        <f ca="1">IFERROR(__xludf.DUMMYFUNCTION("""COMPUTED_VALUE"""),42)</f>
        <v>42</v>
      </c>
      <c r="J97" s="597" t="str">
        <f ca="1">IFERROR(__xludf.DUMMYFUNCTION("""COMPUTED_VALUE"""),"6829 千附精密")</f>
        <v>6829 千附精密</v>
      </c>
      <c r="K97" s="726">
        <v>244</v>
      </c>
      <c r="L97" s="730">
        <v>22</v>
      </c>
      <c r="M97" s="598" t="str">
        <f ca="1">IFERROR(__xludf.DUMMYFUNCTION("""COMPUTED_VALUE"""),"+9.91%")</f>
        <v>+9.91%</v>
      </c>
      <c r="N97" s="58">
        <f ca="1">IFERROR(__xludf.DUMMYFUNCTION("""COMPUTED_VALUE"""),2815)</f>
        <v>2815</v>
      </c>
      <c r="O97" s="611">
        <f ca="1">IFERROR(__xludf.DUMMYFUNCTION("""COMPUTED_VALUE"""),0.0476)</f>
        <v>4.7600000000000003E-2</v>
      </c>
      <c r="P97" s="599">
        <f t="shared" si="5"/>
        <v>9.90990990990991E-2</v>
      </c>
      <c r="Q97" s="499"/>
      <c r="R97" s="726"/>
      <c r="S97" s="730"/>
      <c r="T97" s="511"/>
      <c r="U97" s="511"/>
      <c r="V97" s="732"/>
      <c r="W97" s="8"/>
      <c r="X97" s="595"/>
      <c r="Y97" s="499"/>
      <c r="Z97" s="499"/>
      <c r="AA97" s="726"/>
      <c r="AB97" s="730"/>
      <c r="AC97" s="511"/>
      <c r="AD97" s="511"/>
      <c r="AE97" s="732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spans="1:41" ht="15.5">
      <c r="A98" s="595">
        <f ca="1">IFERROR(__xludf.DUMMYFUNCTION("""COMPUTED_VALUE"""),43)</f>
        <v>43</v>
      </c>
      <c r="B98" s="597" t="str">
        <f ca="1">IFERROR(__xludf.DUMMYFUNCTION("""COMPUTED_VALUE"""),"6834 天二科技")</f>
        <v>6834 天二科技</v>
      </c>
      <c r="C98" s="499">
        <f ca="1">IFERROR(__xludf.DUMMYFUNCTION("""COMPUTED_VALUE"""),101)</f>
        <v>101</v>
      </c>
      <c r="D98" s="726">
        <v>-6.5</v>
      </c>
      <c r="E98" s="730">
        <v>-6.0499999999999998E-2</v>
      </c>
      <c r="F98" s="598">
        <f ca="1">IFERROR(__xludf.DUMMYFUNCTION("""COMPUTED_VALUE"""),4297)</f>
        <v>4297</v>
      </c>
      <c r="G98" s="57">
        <f ca="1">IFERROR(__xludf.DUMMYFUNCTION("""COMPUTED_VALUE"""),0.0486)</f>
        <v>4.8599999999999997E-2</v>
      </c>
      <c r="H98" s="611">
        <f t="shared" ca="1" si="4"/>
        <v>-6.0465116279069767E-2</v>
      </c>
      <c r="I98" s="499">
        <f ca="1">IFERROR(__xludf.DUMMYFUNCTION("""COMPUTED_VALUE"""),43)</f>
        <v>43</v>
      </c>
      <c r="J98" s="597" t="str">
        <f ca="1">IFERROR(__xludf.DUMMYFUNCTION("""COMPUTED_VALUE"""),"6761 穩得")</f>
        <v>6761 穩得</v>
      </c>
      <c r="K98" s="726">
        <v>184</v>
      </c>
      <c r="L98" s="730">
        <v>4</v>
      </c>
      <c r="M98" s="598" t="str">
        <f ca="1">IFERROR(__xludf.DUMMYFUNCTION("""COMPUTED_VALUE"""),"+2.22%")</f>
        <v>+2.22%</v>
      </c>
      <c r="N98" s="58">
        <f ca="1">IFERROR(__xludf.DUMMYFUNCTION("""COMPUTED_VALUE"""),1623)</f>
        <v>1623</v>
      </c>
      <c r="O98" s="611">
        <f ca="1">IFERROR(__xludf.DUMMYFUNCTION("""COMPUTED_VALUE"""),0.0464)</f>
        <v>4.6399999999999997E-2</v>
      </c>
      <c r="P98" s="599">
        <f t="shared" si="5"/>
        <v>2.2222222222222223E-2</v>
      </c>
      <c r="Q98" s="499"/>
      <c r="R98" s="726"/>
      <c r="S98" s="730"/>
      <c r="T98" s="511"/>
      <c r="U98" s="511"/>
      <c r="V98" s="732"/>
      <c r="W98" s="8"/>
      <c r="X98" s="595"/>
      <c r="Y98" s="499"/>
      <c r="Z98" s="499"/>
      <c r="AA98" s="726"/>
      <c r="AB98" s="730"/>
      <c r="AC98" s="511"/>
      <c r="AD98" s="511"/>
      <c r="AE98" s="732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 spans="1:41" ht="15.5">
      <c r="A99" s="595">
        <f ca="1">IFERROR(__xludf.DUMMYFUNCTION("""COMPUTED_VALUE"""),44)</f>
        <v>44</v>
      </c>
      <c r="B99" s="597" t="str">
        <f ca="1">IFERROR(__xludf.DUMMYFUNCTION("""COMPUTED_VALUE"""),"00962 台新AI優息動能")</f>
        <v>00962 台新AI優息動能</v>
      </c>
      <c r="C99" s="499">
        <f ca="1">IFERROR(__xludf.DUMMYFUNCTION("""COMPUTED_VALUE"""),15.65)</f>
        <v>15.65</v>
      </c>
      <c r="D99" s="726">
        <v>0.01</v>
      </c>
      <c r="E99" s="730">
        <v>5.9999999999999995E-4</v>
      </c>
      <c r="F99" s="598">
        <f ca="1">IFERROR(__xludf.DUMMYFUNCTION("""COMPUTED_VALUE"""),2595)</f>
        <v>2595</v>
      </c>
      <c r="G99" s="57">
        <f ca="1">IFERROR(__xludf.DUMMYFUNCTION("""COMPUTED_VALUE"""),0.0477)</f>
        <v>4.7699999999999999E-2</v>
      </c>
      <c r="H99" s="611">
        <f t="shared" ca="1" si="4"/>
        <v>6.3938618925831196E-4</v>
      </c>
      <c r="I99" s="499">
        <f ca="1">IFERROR(__xludf.DUMMYFUNCTION("""COMPUTED_VALUE"""),44)</f>
        <v>44</v>
      </c>
      <c r="J99" s="597" t="str">
        <f ca="1">IFERROR(__xludf.DUMMYFUNCTION("""COMPUTED_VALUE"""),"4973 廣穎")</f>
        <v>4973 廣穎</v>
      </c>
      <c r="K99" s="726">
        <v>159.5</v>
      </c>
      <c r="L99" s="730">
        <v>-4</v>
      </c>
      <c r="M99" s="598">
        <f ca="1">IFERROR(__xludf.DUMMYFUNCTION("""COMPUTED_VALUE"""),-0.0245)</f>
        <v>-2.4500000000000001E-2</v>
      </c>
      <c r="N99" s="58">
        <f ca="1">IFERROR(__xludf.DUMMYFUNCTION("""COMPUTED_VALUE"""),2980)</f>
        <v>2980</v>
      </c>
      <c r="O99" s="611">
        <f ca="1">IFERROR(__xludf.DUMMYFUNCTION("""COMPUTED_VALUE"""),0.0456)</f>
        <v>4.5600000000000002E-2</v>
      </c>
      <c r="P99" s="599">
        <f t="shared" si="5"/>
        <v>-2.4464831804281346E-2</v>
      </c>
      <c r="Q99" s="499"/>
      <c r="R99" s="726"/>
      <c r="S99" s="730"/>
      <c r="T99" s="511"/>
      <c r="U99" s="511"/>
      <c r="V99" s="732"/>
      <c r="W99" s="8"/>
      <c r="X99" s="595"/>
      <c r="Y99" s="499"/>
      <c r="Z99" s="499"/>
      <c r="AA99" s="726"/>
      <c r="AB99" s="730"/>
      <c r="AC99" s="511"/>
      <c r="AD99" s="511"/>
      <c r="AE99" s="732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spans="1:41" ht="15.5">
      <c r="A100" s="595">
        <f ca="1">IFERROR(__xludf.DUMMYFUNCTION("""COMPUTED_VALUE"""),45)</f>
        <v>45</v>
      </c>
      <c r="B100" s="597" t="str">
        <f ca="1">IFERROR(__xludf.DUMMYFUNCTION("""COMPUTED_VALUE"""),"2337 旺宏")</f>
        <v>2337 旺宏</v>
      </c>
      <c r="C100" s="499">
        <f ca="1">IFERROR(__xludf.DUMMYFUNCTION("""COMPUTED_VALUE"""),137)</f>
        <v>137</v>
      </c>
      <c r="D100" s="726">
        <v>0.5</v>
      </c>
      <c r="E100" s="730">
        <v>3.7000000000000002E-3</v>
      </c>
      <c r="F100" s="598">
        <f ca="1">IFERROR(__xludf.DUMMYFUNCTION("""COMPUTED_VALUE"""),94191)</f>
        <v>94191</v>
      </c>
      <c r="G100" s="57">
        <f ca="1">IFERROR(__xludf.DUMMYFUNCTION("""COMPUTED_VALUE"""),0.0475)</f>
        <v>4.7500000000000001E-2</v>
      </c>
      <c r="H100" s="611">
        <f t="shared" ca="1" si="4"/>
        <v>3.663003663003663E-3</v>
      </c>
      <c r="I100" s="499">
        <f ca="1">IFERROR(__xludf.DUMMYFUNCTION("""COMPUTED_VALUE"""),45)</f>
        <v>45</v>
      </c>
      <c r="J100" s="597" t="str">
        <f ca="1">IFERROR(__xludf.DUMMYFUNCTION("""COMPUTED_VALUE"""),"6683 雍智科技")</f>
        <v>6683 雍智科技</v>
      </c>
      <c r="K100" s="726">
        <v>1370</v>
      </c>
      <c r="L100" s="730">
        <v>-25</v>
      </c>
      <c r="M100" s="598">
        <f ca="1">IFERROR(__xludf.DUMMYFUNCTION("""COMPUTED_VALUE"""),-0.0179)</f>
        <v>-1.7899999999999999E-2</v>
      </c>
      <c r="N100" s="58">
        <f ca="1">IFERROR(__xludf.DUMMYFUNCTION("""COMPUTED_VALUE"""),1249)</f>
        <v>1249</v>
      </c>
      <c r="O100" s="611">
        <f ca="1">IFERROR(__xludf.DUMMYFUNCTION("""COMPUTED_VALUE"""),0.0453)</f>
        <v>4.53E-2</v>
      </c>
      <c r="P100" s="599">
        <f t="shared" si="5"/>
        <v>-1.7921146953405017E-2</v>
      </c>
      <c r="Q100" s="499"/>
      <c r="R100" s="726"/>
      <c r="S100" s="730"/>
      <c r="T100" s="511"/>
      <c r="U100" s="511"/>
      <c r="V100" s="732"/>
      <c r="W100" s="8"/>
      <c r="X100" s="595"/>
      <c r="Y100" s="499"/>
      <c r="Z100" s="499"/>
      <c r="AA100" s="726"/>
      <c r="AB100" s="730"/>
      <c r="AC100" s="511"/>
      <c r="AD100" s="511"/>
      <c r="AE100" s="732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spans="1:41" ht="15.5">
      <c r="A101" s="595">
        <f ca="1">IFERROR(__xludf.DUMMYFUNCTION("""COMPUTED_VALUE"""),46)</f>
        <v>46</v>
      </c>
      <c r="B101" s="597" t="str">
        <f ca="1">IFERROR(__xludf.DUMMYFUNCTION("""COMPUTED_VALUE"""),"00678 群益那斯達克生技")</f>
        <v>00678 群益那斯達克生技</v>
      </c>
      <c r="C101" s="499">
        <f ca="1">IFERROR(__xludf.DUMMYFUNCTION("""COMPUTED_VALUE"""),41.88)</f>
        <v>41.88</v>
      </c>
      <c r="D101" s="726">
        <v>-0.52</v>
      </c>
      <c r="E101" s="730">
        <v>-1.23E-2</v>
      </c>
      <c r="F101" s="598">
        <f ca="1">IFERROR(__xludf.DUMMYFUNCTION("""COMPUTED_VALUE"""),397)</f>
        <v>397</v>
      </c>
      <c r="G101" s="57">
        <f ca="1">IFERROR(__xludf.DUMMYFUNCTION("""COMPUTED_VALUE"""),0.047)</f>
        <v>4.7E-2</v>
      </c>
      <c r="H101" s="611">
        <f t="shared" ca="1" si="4"/>
        <v>-1.2264150943396225E-2</v>
      </c>
      <c r="I101" s="499">
        <f ca="1">IFERROR(__xludf.DUMMYFUNCTION("""COMPUTED_VALUE"""),46)</f>
        <v>46</v>
      </c>
      <c r="J101" s="597" t="str">
        <f ca="1">IFERROR(__xludf.DUMMYFUNCTION("""COMPUTED_VALUE"""),"1336 台翰")</f>
        <v>1336 台翰</v>
      </c>
      <c r="K101" s="726">
        <v>17.649999999999999</v>
      </c>
      <c r="L101" s="730">
        <v>1.6</v>
      </c>
      <c r="M101" s="598" t="str">
        <f ca="1">IFERROR(__xludf.DUMMYFUNCTION("""COMPUTED_VALUE"""),"+9.97%")</f>
        <v>+9.97%</v>
      </c>
      <c r="N101" s="58">
        <f ca="1">IFERROR(__xludf.DUMMYFUNCTION("""COMPUTED_VALUE"""),3489)</f>
        <v>3489</v>
      </c>
      <c r="O101" s="611">
        <f ca="1">IFERROR(__xludf.DUMMYFUNCTION("""COMPUTED_VALUE"""),0.045)</f>
        <v>4.4999999999999998E-2</v>
      </c>
      <c r="P101" s="599">
        <f t="shared" si="5"/>
        <v>9.9688473520249246E-2</v>
      </c>
      <c r="Q101" s="499"/>
      <c r="R101" s="726"/>
      <c r="S101" s="730"/>
      <c r="T101" s="511"/>
      <c r="U101" s="511"/>
      <c r="V101" s="732"/>
      <c r="W101" s="8"/>
      <c r="X101" s="595"/>
      <c r="Y101" s="499"/>
      <c r="Z101" s="499"/>
      <c r="AA101" s="726"/>
      <c r="AB101" s="730"/>
      <c r="AC101" s="511"/>
      <c r="AD101" s="511"/>
      <c r="AE101" s="732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spans="1:41" ht="15.5">
      <c r="A102" s="595">
        <f ca="1">IFERROR(__xludf.DUMMYFUNCTION("""COMPUTED_VALUE"""),47)</f>
        <v>47</v>
      </c>
      <c r="B102" s="597" t="str">
        <f ca="1">IFERROR(__xludf.DUMMYFUNCTION("""COMPUTED_VALUE"""),"2464 盟立")</f>
        <v>2464 盟立</v>
      </c>
      <c r="C102" s="499">
        <f ca="1">IFERROR(__xludf.DUMMYFUNCTION("""COMPUTED_VALUE"""),192)</f>
        <v>192</v>
      </c>
      <c r="D102" s="726">
        <v>-4</v>
      </c>
      <c r="E102" s="730">
        <v>-2.0400000000000001E-2</v>
      </c>
      <c r="F102" s="598">
        <f ca="1">IFERROR(__xludf.DUMMYFUNCTION("""COMPUTED_VALUE"""),10005)</f>
        <v>10005</v>
      </c>
      <c r="G102" s="57">
        <f ca="1">IFERROR(__xludf.DUMMYFUNCTION("""COMPUTED_VALUE"""),0.0462)</f>
        <v>4.6199999999999998E-2</v>
      </c>
      <c r="H102" s="611">
        <f t="shared" ca="1" si="4"/>
        <v>-2.0408163265306121E-2</v>
      </c>
      <c r="I102" s="499">
        <f ca="1">IFERROR(__xludf.DUMMYFUNCTION("""COMPUTED_VALUE"""),47)</f>
        <v>47</v>
      </c>
      <c r="J102" s="597" t="str">
        <f ca="1">IFERROR(__xludf.DUMMYFUNCTION("""COMPUTED_VALUE"""),"3211 順達")</f>
        <v>3211 順達</v>
      </c>
      <c r="K102" s="726">
        <v>391</v>
      </c>
      <c r="L102" s="730">
        <v>-15.5</v>
      </c>
      <c r="M102" s="598">
        <f ca="1">IFERROR(__xludf.DUMMYFUNCTION("""COMPUTED_VALUE"""),-0.0381)</f>
        <v>-3.8100000000000002E-2</v>
      </c>
      <c r="N102" s="58">
        <f ca="1">IFERROR(__xludf.DUMMYFUNCTION("""COMPUTED_VALUE"""),6927)</f>
        <v>6927</v>
      </c>
      <c r="O102" s="611">
        <f ca="1">IFERROR(__xludf.DUMMYFUNCTION("""COMPUTED_VALUE"""),0.0449)</f>
        <v>4.4900000000000002E-2</v>
      </c>
      <c r="P102" s="599">
        <f t="shared" si="5"/>
        <v>-3.8130381303813035E-2</v>
      </c>
      <c r="Q102" s="499"/>
      <c r="R102" s="726"/>
      <c r="S102" s="730"/>
      <c r="T102" s="511"/>
      <c r="U102" s="511"/>
      <c r="V102" s="732"/>
      <c r="W102" s="8"/>
      <c r="X102" s="595"/>
      <c r="Y102" s="499"/>
      <c r="Z102" s="499"/>
      <c r="AA102" s="726"/>
      <c r="AB102" s="730"/>
      <c r="AC102" s="511"/>
      <c r="AD102" s="511"/>
      <c r="AE102" s="732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 spans="1:41" ht="15.5">
      <c r="A103" s="595">
        <f ca="1">IFERROR(__xludf.DUMMYFUNCTION("""COMPUTED_VALUE"""),48)</f>
        <v>48</v>
      </c>
      <c r="B103" s="597" t="str">
        <f ca="1">IFERROR(__xludf.DUMMYFUNCTION("""COMPUTED_VALUE"""),"00410A主動永豐科技趨勢")</f>
        <v>00410A主動永豐科技趨勢</v>
      </c>
      <c r="C103" s="499">
        <f ca="1">IFERROR(__xludf.DUMMYFUNCTION("""COMPUTED_VALUE"""),11.43)</f>
        <v>11.43</v>
      </c>
      <c r="D103" s="726">
        <v>0.12</v>
      </c>
      <c r="E103" s="730">
        <v>1.06E-2</v>
      </c>
      <c r="F103" s="598">
        <f ca="1">IFERROR(__xludf.DUMMYFUNCTION("""COMPUTED_VALUE"""),6340)</f>
        <v>6340</v>
      </c>
      <c r="G103" s="57">
        <f ca="1">IFERROR(__xludf.DUMMYFUNCTION("""COMPUTED_VALUE"""),0.0448)</f>
        <v>4.48E-2</v>
      </c>
      <c r="H103" s="611">
        <f t="shared" ca="1" si="4"/>
        <v>1.0610079575596816E-2</v>
      </c>
      <c r="I103" s="499">
        <f ca="1">IFERROR(__xludf.DUMMYFUNCTION("""COMPUTED_VALUE"""),48)</f>
        <v>48</v>
      </c>
      <c r="J103" s="597" t="str">
        <f ca="1">IFERROR(__xludf.DUMMYFUNCTION("""COMPUTED_VALUE"""),"3430 奇鈦科")</f>
        <v>3430 奇鈦科</v>
      </c>
      <c r="K103" s="726">
        <v>118</v>
      </c>
      <c r="L103" s="730">
        <v>-1</v>
      </c>
      <c r="M103" s="598">
        <f ca="1">IFERROR(__xludf.DUMMYFUNCTION("""COMPUTED_VALUE"""),-0.0084)</f>
        <v>-8.3999999999999995E-3</v>
      </c>
      <c r="N103" s="58">
        <f ca="1">IFERROR(__xludf.DUMMYFUNCTION("""COMPUTED_VALUE"""),1507)</f>
        <v>1507</v>
      </c>
      <c r="O103" s="611">
        <f ca="1">IFERROR(__xludf.DUMMYFUNCTION("""COMPUTED_VALUE"""),0.0447)</f>
        <v>4.4699999999999997E-2</v>
      </c>
      <c r="P103" s="599">
        <f t="shared" si="5"/>
        <v>-8.4033613445378148E-3</v>
      </c>
      <c r="Q103" s="499"/>
      <c r="R103" s="726"/>
      <c r="S103" s="730"/>
      <c r="T103" s="511"/>
      <c r="U103" s="511"/>
      <c r="V103" s="732"/>
      <c r="W103" s="8"/>
      <c r="X103" s="595"/>
      <c r="Y103" s="499"/>
      <c r="Z103" s="499"/>
      <c r="AA103" s="726"/>
      <c r="AB103" s="730"/>
      <c r="AC103" s="511"/>
      <c r="AD103" s="511"/>
      <c r="AE103" s="732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spans="1:41" ht="15.5">
      <c r="A104" s="595">
        <f ca="1">IFERROR(__xludf.DUMMYFUNCTION("""COMPUTED_VALUE"""),49)</f>
        <v>49</v>
      </c>
      <c r="B104" s="597" t="str">
        <f ca="1">IFERROR(__xludf.DUMMYFUNCTION("""COMPUTED_VALUE"""),"3090 日電貿")</f>
        <v>3090 日電貿</v>
      </c>
      <c r="C104" s="499">
        <f ca="1">IFERROR(__xludf.DUMMYFUNCTION("""COMPUTED_VALUE"""),174.5)</f>
        <v>174.5</v>
      </c>
      <c r="D104" s="726">
        <v>-0.5</v>
      </c>
      <c r="E104" s="730">
        <v>-2.8999999999999998E-3</v>
      </c>
      <c r="F104" s="598">
        <f ca="1">IFERROR(__xludf.DUMMYFUNCTION("""COMPUTED_VALUE"""),12878)</f>
        <v>12878</v>
      </c>
      <c r="G104" s="57">
        <f ca="1">IFERROR(__xludf.DUMMYFUNCTION("""COMPUTED_VALUE"""),0.0448)</f>
        <v>4.48E-2</v>
      </c>
      <c r="H104" s="611">
        <f t="shared" ca="1" si="4"/>
        <v>-2.8571428571428571E-3</v>
      </c>
      <c r="I104" s="499">
        <f ca="1">IFERROR(__xludf.DUMMYFUNCTION("""COMPUTED_VALUE"""),49)</f>
        <v>49</v>
      </c>
      <c r="J104" s="597" t="str">
        <f ca="1">IFERROR(__xludf.DUMMYFUNCTION("""COMPUTED_VALUE"""),"3357 臺慶科")</f>
        <v>3357 臺慶科</v>
      </c>
      <c r="K104" s="726">
        <v>228.5</v>
      </c>
      <c r="L104" s="730">
        <v>-25</v>
      </c>
      <c r="M104" s="598">
        <f ca="1">IFERROR(__xludf.DUMMYFUNCTION("""COMPUTED_VALUE"""),-0.0986)</f>
        <v>-9.8599999999999993E-2</v>
      </c>
      <c r="N104" s="58">
        <f ca="1">IFERROR(__xludf.DUMMYFUNCTION("""COMPUTED_VALUE"""),5176)</f>
        <v>5176</v>
      </c>
      <c r="O104" s="611">
        <f ca="1">IFERROR(__xludf.DUMMYFUNCTION("""COMPUTED_VALUE"""),0.0445)</f>
        <v>4.4499999999999998E-2</v>
      </c>
      <c r="P104" s="599">
        <f t="shared" si="5"/>
        <v>-9.8619329388560162E-2</v>
      </c>
      <c r="Q104" s="499"/>
      <c r="R104" s="726"/>
      <c r="S104" s="730"/>
      <c r="T104" s="511"/>
      <c r="U104" s="511"/>
      <c r="V104" s="732"/>
      <c r="W104" s="8"/>
      <c r="X104" s="595"/>
      <c r="Y104" s="499"/>
      <c r="Z104" s="499"/>
      <c r="AA104" s="726"/>
      <c r="AB104" s="730"/>
      <c r="AC104" s="511"/>
      <c r="AD104" s="511"/>
      <c r="AE104" s="732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spans="1:41" ht="16" thickBot="1">
      <c r="A105" s="601">
        <f ca="1">IFERROR(__xludf.DUMMYFUNCTION("""COMPUTED_VALUE"""),50)</f>
        <v>50</v>
      </c>
      <c r="B105" s="602" t="str">
        <f ca="1">IFERROR(__xludf.DUMMYFUNCTION("""COMPUTED_VALUE"""),"009826貝萊德世界股票")</f>
        <v>009826貝萊德世界股票</v>
      </c>
      <c r="C105" s="603">
        <f ca="1">IFERROR(__xludf.DUMMYFUNCTION("""COMPUTED_VALUE"""),10.3)</f>
        <v>10.3</v>
      </c>
      <c r="D105" s="727">
        <v>-0.01</v>
      </c>
      <c r="E105" s="731">
        <v>-1E-3</v>
      </c>
      <c r="F105" s="605">
        <f ca="1">IFERROR(__xludf.DUMMYFUNCTION("""COMPUTED_VALUE"""),24828)</f>
        <v>24828</v>
      </c>
      <c r="G105" s="57">
        <f ca="1">IFERROR(__xludf.DUMMYFUNCTION("""COMPUTED_VALUE"""),0.0443)</f>
        <v>4.4299999999999999E-2</v>
      </c>
      <c r="H105" s="612">
        <f t="shared" ca="1" si="4"/>
        <v>-9.6993210475266732E-4</v>
      </c>
      <c r="I105" s="603">
        <f ca="1">IFERROR(__xludf.DUMMYFUNCTION("""COMPUTED_VALUE"""),50)</f>
        <v>50</v>
      </c>
      <c r="J105" s="602" t="str">
        <f ca="1">IFERROR(__xludf.DUMMYFUNCTION("""COMPUTED_VALUE"""),"6174 安��")</f>
        <v>6174 安��</v>
      </c>
      <c r="K105" s="727">
        <v>44.3</v>
      </c>
      <c r="L105" s="731">
        <v>-3.2</v>
      </c>
      <c r="M105" s="605">
        <f ca="1">IFERROR(__xludf.DUMMYFUNCTION("""COMPUTED_VALUE"""),-0.0674)</f>
        <v>-6.7400000000000002E-2</v>
      </c>
      <c r="N105" s="58">
        <f ca="1">IFERROR(__xludf.DUMMYFUNCTION("""COMPUTED_VALUE"""),2149)</f>
        <v>2149</v>
      </c>
      <c r="O105" s="612">
        <f ca="1">IFERROR(__xludf.DUMMYFUNCTION("""COMPUTED_VALUE"""),0.043)</f>
        <v>4.2999999999999997E-2</v>
      </c>
      <c r="P105" s="604">
        <f t="shared" si="5"/>
        <v>-6.7368421052631577E-2</v>
      </c>
      <c r="Q105" s="603"/>
      <c r="R105" s="727"/>
      <c r="S105" s="731"/>
      <c r="T105" s="619"/>
      <c r="U105" s="619"/>
      <c r="V105" s="733"/>
      <c r="W105" s="8"/>
      <c r="X105" s="601"/>
      <c r="Y105" s="603"/>
      <c r="Z105" s="603"/>
      <c r="AA105" s="727"/>
      <c r="AB105" s="731"/>
      <c r="AC105" s="619"/>
      <c r="AD105" s="619"/>
      <c r="AE105" s="733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 spans="1:41" ht="12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spans="1:41" ht="12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spans="1:41" ht="12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spans="1:41" ht="12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spans="1:41" ht="12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spans="1:41" ht="12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spans="1:41" ht="12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spans="1:41" ht="12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spans="1:41" ht="12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spans="1:41" ht="12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spans="1:41" ht="12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spans="1:41" ht="12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spans="1:41" ht="12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spans="1:41" ht="12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spans="1:41" ht="12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spans="1:41" ht="12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spans="1:41" ht="12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spans="1:41" ht="12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spans="1:41" ht="12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 spans="1:41" ht="12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spans="1:41" ht="12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spans="1:41" ht="12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spans="1:41" ht="12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spans="1:41" ht="12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spans="1:41" ht="12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spans="1:41" ht="12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spans="1:41" ht="12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 spans="1:41" ht="12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spans="1:41" ht="12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spans="1:41" ht="12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spans="1:41" ht="12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spans="1:41" ht="12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spans="1:41" ht="12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 spans="1:41" ht="12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spans="1:41" ht="12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 spans="1:41" ht="12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 spans="1:41" ht="12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 spans="1:41" ht="12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 spans="1:41" ht="12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spans="1:41" ht="12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 spans="1:41" ht="12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spans="1:41" ht="12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spans="1:41" ht="12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spans="1:41" ht="12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 spans="1:41" ht="12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spans="1:41" ht="12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spans="1:41" ht="12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 spans="1:41" ht="12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 spans="1:41" ht="12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spans="1:41" ht="12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spans="1:41" ht="12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spans="1:41" ht="12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 spans="1:41" ht="12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spans="1:41" ht="12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spans="1:41" ht="12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spans="1:41" ht="12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 spans="1:41" ht="12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 spans="1:41" ht="12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spans="1:41" ht="12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spans="1:41" ht="12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spans="1:41" ht="12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spans="1:41" ht="12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spans="1:41" ht="12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spans="1:41" ht="12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 spans="1:41" ht="12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spans="1:41" ht="12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spans="1:41" ht="12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spans="1:41" ht="12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 spans="1:41" ht="12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 spans="1:41" ht="12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spans="1:41" ht="12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spans="1:41" ht="12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spans="1:41" ht="12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spans="1:41" ht="12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spans="1:41" ht="12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spans="1:41" ht="12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spans="1:41" ht="12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spans="1:41" ht="12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spans="1:41" ht="12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spans="1:41" ht="12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 spans="1:41" ht="12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spans="1:41" ht="12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spans="1:41" ht="12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spans="1:41" ht="12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spans="1:41" ht="12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 spans="1:41" ht="12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spans="1:41" ht="12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spans="1:41" ht="12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 spans="1:41" ht="12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spans="1:41" ht="12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spans="1:41" ht="12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spans="1:41" ht="12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spans="1:41" ht="12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spans="1:41" ht="12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spans="1:41" ht="12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spans="1:41" ht="12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spans="1:41" ht="12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spans="1:41" ht="12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spans="1:41" ht="12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spans="1:41" ht="12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spans="1:41" ht="12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 spans="1:41" ht="12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 spans="1:41" ht="12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 spans="1:41" ht="12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 spans="1:41" ht="12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spans="1:41" ht="12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spans="1:41" ht="12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spans="1:41" ht="12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spans="1:41" ht="12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spans="1:41" ht="12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spans="1:41" ht="12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spans="1:41" ht="12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spans="1:41" ht="12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spans="1:41" ht="12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spans="1:41" ht="12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spans="1:41" ht="12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spans="1:41" ht="12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spans="1:41" ht="12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spans="1:41" ht="12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spans="1:41" ht="12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spans="1:41" ht="12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spans="1:41" ht="12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spans="1:41" ht="12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spans="1:41" ht="12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spans="1:41" ht="12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spans="1:41" ht="12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spans="1:41" ht="12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spans="1:41" ht="12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spans="1:41" ht="12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spans="1:41" ht="12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spans="1:41" ht="12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spans="1:41" ht="12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spans="1:41" ht="12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spans="1:41" ht="12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spans="1:41" ht="12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spans="1:41" ht="12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spans="1:41" ht="12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spans="1:41" ht="12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spans="1:41" ht="12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spans="1:41" ht="12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spans="1:41" ht="12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spans="1:41" ht="12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spans="1:41" ht="12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spans="1:41" ht="12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spans="1:41" ht="12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spans="1:41" ht="12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spans="1:41" ht="12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spans="1:41" ht="12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spans="1:41" ht="12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spans="1:41" ht="12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spans="1:41" ht="12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spans="1:41" ht="12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spans="1:41" ht="12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spans="1:41" ht="12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spans="1:41" ht="12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spans="1:41" ht="12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spans="1:41" ht="12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spans="1:41" ht="12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spans="1:41" ht="12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spans="1:41" ht="12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spans="1:41" ht="12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spans="1:41" ht="12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spans="1:41" ht="12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spans="1:41" ht="12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spans="1:41" ht="12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spans="1:41" ht="12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spans="1:41" ht="12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spans="1:41" ht="12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spans="1:41" ht="12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spans="1:41" ht="12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spans="1:41" ht="12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spans="1:41" ht="12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spans="1:41" ht="12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spans="1:41" ht="12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spans="1:41" ht="12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spans="1:41" ht="12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spans="1:41" ht="12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spans="1:41" ht="12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spans="1:41" ht="12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spans="1:41" ht="12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spans="1:41" ht="12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spans="1:41" ht="12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spans="1:41" ht="12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spans="1:41" ht="12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spans="1:41" ht="12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spans="1:41" ht="12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spans="1:41" ht="12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spans="1:41" ht="12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spans="1:41" ht="12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spans="1:41" ht="12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spans="1:41" ht="12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spans="1:41" ht="12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spans="1:41" ht="12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spans="1:41" ht="12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spans="1:41" ht="12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spans="1:41" ht="12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spans="1:41" ht="12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spans="1:41" ht="12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spans="1:41" ht="12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spans="1:41" ht="12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spans="1:41" ht="12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spans="1:41" ht="12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spans="1:41" ht="12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spans="1:41" ht="12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spans="1:41" ht="12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spans="1:41" ht="12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spans="1:41" ht="12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spans="1:41" ht="12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spans="1:41" ht="12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spans="1:41" ht="12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spans="1:41" ht="12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spans="1:41" ht="12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spans="1:41" ht="12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spans="1:41" ht="12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spans="1:41" ht="12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spans="1:41" ht="12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spans="1:41" ht="12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spans="1:41" ht="12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spans="1:41" ht="12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spans="1:41" ht="12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spans="1:41" ht="12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spans="1:41" ht="12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spans="1:41" ht="12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spans="1:41" ht="12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spans="1:41" ht="12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spans="1:41" ht="12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spans="1:41" ht="12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spans="1:41" ht="12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spans="1:41" ht="12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spans="1:41" ht="12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spans="1:41" ht="12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spans="1:41" ht="12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spans="1:41" ht="12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spans="1:41" ht="12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spans="1:41" ht="12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spans="1:41" ht="12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spans="1:41" ht="12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spans="1:41" ht="12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spans="1:41" ht="12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spans="1:41" ht="12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spans="1:41" ht="12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spans="1:41" ht="12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spans="1:41" ht="12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spans="1:41" ht="12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spans="1:41" ht="12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spans="1:41" ht="12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spans="1:41" ht="12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spans="1:41" ht="12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spans="1:41" ht="12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spans="1:41" ht="12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spans="1:41" ht="12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spans="1:41" ht="12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spans="1:41" ht="12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spans="1:41" ht="12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spans="1:41" ht="12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spans="1:41" ht="12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spans="1:41" ht="12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spans="1:41" ht="12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spans="1:41" ht="12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spans="1:41" ht="12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spans="1:41" ht="12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spans="1:41" ht="12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spans="1:41" ht="12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spans="1:41" ht="12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spans="1:41" ht="12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spans="1:41" ht="12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spans="1:41" ht="12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spans="1:41" ht="12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spans="1:41" ht="12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spans="1:41" ht="12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spans="1:41" ht="12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spans="1:41" ht="12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spans="1:41" ht="12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spans="1:41" ht="12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spans="1:41" ht="12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spans="1:41" ht="12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spans="1:41" ht="12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spans="1:41" ht="12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spans="1:41" ht="12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spans="1:41" ht="12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spans="1:41" ht="12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spans="1:41" ht="12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spans="1:41" ht="12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spans="1:41" ht="12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spans="1:41" ht="12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spans="1:41" ht="12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spans="1:41" ht="12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spans="1:41" ht="12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spans="1:41" ht="12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spans="1:41" ht="12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spans="1:41" ht="12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spans="1:41" ht="12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spans="1:41" ht="12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spans="1:41" ht="12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spans="1:41" ht="12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spans="1:41" ht="12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spans="1:41" ht="12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spans="1:41" ht="12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spans="1:41" ht="12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spans="1:41" ht="12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spans="1:41" ht="12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spans="1:41" ht="12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spans="1:41" ht="12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spans="1:41" ht="12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spans="1:41" ht="12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spans="1:41" ht="12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spans="1:41" ht="12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spans="1:41" ht="12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spans="1:41" ht="12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spans="1:41" ht="12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spans="1:41" ht="12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spans="1:41" ht="12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spans="1:41" ht="12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spans="1:41" ht="12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spans="1:41" ht="12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spans="1:41" ht="12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spans="1:41" ht="12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spans="1:41" ht="12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spans="1:41" ht="12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spans="1:41" ht="12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spans="1:41" ht="12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spans="1:41" ht="12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spans="1:41" ht="12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spans="1:41" ht="12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spans="1:41" ht="12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spans="1:41" ht="12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spans="1:41" ht="12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spans="1:41" ht="12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spans="1:41" ht="12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spans="1:41" ht="12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spans="1:41" ht="12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spans="1:41" ht="12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spans="1:41" ht="12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spans="1:41" ht="12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spans="1:41" ht="12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spans="1:41" ht="12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spans="1:41" ht="12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spans="1:41" ht="12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spans="1:41" ht="12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spans="1:41" ht="12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spans="1:41" ht="12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spans="1:41" ht="12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spans="1:41" ht="12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spans="1:41" ht="12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spans="1:41" ht="12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spans="1:41" ht="12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spans="1:41" ht="12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spans="1:41" ht="12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spans="1:41" ht="12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spans="1:41" ht="12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spans="1:41" ht="12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spans="1:41" ht="12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spans="1:41" ht="12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spans="1:41" ht="12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spans="1:41" ht="12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spans="1:41" ht="12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spans="1:41" ht="12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spans="1:41" ht="12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spans="1:41" ht="12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spans="1:41" ht="12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spans="1:41" ht="12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spans="1:41" ht="12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spans="1:41" ht="12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spans="1:41" ht="12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spans="1:41" ht="12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spans="1:41" ht="12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spans="1:41" ht="12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spans="1:41" ht="12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spans="1:41" ht="12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spans="1:41" ht="12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spans="1:41" ht="12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spans="1:41" ht="12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spans="1:41" ht="12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spans="1:41" ht="12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spans="1:41" ht="12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spans="1:41" ht="12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spans="1:41" ht="12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spans="1:41" ht="12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spans="1:41" ht="12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spans="1:41" ht="12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spans="1:41" ht="12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spans="1:41" ht="12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spans="1:41" ht="12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 spans="1:41" ht="12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 spans="1:41" ht="12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 spans="1:41" ht="12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 spans="1:41" ht="12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 spans="1:41" ht="12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 spans="1:41" ht="12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 spans="1:41" ht="12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 spans="1:41" ht="12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 spans="1:41" ht="12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 spans="1:41" ht="12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 spans="1:41" ht="12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 spans="1:41" ht="12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 spans="1:41" ht="12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 spans="1:41" ht="12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 spans="1:41" ht="12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 spans="1:41" ht="12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 spans="1:41" ht="12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 spans="1:41" ht="12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 spans="1:41" ht="12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 spans="1:41" ht="12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 spans="1:41" ht="12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 spans="1:41" ht="12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 spans="1:41" ht="12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 spans="1:41" ht="12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 spans="1:41" ht="12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 spans="1:41" ht="12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 spans="1:41" ht="12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 spans="1:41" ht="12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 spans="1:41" ht="12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 spans="1:41" ht="12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 spans="1:41" ht="12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 spans="1:41" ht="12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 spans="1:41" ht="12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 spans="1:41" ht="12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 spans="1:41" ht="12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 spans="1:41" ht="12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 spans="1:41" ht="12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 spans="1:41" ht="12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 spans="1:41" ht="12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 spans="1:41" ht="12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 spans="1:41" ht="12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 spans="1:41" ht="12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 spans="1:41" ht="12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 spans="1:41" ht="12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 spans="1:41" ht="12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 spans="1:41" ht="12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 spans="1:41" ht="12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 spans="1:41" ht="12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 spans="1:41" ht="12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 spans="1:41" ht="12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 spans="1:41" ht="12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 spans="1:41" ht="12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 spans="1:41" ht="12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 spans="1:41" ht="12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 spans="1:41" ht="12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 spans="1:41" ht="12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 spans="1:41" ht="12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 spans="1:41" ht="12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 spans="1:41" ht="12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 spans="1:41" ht="12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 spans="1:41" ht="12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 spans="1:41" ht="12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 spans="1:41" ht="12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 spans="1:41" ht="12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 spans="1:41" ht="12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 spans="1:41" ht="12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 spans="1:41" ht="12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 spans="1:41" ht="12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 spans="1:41" ht="12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 spans="1:41" ht="12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 spans="1:41" ht="12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 spans="1:41" ht="12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 spans="1:41" ht="12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 spans="1:41" ht="12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 spans="1:41" ht="12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 spans="1:41" ht="12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 spans="1:41" ht="12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 spans="1:41" ht="12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 spans="1:41" ht="12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 spans="1:41" ht="12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 spans="1:41" ht="12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 spans="1:41" ht="12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 spans="1:41" ht="12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 spans="1:41" ht="12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 spans="1:41" ht="12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 spans="1:41" ht="12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 spans="1:41" ht="12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 spans="1:41" ht="12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 spans="1:41" ht="12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 spans="1:41" ht="12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 spans="1:41" ht="12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 spans="1:41" ht="12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 spans="1:41" ht="12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 spans="1:41" ht="12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 spans="1:41" ht="12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 spans="1:41" ht="12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 spans="1:41" ht="12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 spans="1:41" ht="12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 spans="1:41" ht="12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 spans="1:41" ht="12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 spans="1:41" ht="12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 spans="1:41" ht="12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 spans="1:41" ht="12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 spans="1:41" ht="12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 spans="1:41" ht="12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 spans="1:41" ht="12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 spans="1:41" ht="12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 spans="1:41" ht="12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 spans="1:41" ht="12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 spans="1:41" ht="12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 spans="1:41" ht="12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 spans="1:41" ht="12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 spans="1:41" ht="12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 spans="1:41" ht="12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 spans="1:41" ht="12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 spans="1:41" ht="12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 spans="1:41" ht="12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 spans="1:41" ht="12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 spans="1:41" ht="12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 spans="1:41" ht="12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 spans="1:41" ht="12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 spans="1:41" ht="12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 spans="1:41" ht="12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 spans="1:41" ht="12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 spans="1:41" ht="12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 spans="1:41" ht="12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 spans="1:41" ht="12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 spans="1:41" ht="12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 spans="1:41" ht="12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 spans="1:41" ht="12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 spans="1:41" ht="12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 spans="1:41" ht="12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 spans="1:41" ht="12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 spans="1:41" ht="12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 spans="1:41" ht="12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 spans="1:41" ht="12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 spans="1:41" ht="12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 spans="1:41" ht="12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 spans="1:41" ht="12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 spans="1:41" ht="12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 spans="1:41" ht="12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 spans="1:41" ht="12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 spans="1:41" ht="12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 spans="1:41" ht="12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 spans="1:41" ht="12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 spans="1:41" ht="12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 spans="1:41" ht="12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 spans="1:41" ht="12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 spans="1:41" ht="12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 spans="1:41" ht="12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 spans="1:41" ht="12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 spans="1:41" ht="12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 spans="1:41" ht="12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 spans="1:41" ht="12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 spans="1:41" ht="12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 spans="1:41" ht="12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 spans="1:41" ht="12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 spans="1:41" ht="12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 spans="1:41" ht="12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 spans="1:41" ht="12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 spans="1:41" ht="12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 spans="1:41" ht="12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 spans="1:41" ht="12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 spans="1:41" ht="12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 spans="1:41" ht="12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 spans="1:41" ht="12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 spans="1:41" ht="12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 spans="1:41" ht="12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 spans="1:41" ht="12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 spans="1:41" ht="12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 spans="1:41" ht="12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 spans="1:41" ht="12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 spans="1:41" ht="12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 spans="1:41" ht="12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 spans="1:41" ht="12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 spans="1:41" ht="12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 spans="1:41" ht="12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 spans="1:41" ht="12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 spans="1:41" ht="12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 spans="1:41" ht="12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 spans="1:41" ht="12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 spans="1:41" ht="12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 spans="1:41" ht="12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 spans="1:41" ht="12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 spans="1:41" ht="12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 spans="1:41" ht="12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 spans="1:41" ht="12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 spans="1:41" ht="12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 spans="1:41" ht="12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 spans="1:41" ht="12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 spans="1:41" ht="12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 spans="1:41" ht="12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 spans="1:41" ht="12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 spans="1:41" ht="12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 spans="1:41" ht="12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 spans="1:41" ht="12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 spans="1:41" ht="12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 spans="1:41" ht="12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 spans="1:41" ht="12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 spans="1:41" ht="12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 spans="1:41" ht="12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 spans="1:41" ht="12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 spans="1:41" ht="12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 spans="1:41" ht="12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 spans="1:41" ht="12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 spans="1:41" ht="12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 spans="1:41" ht="12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 spans="1:41" ht="12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 spans="1:41" ht="12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 spans="1:41" ht="12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 spans="1:41" ht="12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 spans="1:41" ht="12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 spans="1:41" ht="12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 spans="1:41" ht="12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 spans="1:41" ht="12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 spans="1:41" ht="12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 spans="1:41" ht="12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 spans="1:41" ht="12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 spans="1:41" ht="12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 spans="1:41" ht="12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 spans="1:41" ht="12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 spans="1:41" ht="12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 spans="1:41" ht="12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 spans="1:41" ht="12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 spans="1:41" ht="12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 spans="1:41" ht="12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 spans="1:41" ht="12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 spans="1:41" ht="12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 spans="1:41" ht="12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 spans="1:41" ht="12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 spans="1:41" ht="12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 spans="1:41" ht="12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 spans="1:41" ht="12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 spans="1:41" ht="12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 spans="1:41" ht="12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 spans="1:41" ht="12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 spans="1:41" ht="12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 spans="1:41" ht="12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 spans="1:41" ht="12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 spans="1:41" ht="12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 spans="1:41" ht="12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 spans="1:41" ht="12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 spans="1:41" ht="12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 spans="1:41" ht="12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 spans="1:41" ht="12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 spans="1:41" ht="12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 spans="1:41" ht="12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 spans="1:41" ht="12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 spans="1:41" ht="12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 spans="1:41" ht="12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 spans="1:41" ht="12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 spans="1:41" ht="12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 spans="1:41" ht="12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 spans="1:41" ht="12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 spans="1:41" ht="12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 spans="1:41" ht="12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 spans="1:41" ht="12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 spans="1:41" ht="12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 spans="1:41" ht="12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 spans="1:41" ht="12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 spans="1:41" ht="12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 spans="1:41" ht="12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 spans="1:41" ht="12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 spans="1:41" ht="12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 spans="1:41" ht="12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 spans="1:41" ht="12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 spans="1:41" ht="12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 spans="1:41" ht="12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 spans="1:41" ht="12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 spans="1:41" ht="12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 spans="1:41" ht="12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 spans="1:41" ht="12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 spans="1:41" ht="12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 spans="1:41" ht="12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 spans="1:41" ht="12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 spans="1:41" ht="12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 spans="1:41" ht="12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 spans="1:41" ht="12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 spans="1:41" ht="12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 spans="1:41" ht="12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 spans="1:41" ht="12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 spans="1:41" ht="12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 spans="1:41" ht="12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 spans="1:41" ht="12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 spans="1:41" ht="12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 spans="1:41" ht="12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 spans="1:41" ht="12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 spans="1:41" ht="12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 spans="1:41" ht="12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 spans="1:41" ht="12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 spans="1:41" ht="12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 spans="1:41" ht="12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 spans="1:41" ht="12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 spans="1:41" ht="12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 spans="1:41" ht="12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 spans="1:41" ht="12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 spans="1:41" ht="12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 spans="1:41" ht="12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 spans="1:41" ht="12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 spans="1:41" ht="12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 spans="1:41" ht="12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 spans="1:41" ht="12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 spans="1:41" ht="12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 spans="1:41" ht="12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 spans="1:41" ht="12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 spans="1:41" ht="12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 spans="1:41" ht="12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 spans="1:41" ht="12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 spans="1:41" ht="12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 spans="1:41" ht="12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 spans="1:41" ht="12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 spans="1:41" ht="12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 spans="1:41" ht="12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 spans="1:41" ht="12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 spans="1:41" ht="12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 spans="1:41" ht="12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 spans="1:41" ht="12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 spans="1:41" ht="12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 spans="1:41" ht="12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 spans="1:41" ht="12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 spans="1:41" ht="12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 spans="1:41" ht="12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 spans="1:41" ht="12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 spans="1:41" ht="12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 spans="1:41" ht="12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 spans="1:41" ht="12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 spans="1:41" ht="12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 spans="1:41" ht="12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 spans="1:41" ht="12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 spans="1:41" ht="12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 spans="1:41" ht="12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 spans="1:41" ht="12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 spans="1:41" ht="12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 spans="1:41" ht="12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 spans="1:41" ht="12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 spans="1:41" ht="12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 spans="1:41" ht="12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 spans="1:41" ht="12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 spans="1:41" ht="12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 spans="1:41" ht="12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 spans="1:41" ht="12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 spans="1:41" ht="12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 spans="1:41" ht="12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 spans="1:41" ht="12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 spans="1:41" ht="12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 spans="1:41" ht="12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 spans="1:41" ht="12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 spans="1:41" ht="12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 spans="1:41" ht="12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 spans="1:41" ht="12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 spans="1:41" ht="12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 spans="1:41" ht="12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 spans="1:41" ht="12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 spans="1:41" ht="12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 spans="1:41" ht="12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 spans="1:41" ht="12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 spans="1:41" ht="12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 spans="1:41" ht="12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 spans="1:41" ht="12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 spans="1:41" ht="12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 spans="1:41" ht="12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 spans="1:41" ht="12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 spans="1:41" ht="12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 spans="1:41" ht="12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 spans="1:41" ht="12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 spans="1:41" ht="12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 spans="1:41" ht="12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 spans="1:41" ht="12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 spans="1:41" ht="12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 spans="1:41" ht="12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 spans="1:41" ht="12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 spans="1:41" ht="12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 spans="1:41" ht="12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 spans="1:41" ht="12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 spans="1:41" ht="12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 spans="1:41" ht="12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 spans="1:41" ht="12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 spans="1:41" ht="12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 spans="1:41" ht="12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 spans="1:41" ht="12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 spans="1:41" ht="12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 spans="1:41" ht="12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 spans="1:41" ht="12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 spans="1:41" ht="12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 spans="1:41" ht="12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 spans="1:41" ht="12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 spans="1:41" ht="12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 spans="1:41" ht="12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 spans="1:41" ht="12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 spans="1:41" ht="12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 spans="1:41" ht="12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 spans="1:41" ht="12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 spans="1:41" ht="12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 spans="1:41" ht="12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 spans="1:41" ht="12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 spans="1:41" ht="12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 spans="1:41" ht="12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 spans="1:41" ht="12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 spans="1:41" ht="12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  <row r="888" spans="1:41" ht="12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</row>
    <row r="889" spans="1:41" ht="12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 spans="1:41" ht="12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 spans="1:41" ht="12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 spans="1:41" ht="12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 spans="1:41" ht="12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 spans="1:41" ht="12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 spans="1:41" ht="12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 spans="1:41" ht="12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 spans="1:41" ht="12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 spans="1:41" ht="12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</row>
    <row r="899" spans="1:41" ht="12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</row>
    <row r="900" spans="1:41" ht="12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</row>
    <row r="901" spans="1:41" ht="12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</row>
    <row r="902" spans="1:41" ht="12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</row>
    <row r="903" spans="1:41" ht="12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</row>
    <row r="904" spans="1:41" ht="12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</row>
    <row r="905" spans="1:41" ht="12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</row>
    <row r="906" spans="1:41" ht="12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</row>
    <row r="907" spans="1:41" ht="12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 spans="1:41" ht="12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 spans="1:41" ht="12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</row>
    <row r="910" spans="1:41" ht="12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</row>
    <row r="911" spans="1:41" ht="12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</row>
    <row r="912" spans="1:41" ht="12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</row>
    <row r="913" spans="1:41" ht="12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</row>
    <row r="914" spans="1:41" ht="12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</row>
    <row r="915" spans="1:41" ht="12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</row>
    <row r="916" spans="1:41" ht="12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</row>
    <row r="917" spans="1:41" ht="12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</row>
    <row r="918" spans="1:41" ht="12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</row>
    <row r="919" spans="1:41" ht="12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</row>
    <row r="920" spans="1:41" ht="12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</row>
    <row r="921" spans="1:41" ht="12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</row>
    <row r="922" spans="1:41" ht="12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 spans="1:41" ht="12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 spans="1:41" ht="12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 spans="1:41" ht="12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 spans="1:41" ht="12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 spans="1:41" ht="12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 spans="1:41" ht="12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 spans="1:41" ht="12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 spans="1:41" ht="12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 spans="1:41" ht="12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</row>
    <row r="932" spans="1:41" ht="12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</row>
    <row r="933" spans="1:41" ht="12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</row>
    <row r="934" spans="1:41" ht="12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</row>
    <row r="935" spans="1:41" ht="12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</row>
    <row r="936" spans="1:41" ht="12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 spans="1:41" ht="12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</row>
    <row r="938" spans="1:41" ht="12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</row>
    <row r="939" spans="1:41" ht="12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</row>
    <row r="940" spans="1:41" ht="12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</row>
    <row r="941" spans="1:41" ht="12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 spans="1:41" ht="12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 spans="1:41" ht="12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 spans="1:41" ht="12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 spans="1:41" ht="12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</row>
    <row r="946" spans="1:41" ht="12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</row>
    <row r="947" spans="1:41" ht="12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</row>
    <row r="948" spans="1:41" ht="12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</row>
    <row r="949" spans="1:41" ht="12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</row>
    <row r="950" spans="1:41" ht="12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</row>
    <row r="951" spans="1:41" ht="12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</row>
    <row r="952" spans="1:41" ht="12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</row>
    <row r="953" spans="1:41" ht="12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</row>
    <row r="954" spans="1:41" ht="12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</row>
    <row r="955" spans="1:41" ht="12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</row>
    <row r="956" spans="1:41" ht="12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</row>
    <row r="957" spans="1:41" ht="12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</row>
    <row r="958" spans="1:41" ht="12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</row>
    <row r="959" spans="1:41" ht="12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</row>
    <row r="960" spans="1:41" ht="12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</row>
    <row r="961" spans="1:41" ht="12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</row>
    <row r="962" spans="1:41" ht="12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</row>
    <row r="963" spans="1:41" ht="12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</row>
    <row r="964" spans="1:41" ht="12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</row>
    <row r="965" spans="1:41" ht="12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</row>
    <row r="966" spans="1:41" ht="12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</row>
    <row r="967" spans="1:41" ht="12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</row>
    <row r="968" spans="1:41" ht="12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</row>
    <row r="969" spans="1:41" ht="12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</row>
    <row r="970" spans="1:41" ht="12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 spans="1:41" ht="12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 spans="1:41" ht="12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</row>
    <row r="973" spans="1:41" ht="12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 spans="1:41" ht="12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 spans="1:41" ht="12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</row>
    <row r="976" spans="1:41" ht="12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</row>
    <row r="977" spans="1:41" ht="12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</row>
    <row r="978" spans="1:41" ht="12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</row>
    <row r="979" spans="1:41" ht="12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</row>
    <row r="980" spans="1:41" ht="12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</row>
    <row r="981" spans="1:41" ht="12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</row>
    <row r="982" spans="1:41" ht="12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</row>
    <row r="983" spans="1:41" ht="12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</row>
    <row r="984" spans="1:41" ht="12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</row>
    <row r="985" spans="1:41" ht="12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</row>
    <row r="986" spans="1:41" ht="12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</row>
    <row r="987" spans="1:41" ht="12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</row>
    <row r="988" spans="1:41" ht="12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</row>
    <row r="989" spans="1:41" ht="12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</row>
    <row r="990" spans="1:41" ht="12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</row>
    <row r="991" spans="1:41" ht="12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</row>
    <row r="992" spans="1:41" ht="12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</row>
    <row r="993" spans="1:41" ht="12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</row>
    <row r="994" spans="1:41" ht="12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</row>
    <row r="995" spans="1:41" ht="12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</row>
    <row r="996" spans="1:41" ht="12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</row>
    <row r="997" spans="1:41" ht="12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</row>
    <row r="998" spans="1:41" ht="12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</row>
    <row r="999" spans="1:41" ht="12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</row>
    <row r="1000" spans="1:41" ht="12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</row>
  </sheetData>
  <phoneticPr fontId="43" type="noConversion"/>
  <conditionalFormatting sqref="D3:E105">
    <cfRule type="cellIs" priority="5" operator="greaterThan">
      <formula>0</formula>
    </cfRule>
    <cfRule type="cellIs" dxfId="7" priority="9" operator="greaterThan">
      <formula>0</formula>
    </cfRule>
    <cfRule type="cellIs" dxfId="6" priority="10" operator="lessThan">
      <formula>0</formula>
    </cfRule>
  </conditionalFormatting>
  <conditionalFormatting sqref="G3:G52 W3:W52 AF3:AF52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H56:H10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K3:L105">
    <cfRule type="cellIs" priority="6" operator="greaterThan">
      <formula>0</formula>
    </cfRule>
    <cfRule type="cellIs" dxfId="5" priority="11" operator="greaterThan">
      <formula>0</formula>
    </cfRule>
    <cfRule type="cellIs" dxfId="4" priority="12" operator="lessThan">
      <formula>0</formula>
    </cfRule>
  </conditionalFormatting>
  <conditionalFormatting sqref="N3:N52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P56:P105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R3:S105">
    <cfRule type="cellIs" dxfId="3" priority="13" operator="greaterThan">
      <formula>0</formula>
    </cfRule>
    <cfRule type="cellIs" dxfId="2" priority="14" operator="lessThan">
      <formula>0</formula>
    </cfRule>
  </conditionalFormatting>
  <conditionalFormatting sqref="AA3:AB105">
    <cfRule type="cellIs" dxfId="1" priority="15" operator="greaterThan">
      <formula>0</formula>
    </cfRule>
    <cfRule type="cellIs" dxfId="0" priority="16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  <outlinePr summaryBelow="0" summaryRight="0"/>
  </sheetPr>
  <dimension ref="A1:AO1000"/>
  <sheetViews>
    <sheetView workbookViewId="0">
      <pane ySplit="1" topLeftCell="A2" activePane="bottomLeft" state="frozen"/>
      <selection pane="bottomLeft" activeCell="N6" sqref="N6"/>
    </sheetView>
  </sheetViews>
  <sheetFormatPr defaultColWidth="12.6328125" defaultRowHeight="15.75" customHeight="1"/>
  <cols>
    <col min="1" max="1" width="7.26953125" customWidth="1"/>
    <col min="2" max="2" width="10.1796875" customWidth="1"/>
    <col min="3" max="3" width="17.453125" customWidth="1"/>
    <col min="4" max="4" width="16.36328125" customWidth="1"/>
    <col min="5" max="5" width="7.26953125" customWidth="1"/>
    <col min="6" max="6" width="10.1796875" customWidth="1"/>
    <col min="7" max="7" width="17.453125" customWidth="1"/>
    <col min="8" max="8" width="16.36328125" customWidth="1"/>
  </cols>
  <sheetData>
    <row r="1" spans="1:41" ht="15.5">
      <c r="A1" s="620" t="str">
        <f ca="1">IFERROR(__xludf.DUMMYFUNCTION("IMPORTHTML(""https://www.taifex.com.tw/cht/9/futuresQADetail"",""table"",0)"),"排行")</f>
        <v>排行</v>
      </c>
      <c r="B1" s="621" t="str">
        <f ca="1">IFERROR(__xludf.DUMMYFUNCTION("""COMPUTED_VALUE"""),"證券名稱")</f>
        <v>證券名稱</v>
      </c>
      <c r="C1" s="621"/>
      <c r="D1" s="627" t="str">
        <f ca="1">IFERROR(__xludf.DUMMYFUNCTION("""COMPUTED_VALUE"""),"市值佔 大盤比重")</f>
        <v>市值佔 大盤比重</v>
      </c>
      <c r="E1" s="620" t="str">
        <f ca="1">IFERROR(__xludf.DUMMYFUNCTION("""COMPUTED_VALUE"""),"排行")</f>
        <v>排行</v>
      </c>
      <c r="F1" s="621" t="str">
        <f ca="1">IFERROR(__xludf.DUMMYFUNCTION("""COMPUTED_VALUE"""),"證券名稱")</f>
        <v>證券名稱</v>
      </c>
      <c r="G1" s="621"/>
      <c r="H1" s="622" t="str">
        <f ca="1">IFERROR(__xludf.DUMMYFUNCTION("""COMPUTED_VALUE"""),"市值佔 大盤比重")</f>
        <v>市值佔 大盤比重</v>
      </c>
      <c r="I1" s="62"/>
      <c r="J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</row>
    <row r="2" spans="1:41" ht="15.5">
      <c r="A2" s="623">
        <f ca="1">IFERROR(__xludf.DUMMYFUNCTION("""COMPUTED_VALUE"""),1)</f>
        <v>1</v>
      </c>
      <c r="B2" s="624">
        <f ca="1">IFERROR(__xludf.DUMMYFUNCTION("""COMPUTED_VALUE"""),2330)</f>
        <v>2330</v>
      </c>
      <c r="C2" s="624" t="str">
        <f ca="1">IFERROR(__xludf.DUMMYFUNCTION("""COMPUTED_VALUE"""),"台積電")</f>
        <v>台積電</v>
      </c>
      <c r="D2" s="630">
        <f ca="1">IFERROR(__xludf.DUMMYFUNCTION("""COMPUTED_VALUE"""),0.447764)</f>
        <v>0.447764</v>
      </c>
      <c r="E2" s="623">
        <f ca="1">IFERROR(__xludf.DUMMYFUNCTION("""COMPUTED_VALUE"""),535)</f>
        <v>535</v>
      </c>
      <c r="F2" s="624">
        <f ca="1">IFERROR(__xludf.DUMMYFUNCTION("""COMPUTED_VALUE"""),1522)</f>
        <v>1522</v>
      </c>
      <c r="G2" s="624" t="str">
        <f ca="1">IFERROR(__xludf.DUMMYFUNCTION("""COMPUTED_VALUE"""),"堤維西")</f>
        <v>堤維西</v>
      </c>
      <c r="H2" s="632">
        <f ca="1">IFERROR(__xludf.DUMMYFUNCTION("""COMPUTED_VALUE"""),0.000063)</f>
        <v>6.3E-5</v>
      </c>
      <c r="I2" s="62"/>
      <c r="J2" s="62"/>
      <c r="K2" s="63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</row>
    <row r="3" spans="1:41" ht="15.5">
      <c r="A3" s="623">
        <f ca="1">IFERROR(__xludf.DUMMYFUNCTION("""COMPUTED_VALUE"""),2)</f>
        <v>2</v>
      </c>
      <c r="B3" s="624">
        <f ca="1">IFERROR(__xludf.DUMMYFUNCTION("""COMPUTED_VALUE"""),2454)</f>
        <v>2454</v>
      </c>
      <c r="C3" s="624" t="str">
        <f ca="1">IFERROR(__xludf.DUMMYFUNCTION("""COMPUTED_VALUE"""),"聯發科")</f>
        <v>聯發科</v>
      </c>
      <c r="D3" s="630">
        <f ca="1">IFERROR(__xludf.DUMMYFUNCTION("""COMPUTED_VALUE"""),0.040599)</f>
        <v>4.0599000000000003E-2</v>
      </c>
      <c r="E3" s="623">
        <f ca="1">IFERROR(__xludf.DUMMYFUNCTION("""COMPUTED_VALUE"""),536)</f>
        <v>536</v>
      </c>
      <c r="F3" s="624">
        <f ca="1">IFERROR(__xludf.DUMMYFUNCTION("""COMPUTED_VALUE"""),9926)</f>
        <v>9926</v>
      </c>
      <c r="G3" s="624" t="str">
        <f ca="1">IFERROR(__xludf.DUMMYFUNCTION("""COMPUTED_VALUE"""),"新海")</f>
        <v>新海</v>
      </c>
      <c r="H3" s="632">
        <f ca="1">IFERROR(__xludf.DUMMYFUNCTION("""COMPUTED_VALUE"""),0.000063)</f>
        <v>6.3E-5</v>
      </c>
      <c r="I3" s="62"/>
      <c r="J3" s="62"/>
      <c r="K3" s="63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</row>
    <row r="4" spans="1:41" ht="15.5">
      <c r="A4" s="623">
        <f ca="1">IFERROR(__xludf.DUMMYFUNCTION("""COMPUTED_VALUE"""),3)</f>
        <v>3</v>
      </c>
      <c r="B4" s="624">
        <f ca="1">IFERROR(__xludf.DUMMYFUNCTION("""COMPUTED_VALUE"""),2308)</f>
        <v>2308</v>
      </c>
      <c r="C4" s="624" t="str">
        <f ca="1">IFERROR(__xludf.DUMMYFUNCTION("""COMPUTED_VALUE"""),"台達電")</f>
        <v>台達電</v>
      </c>
      <c r="D4" s="630">
        <f ca="1">IFERROR(__xludf.DUMMYFUNCTION("""COMPUTED_VALUE"""),0.030332)</f>
        <v>3.0332000000000001E-2</v>
      </c>
      <c r="E4" s="623">
        <f ca="1">IFERROR(__xludf.DUMMYFUNCTION("""COMPUTED_VALUE"""),537)</f>
        <v>537</v>
      </c>
      <c r="F4" s="624">
        <f ca="1">IFERROR(__xludf.DUMMYFUNCTION("""COMPUTED_VALUE"""),5515)</f>
        <v>5515</v>
      </c>
      <c r="G4" s="624" t="str">
        <f ca="1">IFERROR(__xludf.DUMMYFUNCTION("""COMPUTED_VALUE"""),"建國")</f>
        <v>建國</v>
      </c>
      <c r="H4" s="632">
        <f ca="1">IFERROR(__xludf.DUMMYFUNCTION("""COMPUTED_VALUE"""),0.000062)</f>
        <v>6.2000000000000003E-5</v>
      </c>
      <c r="I4" s="62"/>
      <c r="J4" s="62"/>
      <c r="K4" s="63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</row>
    <row r="5" spans="1:41" ht="15.5">
      <c r="A5" s="623">
        <f ca="1">IFERROR(__xludf.DUMMYFUNCTION("""COMPUTED_VALUE"""),4)</f>
        <v>4</v>
      </c>
      <c r="B5" s="624">
        <f ca="1">IFERROR(__xludf.DUMMYFUNCTION("""COMPUTED_VALUE"""),2317)</f>
        <v>2317</v>
      </c>
      <c r="C5" s="624" t="str">
        <f ca="1">IFERROR(__xludf.DUMMYFUNCTION("""COMPUTED_VALUE"""),"鴻海")</f>
        <v>鴻海</v>
      </c>
      <c r="D5" s="630">
        <f ca="1">IFERROR(__xludf.DUMMYFUNCTION("""COMPUTED_VALUE"""),0.025022)</f>
        <v>2.5021999999999999E-2</v>
      </c>
      <c r="E5" s="623">
        <f ca="1">IFERROR(__xludf.DUMMYFUNCTION("""COMPUTED_VALUE"""),538)</f>
        <v>538</v>
      </c>
      <c r="F5" s="624">
        <f ca="1">IFERROR(__xludf.DUMMYFUNCTION("""COMPUTED_VALUE"""),1727)</f>
        <v>1727</v>
      </c>
      <c r="G5" s="624" t="str">
        <f ca="1">IFERROR(__xludf.DUMMYFUNCTION("""COMPUTED_VALUE"""),"中華化")</f>
        <v>中華化</v>
      </c>
      <c r="H5" s="632">
        <f ca="1">IFERROR(__xludf.DUMMYFUNCTION("""COMPUTED_VALUE"""),0.000062)</f>
        <v>6.2000000000000003E-5</v>
      </c>
      <c r="I5" s="62"/>
      <c r="J5" s="62"/>
      <c r="K5" s="63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</row>
    <row r="6" spans="1:41" ht="15.5">
      <c r="A6" s="623">
        <f ca="1">IFERROR(__xludf.DUMMYFUNCTION("""COMPUTED_VALUE"""),5)</f>
        <v>5</v>
      </c>
      <c r="B6" s="624">
        <f ca="1">IFERROR(__xludf.DUMMYFUNCTION("""COMPUTED_VALUE"""),3711)</f>
        <v>3711</v>
      </c>
      <c r="C6" s="624" t="str">
        <f ca="1">IFERROR(__xludf.DUMMYFUNCTION("""COMPUTED_VALUE"""),"日月光投控")</f>
        <v>日月光投控</v>
      </c>
      <c r="D6" s="630">
        <f ca="1">IFERROR(__xludf.DUMMYFUNCTION("""COMPUTED_VALUE"""),0.017628)</f>
        <v>1.7628000000000001E-2</v>
      </c>
      <c r="E6" s="623">
        <f ca="1">IFERROR(__xludf.DUMMYFUNCTION("""COMPUTED_VALUE"""),539)</f>
        <v>539</v>
      </c>
      <c r="F6" s="624">
        <f ca="1">IFERROR(__xludf.DUMMYFUNCTION("""COMPUTED_VALUE"""),3004)</f>
        <v>3004</v>
      </c>
      <c r="G6" s="624" t="str">
        <f ca="1">IFERROR(__xludf.DUMMYFUNCTION("""COMPUTED_VALUE"""),"豐達科")</f>
        <v>豐達科</v>
      </c>
      <c r="H6" s="632">
        <f ca="1">IFERROR(__xludf.DUMMYFUNCTION("""COMPUTED_VALUE"""),0.000062)</f>
        <v>6.2000000000000003E-5</v>
      </c>
      <c r="I6" s="62"/>
      <c r="J6" s="62"/>
      <c r="K6" s="63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</row>
    <row r="7" spans="1:41" ht="15.5">
      <c r="A7" s="623">
        <f ca="1">IFERROR(__xludf.DUMMYFUNCTION("""COMPUTED_VALUE"""),6)</f>
        <v>6</v>
      </c>
      <c r="B7" s="624">
        <f ca="1">IFERROR(__xludf.DUMMYFUNCTION("""COMPUTED_VALUE"""),2881)</f>
        <v>2881</v>
      </c>
      <c r="C7" s="624" t="str">
        <f ca="1">IFERROR(__xludf.DUMMYFUNCTION("""COMPUTED_VALUE"""),"富邦金")</f>
        <v>富邦金</v>
      </c>
      <c r="D7" s="630">
        <f ca="1">IFERROR(__xludf.DUMMYFUNCTION("""COMPUTED_VALUE"""),0.012966)</f>
        <v>1.2966E-2</v>
      </c>
      <c r="E7" s="623">
        <f ca="1">IFERROR(__xludf.DUMMYFUNCTION("""COMPUTED_VALUE"""),540)</f>
        <v>540</v>
      </c>
      <c r="F7" s="624">
        <f ca="1">IFERROR(__xludf.DUMMYFUNCTION("""COMPUTED_VALUE"""),3003)</f>
        <v>3003</v>
      </c>
      <c r="G7" s="624" t="str">
        <f ca="1">IFERROR(__xludf.DUMMYFUNCTION("""COMPUTED_VALUE"""),"健和興")</f>
        <v>健和興</v>
      </c>
      <c r="H7" s="632">
        <f ca="1">IFERROR(__xludf.DUMMYFUNCTION("""COMPUTED_VALUE"""),0.000061)</f>
        <v>6.0999999999999999E-5</v>
      </c>
      <c r="I7" s="62"/>
      <c r="J7" s="62"/>
      <c r="K7" s="63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</row>
    <row r="8" spans="1:41" ht="15.5">
      <c r="A8" s="623">
        <f ca="1">IFERROR(__xludf.DUMMYFUNCTION("""COMPUTED_VALUE"""),7)</f>
        <v>7</v>
      </c>
      <c r="B8" s="624">
        <f ca="1">IFERROR(__xludf.DUMMYFUNCTION("""COMPUTED_VALUE"""),2383)</f>
        <v>2383</v>
      </c>
      <c r="C8" s="624" t="str">
        <f ca="1">IFERROR(__xludf.DUMMYFUNCTION("""COMPUTED_VALUE"""),"台光電")</f>
        <v>台光電</v>
      </c>
      <c r="D8" s="630">
        <f ca="1">IFERROR(__xludf.DUMMYFUNCTION("""COMPUTED_VALUE"""),0.012106)</f>
        <v>1.2106E-2</v>
      </c>
      <c r="E8" s="623">
        <f ca="1">IFERROR(__xludf.DUMMYFUNCTION("""COMPUTED_VALUE"""),541)</f>
        <v>541</v>
      </c>
      <c r="F8" s="624">
        <f ca="1">IFERROR(__xludf.DUMMYFUNCTION("""COMPUTED_VALUE"""),5471)</f>
        <v>5471</v>
      </c>
      <c r="G8" s="624" t="str">
        <f ca="1">IFERROR(__xludf.DUMMYFUNCTION("""COMPUTED_VALUE"""),"松翰")</f>
        <v>松翰</v>
      </c>
      <c r="H8" s="632">
        <f ca="1">IFERROR(__xludf.DUMMYFUNCTION("""COMPUTED_VALUE"""),0.000061)</f>
        <v>6.0999999999999999E-5</v>
      </c>
      <c r="I8" s="62"/>
      <c r="J8" s="62"/>
      <c r="K8" s="63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</row>
    <row r="9" spans="1:41" ht="15.5">
      <c r="A9" s="623">
        <f ca="1">IFERROR(__xludf.DUMMYFUNCTION("""COMPUTED_VALUE"""),8)</f>
        <v>8</v>
      </c>
      <c r="B9" s="624">
        <f ca="1">IFERROR(__xludf.DUMMYFUNCTION("""COMPUTED_VALUE"""),2303)</f>
        <v>2303</v>
      </c>
      <c r="C9" s="624" t="str">
        <f ca="1">IFERROR(__xludf.DUMMYFUNCTION("""COMPUTED_VALUE"""),"聯電")</f>
        <v>聯電</v>
      </c>
      <c r="D9" s="630">
        <f ca="1">IFERROR(__xludf.DUMMYFUNCTION("""COMPUTED_VALUE"""),0.010836)</f>
        <v>1.0836E-2</v>
      </c>
      <c r="E9" s="623">
        <f ca="1">IFERROR(__xludf.DUMMYFUNCTION("""COMPUTED_VALUE"""),542)</f>
        <v>542</v>
      </c>
      <c r="F9" s="624">
        <f ca="1">IFERROR(__xludf.DUMMYFUNCTION("""COMPUTED_VALUE"""),5236)</f>
        <v>5236</v>
      </c>
      <c r="G9" s="624" t="str">
        <f ca="1">IFERROR(__xludf.DUMMYFUNCTION("""COMPUTED_VALUE"""),"凌陽創新")</f>
        <v>凌陽創新</v>
      </c>
      <c r="H9" s="632">
        <f ca="1">IFERROR(__xludf.DUMMYFUNCTION("""COMPUTED_VALUE"""),0.000061)</f>
        <v>6.0999999999999999E-5</v>
      </c>
      <c r="I9" s="62"/>
      <c r="J9" s="62"/>
      <c r="K9" s="63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</row>
    <row r="10" spans="1:41" ht="15.5">
      <c r="A10" s="623">
        <f ca="1">IFERROR(__xludf.DUMMYFUNCTION("""COMPUTED_VALUE"""),9)</f>
        <v>9</v>
      </c>
      <c r="B10" s="624">
        <f ca="1">IFERROR(__xludf.DUMMYFUNCTION("""COMPUTED_VALUE"""),2882)</f>
        <v>2882</v>
      </c>
      <c r="C10" s="624" t="str">
        <f ca="1">IFERROR(__xludf.DUMMYFUNCTION("""COMPUTED_VALUE"""),"國泰金")</f>
        <v>國泰金</v>
      </c>
      <c r="D10" s="630">
        <f ca="1">IFERROR(__xludf.DUMMYFUNCTION("""COMPUTED_VALUE"""),0.010602)</f>
        <v>1.0602E-2</v>
      </c>
      <c r="E10" s="623">
        <f ca="1">IFERROR(__xludf.DUMMYFUNCTION("""COMPUTED_VALUE"""),543)</f>
        <v>543</v>
      </c>
      <c r="F10" s="624">
        <f ca="1">IFERROR(__xludf.DUMMYFUNCTION("""COMPUTED_VALUE"""),6115)</f>
        <v>6115</v>
      </c>
      <c r="G10" s="624" t="str">
        <f ca="1">IFERROR(__xludf.DUMMYFUNCTION("""COMPUTED_VALUE"""),"鎰勝")</f>
        <v>鎰勝</v>
      </c>
      <c r="H10" s="632">
        <f ca="1">IFERROR(__xludf.DUMMYFUNCTION("""COMPUTED_VALUE"""),0.000061)</f>
        <v>6.0999999999999999E-5</v>
      </c>
      <c r="I10" s="62"/>
      <c r="J10" s="62"/>
      <c r="K10" s="63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spans="1:41" ht="15.5">
      <c r="A11" s="623">
        <f ca="1">IFERROR(__xludf.DUMMYFUNCTION("""COMPUTED_VALUE"""),10)</f>
        <v>10</v>
      </c>
      <c r="B11" s="624">
        <f ca="1">IFERROR(__xludf.DUMMYFUNCTION("""COMPUTED_VALUE"""),3037)</f>
        <v>3037</v>
      </c>
      <c r="C11" s="624" t="str">
        <f ca="1">IFERROR(__xludf.DUMMYFUNCTION("""COMPUTED_VALUE"""),"欣興")</f>
        <v>欣興</v>
      </c>
      <c r="D11" s="630">
        <f ca="1">IFERROR(__xludf.DUMMYFUNCTION("""COMPUTED_VALUE"""),0.009184)</f>
        <v>9.1839999999999995E-3</v>
      </c>
      <c r="E11" s="623">
        <f ca="1">IFERROR(__xludf.DUMMYFUNCTION("""COMPUTED_VALUE"""),544)</f>
        <v>544</v>
      </c>
      <c r="F11" s="624">
        <f ca="1">IFERROR(__xludf.DUMMYFUNCTION("""COMPUTED_VALUE"""),3701)</f>
        <v>3701</v>
      </c>
      <c r="G11" s="624" t="str">
        <f ca="1">IFERROR(__xludf.DUMMYFUNCTION("""COMPUTED_VALUE"""),"大眾控")</f>
        <v>大眾控</v>
      </c>
      <c r="H11" s="632">
        <f ca="1">IFERROR(__xludf.DUMMYFUNCTION("""COMPUTED_VALUE"""),0.000061)</f>
        <v>6.0999999999999999E-5</v>
      </c>
      <c r="I11" s="62"/>
      <c r="J11" s="62"/>
      <c r="K11" s="63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</row>
    <row r="12" spans="1:41" ht="15.5">
      <c r="A12" s="623">
        <f ca="1">IFERROR(__xludf.DUMMYFUNCTION("""COMPUTED_VALUE"""),11)</f>
        <v>11</v>
      </c>
      <c r="B12" s="624">
        <f ca="1">IFERROR(__xludf.DUMMYFUNCTION("""COMPUTED_VALUE"""),2891)</f>
        <v>2891</v>
      </c>
      <c r="C12" s="624" t="str">
        <f ca="1">IFERROR(__xludf.DUMMYFUNCTION("""COMPUTED_VALUE"""),"中信金")</f>
        <v>中信金</v>
      </c>
      <c r="D12" s="630">
        <f ca="1">IFERROR(__xludf.DUMMYFUNCTION("""COMPUTED_VALUE"""),0.009093)</f>
        <v>9.0930000000000004E-3</v>
      </c>
      <c r="E12" s="623">
        <f ca="1">IFERROR(__xludf.DUMMYFUNCTION("""COMPUTED_VALUE"""),545)</f>
        <v>545</v>
      </c>
      <c r="F12" s="624">
        <f ca="1">IFERROR(__xludf.DUMMYFUNCTION("""COMPUTED_VALUE"""),8163)</f>
        <v>8163</v>
      </c>
      <c r="G12" s="624" t="str">
        <f ca="1">IFERROR(__xludf.DUMMYFUNCTION("""COMPUTED_VALUE"""),"達方")</f>
        <v>達方</v>
      </c>
      <c r="H12" s="632">
        <f ca="1">IFERROR(__xludf.DUMMYFUNCTION("""COMPUTED_VALUE"""),0.000061)</f>
        <v>6.0999999999999999E-5</v>
      </c>
      <c r="I12" s="62"/>
      <c r="J12" s="62"/>
      <c r="K12" s="63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</row>
    <row r="13" spans="1:41" ht="15.5">
      <c r="A13" s="623">
        <f ca="1">IFERROR(__xludf.DUMMYFUNCTION("""COMPUTED_VALUE"""),12)</f>
        <v>12</v>
      </c>
      <c r="B13" s="624">
        <f ca="1">IFERROR(__xludf.DUMMYFUNCTION("""COMPUTED_VALUE"""),1303)</f>
        <v>1303</v>
      </c>
      <c r="C13" s="624" t="str">
        <f ca="1">IFERROR(__xludf.DUMMYFUNCTION("""COMPUTED_VALUE"""),"南亞")</f>
        <v>南亞</v>
      </c>
      <c r="D13" s="630">
        <f ca="1">IFERROR(__xludf.DUMMYFUNCTION("""COMPUTED_VALUE"""),0.009007)</f>
        <v>9.0069999999999994E-3</v>
      </c>
      <c r="E13" s="623">
        <f ca="1">IFERROR(__xludf.DUMMYFUNCTION("""COMPUTED_VALUE"""),546)</f>
        <v>546</v>
      </c>
      <c r="F13" s="624">
        <f ca="1">IFERROR(__xludf.DUMMYFUNCTION("""COMPUTED_VALUE"""),7740)</f>
        <v>7740</v>
      </c>
      <c r="G13" s="624" t="str">
        <f ca="1">IFERROR(__xludf.DUMMYFUNCTION("""COMPUTED_VALUE"""),"熙特爾-創")</f>
        <v>熙特爾-創</v>
      </c>
      <c r="H13" s="632">
        <f ca="1">IFERROR(__xludf.DUMMYFUNCTION("""COMPUTED_VALUE"""),0.00006)</f>
        <v>6.0000000000000002E-5</v>
      </c>
      <c r="I13" s="62"/>
      <c r="J13" s="62"/>
      <c r="K13" s="63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</row>
    <row r="14" spans="1:41" ht="15.5">
      <c r="A14" s="623">
        <f ca="1">IFERROR(__xludf.DUMMYFUNCTION("""COMPUTED_VALUE"""),13)</f>
        <v>13</v>
      </c>
      <c r="B14" s="624">
        <f ca="1">IFERROR(__xludf.DUMMYFUNCTION("""COMPUTED_VALUE"""),2345)</f>
        <v>2345</v>
      </c>
      <c r="C14" s="624" t="str">
        <f ca="1">IFERROR(__xludf.DUMMYFUNCTION("""COMPUTED_VALUE"""),"智邦")</f>
        <v>智邦</v>
      </c>
      <c r="D14" s="630">
        <f ca="1">IFERROR(__xludf.DUMMYFUNCTION("""COMPUTED_VALUE"""),0.00849)</f>
        <v>8.4899999999999993E-3</v>
      </c>
      <c r="E14" s="623">
        <f ca="1">IFERROR(__xludf.DUMMYFUNCTION("""COMPUTED_VALUE"""),547)</f>
        <v>547</v>
      </c>
      <c r="F14" s="624">
        <f ca="1">IFERROR(__xludf.DUMMYFUNCTION("""COMPUTED_VALUE"""),9927)</f>
        <v>9927</v>
      </c>
      <c r="G14" s="624" t="str">
        <f ca="1">IFERROR(__xludf.DUMMYFUNCTION("""COMPUTED_VALUE"""),"泰銘")</f>
        <v>泰銘</v>
      </c>
      <c r="H14" s="632">
        <f ca="1">IFERROR(__xludf.DUMMYFUNCTION("""COMPUTED_VALUE"""),0.00006)</f>
        <v>6.0000000000000002E-5</v>
      </c>
      <c r="I14" s="62"/>
      <c r="J14" s="62"/>
      <c r="K14" s="63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5">
      <c r="A15" s="623">
        <f ca="1">IFERROR(__xludf.DUMMYFUNCTION("""COMPUTED_VALUE"""),14)</f>
        <v>14</v>
      </c>
      <c r="B15" s="624">
        <f ca="1">IFERROR(__xludf.DUMMYFUNCTION("""COMPUTED_VALUE"""),2382)</f>
        <v>2382</v>
      </c>
      <c r="C15" s="624" t="str">
        <f ca="1">IFERROR(__xludf.DUMMYFUNCTION("""COMPUTED_VALUE"""),"廣達")</f>
        <v>廣達</v>
      </c>
      <c r="D15" s="630">
        <f ca="1">IFERROR(__xludf.DUMMYFUNCTION("""COMPUTED_VALUE"""),0.008017)</f>
        <v>8.0169999999999998E-3</v>
      </c>
      <c r="E15" s="623">
        <f ca="1">IFERROR(__xludf.DUMMYFUNCTION("""COMPUTED_VALUE"""),548)</f>
        <v>548</v>
      </c>
      <c r="F15" s="624">
        <f ca="1">IFERROR(__xludf.DUMMYFUNCTION("""COMPUTED_VALUE"""),3708)</f>
        <v>3708</v>
      </c>
      <c r="G15" s="624" t="str">
        <f ca="1">IFERROR(__xludf.DUMMYFUNCTION("""COMPUTED_VALUE"""),"上緯投控")</f>
        <v>上緯投控</v>
      </c>
      <c r="H15" s="632">
        <f ca="1">IFERROR(__xludf.DUMMYFUNCTION("""COMPUTED_VALUE"""),0.00006)</f>
        <v>6.0000000000000002E-5</v>
      </c>
      <c r="I15" s="62"/>
      <c r="J15" s="62"/>
      <c r="K15" s="63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5">
      <c r="A16" s="623">
        <f ca="1">IFERROR(__xludf.DUMMYFUNCTION("""COMPUTED_VALUE"""),15)</f>
        <v>15</v>
      </c>
      <c r="B16" s="624">
        <f ca="1">IFERROR(__xludf.DUMMYFUNCTION("""COMPUTED_VALUE"""),2408)</f>
        <v>2408</v>
      </c>
      <c r="C16" s="624" t="str">
        <f ca="1">IFERROR(__xludf.DUMMYFUNCTION("""COMPUTED_VALUE"""),"南亞科")</f>
        <v>南亞科</v>
      </c>
      <c r="D16" s="630">
        <f ca="1">IFERROR(__xludf.DUMMYFUNCTION("""COMPUTED_VALUE"""),0.007954)</f>
        <v>7.9539999999999993E-3</v>
      </c>
      <c r="E16" s="623">
        <f ca="1">IFERROR(__xludf.DUMMYFUNCTION("""COMPUTED_VALUE"""),549)</f>
        <v>549</v>
      </c>
      <c r="F16" s="624">
        <f ca="1">IFERROR(__xludf.DUMMYFUNCTION("""COMPUTED_VALUE"""),6550)</f>
        <v>6550</v>
      </c>
      <c r="G16" s="624" t="str">
        <f ca="1">IFERROR(__xludf.DUMMYFUNCTION("""COMPUTED_VALUE"""),"北極星藥業-KY")</f>
        <v>北極星藥業-KY</v>
      </c>
      <c r="H16" s="632">
        <f ca="1">IFERROR(__xludf.DUMMYFUNCTION("""COMPUTED_VALUE"""),0.00006)</f>
        <v>6.0000000000000002E-5</v>
      </c>
      <c r="I16" s="62"/>
      <c r="J16" s="62"/>
      <c r="K16" s="63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spans="1:41" ht="15.5">
      <c r="A17" s="623">
        <f ca="1">IFERROR(__xludf.DUMMYFUNCTION("""COMPUTED_VALUE"""),16)</f>
        <v>16</v>
      </c>
      <c r="B17" s="624">
        <f ca="1">IFERROR(__xludf.DUMMYFUNCTION("""COMPUTED_VALUE"""),7769)</f>
        <v>7769</v>
      </c>
      <c r="C17" s="624" t="str">
        <f ca="1">IFERROR(__xludf.DUMMYFUNCTION("""COMPUTED_VALUE"""),"鴻勁")</f>
        <v>鴻勁</v>
      </c>
      <c r="D17" s="630">
        <f ca="1">IFERROR(__xludf.DUMMYFUNCTION("""COMPUTED_VALUE"""),0.007917)</f>
        <v>7.9170000000000004E-3</v>
      </c>
      <c r="E17" s="623">
        <f ca="1">IFERROR(__xludf.DUMMYFUNCTION("""COMPUTED_VALUE"""),550)</f>
        <v>550</v>
      </c>
      <c r="F17" s="624">
        <f ca="1">IFERROR(__xludf.DUMMYFUNCTION("""COMPUTED_VALUE"""),1614)</f>
        <v>1614</v>
      </c>
      <c r="G17" s="624" t="str">
        <f ca="1">IFERROR(__xludf.DUMMYFUNCTION("""COMPUTED_VALUE"""),"三洋電")</f>
        <v>三洋電</v>
      </c>
      <c r="H17" s="632">
        <f ca="1">IFERROR(__xludf.DUMMYFUNCTION("""COMPUTED_VALUE"""),0.00006)</f>
        <v>6.0000000000000002E-5</v>
      </c>
      <c r="I17" s="62"/>
      <c r="J17" s="62"/>
      <c r="K17" s="63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spans="1:41" ht="15.5">
      <c r="A18" s="623">
        <f ca="1">IFERROR(__xludf.DUMMYFUNCTION("""COMPUTED_VALUE"""),17)</f>
        <v>17</v>
      </c>
      <c r="B18" s="624">
        <f ca="1">IFERROR(__xludf.DUMMYFUNCTION("""COMPUTED_VALUE"""),2412)</f>
        <v>2412</v>
      </c>
      <c r="C18" s="624" t="str">
        <f ca="1">IFERROR(__xludf.DUMMYFUNCTION("""COMPUTED_VALUE"""),"中華電")</f>
        <v>中華電</v>
      </c>
      <c r="D18" s="630">
        <f ca="1">IFERROR(__xludf.DUMMYFUNCTION("""COMPUTED_VALUE"""),0.007705)</f>
        <v>7.705E-3</v>
      </c>
      <c r="E18" s="623">
        <f ca="1">IFERROR(__xludf.DUMMYFUNCTION("""COMPUTED_VALUE"""),551)</f>
        <v>551</v>
      </c>
      <c r="F18" s="624">
        <f ca="1">IFERROR(__xludf.DUMMYFUNCTION("""COMPUTED_VALUE"""),1615)</f>
        <v>1615</v>
      </c>
      <c r="G18" s="624" t="str">
        <f ca="1">IFERROR(__xludf.DUMMYFUNCTION("""COMPUTED_VALUE"""),"大山")</f>
        <v>大山</v>
      </c>
      <c r="H18" s="632">
        <f ca="1">IFERROR(__xludf.DUMMYFUNCTION("""COMPUTED_VALUE"""),0.000059)</f>
        <v>5.8999999999999998E-5</v>
      </c>
      <c r="I18" s="62"/>
      <c r="J18" s="62"/>
      <c r="K18" s="63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</row>
    <row r="19" spans="1:41" ht="15.5">
      <c r="A19" s="623">
        <f ca="1">IFERROR(__xludf.DUMMYFUNCTION("""COMPUTED_VALUE"""),18)</f>
        <v>18</v>
      </c>
      <c r="B19" s="624">
        <f ca="1">IFERROR(__xludf.DUMMYFUNCTION("""COMPUTED_VALUE"""),2327)</f>
        <v>2327</v>
      </c>
      <c r="C19" s="624" t="str">
        <f ca="1">IFERROR(__xludf.DUMMYFUNCTION("""COMPUTED_VALUE"""),"國巨*")</f>
        <v>國巨*</v>
      </c>
      <c r="D19" s="630">
        <f ca="1">IFERROR(__xludf.DUMMYFUNCTION("""COMPUTED_VALUE"""),0.007404)</f>
        <v>7.404E-3</v>
      </c>
      <c r="E19" s="623">
        <f ca="1">IFERROR(__xludf.DUMMYFUNCTION("""COMPUTED_VALUE"""),552)</f>
        <v>552</v>
      </c>
      <c r="F19" s="624">
        <f ca="1">IFERROR(__xludf.DUMMYFUNCTION("""COMPUTED_VALUE"""),3694)</f>
        <v>3694</v>
      </c>
      <c r="G19" s="624" t="str">
        <f ca="1">IFERROR(__xludf.DUMMYFUNCTION("""COMPUTED_VALUE"""),"海華")</f>
        <v>海華</v>
      </c>
      <c r="H19" s="632">
        <f ca="1">IFERROR(__xludf.DUMMYFUNCTION("""COMPUTED_VALUE"""),0.000059)</f>
        <v>5.8999999999999998E-5</v>
      </c>
      <c r="I19" s="62"/>
      <c r="J19" s="62"/>
      <c r="K19" s="63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spans="1:41" ht="15.5">
      <c r="A20" s="623">
        <f ca="1">IFERROR(__xludf.DUMMYFUNCTION("""COMPUTED_VALUE"""),19)</f>
        <v>19</v>
      </c>
      <c r="B20" s="624">
        <f ca="1">IFERROR(__xludf.DUMMYFUNCTION("""COMPUTED_VALUE"""),6669)</f>
        <v>6669</v>
      </c>
      <c r="C20" s="624" t="str">
        <f ca="1">IFERROR(__xludf.DUMMYFUNCTION("""COMPUTED_VALUE"""),"緯穎")</f>
        <v>緯穎</v>
      </c>
      <c r="D20" s="630">
        <f ca="1">IFERROR(__xludf.DUMMYFUNCTION("""COMPUTED_VALUE"""),0.007132)</f>
        <v>7.1320000000000003E-3</v>
      </c>
      <c r="E20" s="623">
        <f ca="1">IFERROR(__xludf.DUMMYFUNCTION("""COMPUTED_VALUE"""),553)</f>
        <v>553</v>
      </c>
      <c r="F20" s="624">
        <f ca="1">IFERROR(__xludf.DUMMYFUNCTION("""COMPUTED_VALUE"""),8213)</f>
        <v>8213</v>
      </c>
      <c r="G20" s="624" t="str">
        <f ca="1">IFERROR(__xludf.DUMMYFUNCTION("""COMPUTED_VALUE"""),"志超")</f>
        <v>志超</v>
      </c>
      <c r="H20" s="632">
        <f ca="1">IFERROR(__xludf.DUMMYFUNCTION("""COMPUTED_VALUE"""),0.000058)</f>
        <v>5.8E-5</v>
      </c>
      <c r="I20" s="62"/>
      <c r="J20" s="62"/>
      <c r="K20" s="63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</row>
    <row r="21" spans="1:41" ht="15.5">
      <c r="A21" s="623">
        <f ca="1">IFERROR(__xludf.DUMMYFUNCTION("""COMPUTED_VALUE"""),20)</f>
        <v>20</v>
      </c>
      <c r="B21" s="624">
        <f ca="1">IFERROR(__xludf.DUMMYFUNCTION("""COMPUTED_VALUE"""),3017)</f>
        <v>3017</v>
      </c>
      <c r="C21" s="624" t="str">
        <f ca="1">IFERROR(__xludf.DUMMYFUNCTION("""COMPUTED_VALUE"""),"奇鋐")</f>
        <v>奇鋐</v>
      </c>
      <c r="D21" s="630">
        <f ca="1">IFERROR(__xludf.DUMMYFUNCTION("""COMPUTED_VALUE"""),0.006484)</f>
        <v>6.4840000000000002E-3</v>
      </c>
      <c r="E21" s="623">
        <f ca="1">IFERROR(__xludf.DUMMYFUNCTION("""COMPUTED_VALUE"""),554)</f>
        <v>554</v>
      </c>
      <c r="F21" s="624">
        <f ca="1">IFERROR(__xludf.DUMMYFUNCTION("""COMPUTED_VALUE"""),6585)</f>
        <v>6585</v>
      </c>
      <c r="G21" s="624" t="str">
        <f ca="1">IFERROR(__xludf.DUMMYFUNCTION("""COMPUTED_VALUE"""),"鼎基")</f>
        <v>鼎基</v>
      </c>
      <c r="H21" s="632">
        <f ca="1">IFERROR(__xludf.DUMMYFUNCTION("""COMPUTED_VALUE"""),0.000058)</f>
        <v>5.8E-5</v>
      </c>
      <c r="I21" s="62"/>
      <c r="J21" s="62"/>
      <c r="K21" s="63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</row>
    <row r="22" spans="1:41" ht="15.5">
      <c r="A22" s="623">
        <f ca="1">IFERROR(__xludf.DUMMYFUNCTION("""COMPUTED_VALUE"""),21)</f>
        <v>21</v>
      </c>
      <c r="B22" s="624">
        <f ca="1">IFERROR(__xludf.DUMMYFUNCTION("""COMPUTED_VALUE"""),2885)</f>
        <v>2885</v>
      </c>
      <c r="C22" s="624" t="str">
        <f ca="1">IFERROR(__xludf.DUMMYFUNCTION("""COMPUTED_VALUE"""),"元大金")</f>
        <v>元大金</v>
      </c>
      <c r="D22" s="630">
        <f ca="1">IFERROR(__xludf.DUMMYFUNCTION("""COMPUTED_VALUE"""),0.006464)</f>
        <v>6.4640000000000001E-3</v>
      </c>
      <c r="E22" s="623">
        <f ca="1">IFERROR(__xludf.DUMMYFUNCTION("""COMPUTED_VALUE"""),555)</f>
        <v>555</v>
      </c>
      <c r="F22" s="624">
        <f ca="1">IFERROR(__xludf.DUMMYFUNCTION("""COMPUTED_VALUE"""),2013)</f>
        <v>2013</v>
      </c>
      <c r="G22" s="624" t="str">
        <f ca="1">IFERROR(__xludf.DUMMYFUNCTION("""COMPUTED_VALUE"""),"中鋼構")</f>
        <v>中鋼構</v>
      </c>
      <c r="H22" s="632">
        <f ca="1">IFERROR(__xludf.DUMMYFUNCTION("""COMPUTED_VALUE"""),0.000058)</f>
        <v>5.8E-5</v>
      </c>
      <c r="I22" s="62"/>
      <c r="J22" s="62"/>
      <c r="K22" s="63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</row>
    <row r="23" spans="1:41" ht="15.5">
      <c r="A23" s="623">
        <f ca="1">IFERROR(__xludf.DUMMYFUNCTION("""COMPUTED_VALUE"""),22)</f>
        <v>22</v>
      </c>
      <c r="B23" s="624">
        <f ca="1">IFERROR(__xludf.DUMMYFUNCTION("""COMPUTED_VALUE"""),2887)</f>
        <v>2887</v>
      </c>
      <c r="C23" s="624" t="str">
        <f ca="1">IFERROR(__xludf.DUMMYFUNCTION("""COMPUTED_VALUE"""),"台新新光金")</f>
        <v>台新新光金</v>
      </c>
      <c r="D23" s="630">
        <f ca="1">IFERROR(__xludf.DUMMYFUNCTION("""COMPUTED_VALUE"""),0.006429)</f>
        <v>6.4289999999999998E-3</v>
      </c>
      <c r="E23" s="623">
        <f ca="1">IFERROR(__xludf.DUMMYFUNCTION("""COMPUTED_VALUE"""),556)</f>
        <v>556</v>
      </c>
      <c r="F23" s="624">
        <f ca="1">IFERROR(__xludf.DUMMYFUNCTION("""COMPUTED_VALUE"""),3032)</f>
        <v>3032</v>
      </c>
      <c r="G23" s="624" t="str">
        <f ca="1">IFERROR(__xludf.DUMMYFUNCTION("""COMPUTED_VALUE"""),"偉訓")</f>
        <v>偉訓</v>
      </c>
      <c r="H23" s="632">
        <f ca="1">IFERROR(__xludf.DUMMYFUNCTION("""COMPUTED_VALUE"""),0.000058)</f>
        <v>5.8E-5</v>
      </c>
      <c r="I23" s="62"/>
      <c r="J23" s="62"/>
      <c r="K23" s="63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spans="1:41" ht="15.5">
      <c r="A24" s="623">
        <f ca="1">IFERROR(__xludf.DUMMYFUNCTION("""COMPUTED_VALUE"""),23)</f>
        <v>23</v>
      </c>
      <c r="B24" s="624">
        <f ca="1">IFERROR(__xludf.DUMMYFUNCTION("""COMPUTED_VALUE"""),2360)</f>
        <v>2360</v>
      </c>
      <c r="C24" s="624" t="str">
        <f ca="1">IFERROR(__xludf.DUMMYFUNCTION("""COMPUTED_VALUE"""),"致茂")</f>
        <v>致茂</v>
      </c>
      <c r="D24" s="630">
        <f ca="1">IFERROR(__xludf.DUMMYFUNCTION("""COMPUTED_VALUE"""),0.006358)</f>
        <v>6.3579999999999999E-3</v>
      </c>
      <c r="E24" s="623">
        <f ca="1">IFERROR(__xludf.DUMMYFUNCTION("""COMPUTED_VALUE"""),557)</f>
        <v>557</v>
      </c>
      <c r="F24" s="624">
        <f ca="1">IFERROR(__xludf.DUMMYFUNCTION("""COMPUTED_VALUE"""),2852)</f>
        <v>2852</v>
      </c>
      <c r="G24" s="624" t="str">
        <f ca="1">IFERROR(__xludf.DUMMYFUNCTION("""COMPUTED_VALUE"""),"第一保")</f>
        <v>第一保</v>
      </c>
      <c r="H24" s="632">
        <f ca="1">IFERROR(__xludf.DUMMYFUNCTION("""COMPUTED_VALUE"""),0.000058)</f>
        <v>5.8E-5</v>
      </c>
      <c r="I24" s="62"/>
      <c r="J24" s="62"/>
      <c r="K24" s="63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</row>
    <row r="25" spans="1:41" ht="15.5">
      <c r="A25" s="623">
        <f ca="1">IFERROR(__xludf.DUMMYFUNCTION("""COMPUTED_VALUE"""),24)</f>
        <v>24</v>
      </c>
      <c r="B25" s="624">
        <f ca="1">IFERROR(__xludf.DUMMYFUNCTION("""COMPUTED_VALUE"""),2886)</f>
        <v>2886</v>
      </c>
      <c r="C25" s="624" t="str">
        <f ca="1">IFERROR(__xludf.DUMMYFUNCTION("""COMPUTED_VALUE"""),"兆豐金")</f>
        <v>兆豐金</v>
      </c>
      <c r="D25" s="630">
        <f ca="1">IFERROR(__xludf.DUMMYFUNCTION("""COMPUTED_VALUE"""),0.005608)</f>
        <v>5.6080000000000001E-3</v>
      </c>
      <c r="E25" s="623">
        <f ca="1">IFERROR(__xludf.DUMMYFUNCTION("""COMPUTED_VALUE"""),558)</f>
        <v>558</v>
      </c>
      <c r="F25" s="624">
        <f ca="1">IFERROR(__xludf.DUMMYFUNCTION("""COMPUTED_VALUE"""),2420)</f>
        <v>2420</v>
      </c>
      <c r="G25" s="624" t="str">
        <f ca="1">IFERROR(__xludf.DUMMYFUNCTION("""COMPUTED_VALUE"""),"新巨")</f>
        <v>新巨</v>
      </c>
      <c r="H25" s="632">
        <f ca="1">IFERROR(__xludf.DUMMYFUNCTION("""COMPUTED_VALUE"""),0.000058)</f>
        <v>5.8E-5</v>
      </c>
      <c r="I25" s="62"/>
      <c r="J25" s="62"/>
      <c r="K25" s="63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spans="1:41" ht="15.5">
      <c r="A26" s="623">
        <f ca="1">IFERROR(__xludf.DUMMYFUNCTION("""COMPUTED_VALUE"""),25)</f>
        <v>25</v>
      </c>
      <c r="B26" s="624">
        <f ca="1">IFERROR(__xludf.DUMMYFUNCTION("""COMPUTED_VALUE"""),2059)</f>
        <v>2059</v>
      </c>
      <c r="C26" s="624" t="str">
        <f ca="1">IFERROR(__xludf.DUMMYFUNCTION("""COMPUTED_VALUE"""),"川湖")</f>
        <v>川湖</v>
      </c>
      <c r="D26" s="630">
        <f ca="1">IFERROR(__xludf.DUMMYFUNCTION("""COMPUTED_VALUE"""),0.005327)</f>
        <v>5.3270000000000001E-3</v>
      </c>
      <c r="E26" s="623">
        <f ca="1">IFERROR(__xludf.DUMMYFUNCTION("""COMPUTED_VALUE"""),559)</f>
        <v>559</v>
      </c>
      <c r="F26" s="624">
        <f ca="1">IFERROR(__xludf.DUMMYFUNCTION("""COMPUTED_VALUE"""),2534)</f>
        <v>2534</v>
      </c>
      <c r="G26" s="624" t="str">
        <f ca="1">IFERROR(__xludf.DUMMYFUNCTION("""COMPUTED_VALUE"""),"宏盛")</f>
        <v>宏盛</v>
      </c>
      <c r="H26" s="632">
        <f ca="1">IFERROR(__xludf.DUMMYFUNCTION("""COMPUTED_VALUE"""),0.000058)</f>
        <v>5.8E-5</v>
      </c>
      <c r="I26" s="62"/>
      <c r="J26" s="62"/>
      <c r="K26" s="63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spans="1:41" ht="15.5">
      <c r="A27" s="623">
        <f ca="1">IFERROR(__xludf.DUMMYFUNCTION("""COMPUTED_VALUE"""),26)</f>
        <v>26</v>
      </c>
      <c r="B27" s="624">
        <f ca="1">IFERROR(__xludf.DUMMYFUNCTION("""COMPUTED_VALUE"""),6505)</f>
        <v>6505</v>
      </c>
      <c r="C27" s="624" t="str">
        <f ca="1">IFERROR(__xludf.DUMMYFUNCTION("""COMPUTED_VALUE"""),"台塑化")</f>
        <v>台塑化</v>
      </c>
      <c r="D27" s="630">
        <f ca="1">IFERROR(__xludf.DUMMYFUNCTION("""COMPUTED_VALUE"""),0.004802)</f>
        <v>4.8019999999999998E-3</v>
      </c>
      <c r="E27" s="623">
        <f ca="1">IFERROR(__xludf.DUMMYFUNCTION("""COMPUTED_VALUE"""),560)</f>
        <v>560</v>
      </c>
      <c r="F27" s="624">
        <f ca="1">IFERROR(__xludf.DUMMYFUNCTION("""COMPUTED_VALUE"""),3049)</f>
        <v>3049</v>
      </c>
      <c r="G27" s="624" t="str">
        <f ca="1">IFERROR(__xludf.DUMMYFUNCTION("""COMPUTED_VALUE"""),"精金")</f>
        <v>精金</v>
      </c>
      <c r="H27" s="632">
        <f ca="1">IFERROR(__xludf.DUMMYFUNCTION("""COMPUTED_VALUE"""),0.000057)</f>
        <v>5.7000000000000003E-5</v>
      </c>
      <c r="I27" s="62"/>
      <c r="J27" s="62"/>
      <c r="K27" s="63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 spans="1:41" ht="15.5">
      <c r="A28" s="623">
        <f ca="1">IFERROR(__xludf.DUMMYFUNCTION("""COMPUTED_VALUE"""),27)</f>
        <v>27</v>
      </c>
      <c r="B28" s="624">
        <f ca="1">IFERROR(__xludf.DUMMYFUNCTION("""COMPUTED_VALUE"""),2884)</f>
        <v>2884</v>
      </c>
      <c r="C28" s="624" t="str">
        <f ca="1">IFERROR(__xludf.DUMMYFUNCTION("""COMPUTED_VALUE"""),"玉山金")</f>
        <v>玉山金</v>
      </c>
      <c r="D28" s="630">
        <f ca="1">IFERROR(__xludf.DUMMYFUNCTION("""COMPUTED_VALUE"""),0.004456)</f>
        <v>4.4559999999999999E-3</v>
      </c>
      <c r="E28" s="623">
        <f ca="1">IFERROR(__xludf.DUMMYFUNCTION("""COMPUTED_VALUE"""),561)</f>
        <v>561</v>
      </c>
      <c r="F28" s="624">
        <f ca="1">IFERROR(__xludf.DUMMYFUNCTION("""COMPUTED_VALUE"""),2236)</f>
        <v>2236</v>
      </c>
      <c r="G28" s="624" t="str">
        <f ca="1">IFERROR(__xludf.DUMMYFUNCTION("""COMPUTED_VALUE"""),"百達-KY")</f>
        <v>百達-KY</v>
      </c>
      <c r="H28" s="632">
        <f ca="1">IFERROR(__xludf.DUMMYFUNCTION("""COMPUTED_VALUE"""),0.000057)</f>
        <v>5.7000000000000003E-5</v>
      </c>
      <c r="I28" s="62"/>
      <c r="J28" s="62"/>
      <c r="K28" s="63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</row>
    <row r="29" spans="1:41" ht="15.5">
      <c r="A29" s="623">
        <f ca="1">IFERROR(__xludf.DUMMYFUNCTION("""COMPUTED_VALUE"""),28)</f>
        <v>28</v>
      </c>
      <c r="B29" s="624">
        <f ca="1">IFERROR(__xludf.DUMMYFUNCTION("""COMPUTED_VALUE"""),2880)</f>
        <v>2880</v>
      </c>
      <c r="C29" s="624" t="str">
        <f ca="1">IFERROR(__xludf.DUMMYFUNCTION("""COMPUTED_VALUE"""),"華南金")</f>
        <v>華南金</v>
      </c>
      <c r="D29" s="630">
        <f ca="1">IFERROR(__xludf.DUMMYFUNCTION("""COMPUTED_VALUE"""),0.00433)</f>
        <v>4.3299999999999996E-3</v>
      </c>
      <c r="E29" s="623">
        <f ca="1">IFERROR(__xludf.DUMMYFUNCTION("""COMPUTED_VALUE"""),562)</f>
        <v>562</v>
      </c>
      <c r="F29" s="624">
        <f ca="1">IFERROR(__xludf.DUMMYFUNCTION("""COMPUTED_VALUE"""),1218)</f>
        <v>1218</v>
      </c>
      <c r="G29" s="624" t="str">
        <f ca="1">IFERROR(__xludf.DUMMYFUNCTION("""COMPUTED_VALUE"""),"泰山")</f>
        <v>泰山</v>
      </c>
      <c r="H29" s="632">
        <f ca="1">IFERROR(__xludf.DUMMYFUNCTION("""COMPUTED_VALUE"""),0.000057)</f>
        <v>5.7000000000000003E-5</v>
      </c>
      <c r="I29" s="62"/>
      <c r="J29" s="62"/>
      <c r="K29" s="63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</row>
    <row r="30" spans="1:41" ht="15.5">
      <c r="A30" s="623">
        <f ca="1">IFERROR(__xludf.DUMMYFUNCTION("""COMPUTED_VALUE"""),29)</f>
        <v>29</v>
      </c>
      <c r="B30" s="624">
        <f ca="1">IFERROR(__xludf.DUMMYFUNCTION("""COMPUTED_VALUE"""),2357)</f>
        <v>2357</v>
      </c>
      <c r="C30" s="624" t="str">
        <f ca="1">IFERROR(__xludf.DUMMYFUNCTION("""COMPUTED_VALUE"""),"華碩")</f>
        <v>華碩</v>
      </c>
      <c r="D30" s="630">
        <f ca="1">IFERROR(__xludf.DUMMYFUNCTION("""COMPUTED_VALUE"""),0.004284)</f>
        <v>4.2839999999999996E-3</v>
      </c>
      <c r="E30" s="623">
        <f ca="1">IFERROR(__xludf.DUMMYFUNCTION("""COMPUTED_VALUE"""),563)</f>
        <v>563</v>
      </c>
      <c r="F30" s="624">
        <f ca="1">IFERROR(__xludf.DUMMYFUNCTION("""COMPUTED_VALUE"""),6861)</f>
        <v>6861</v>
      </c>
      <c r="G30" s="624" t="str">
        <f ca="1">IFERROR(__xludf.DUMMYFUNCTION("""COMPUTED_VALUE"""),"睿生光電")</f>
        <v>睿生光電</v>
      </c>
      <c r="H30" s="632">
        <f ca="1">IFERROR(__xludf.DUMMYFUNCTION("""COMPUTED_VALUE"""),0.000057)</f>
        <v>5.7000000000000003E-5</v>
      </c>
      <c r="I30" s="62"/>
      <c r="J30" s="62"/>
      <c r="K30" s="63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</row>
    <row r="31" spans="1:41" ht="15.5">
      <c r="A31" s="623">
        <f ca="1">IFERROR(__xludf.DUMMYFUNCTION("""COMPUTED_VALUE"""),30)</f>
        <v>30</v>
      </c>
      <c r="B31" s="624">
        <f ca="1">IFERROR(__xludf.DUMMYFUNCTION("""COMPUTED_VALUE"""),2890)</f>
        <v>2890</v>
      </c>
      <c r="C31" s="624" t="str">
        <f ca="1">IFERROR(__xludf.DUMMYFUNCTION("""COMPUTED_VALUE"""),"永豐金")</f>
        <v>永豐金</v>
      </c>
      <c r="D31" s="630">
        <f ca="1">IFERROR(__xludf.DUMMYFUNCTION("""COMPUTED_VALUE"""),0.004273)</f>
        <v>4.2729999999999999E-3</v>
      </c>
      <c r="E31" s="623">
        <f ca="1">IFERROR(__xludf.DUMMYFUNCTION("""COMPUTED_VALUE"""),564)</f>
        <v>564</v>
      </c>
      <c r="F31" s="624">
        <f ca="1">IFERROR(__xludf.DUMMYFUNCTION("""COMPUTED_VALUE"""),3622)</f>
        <v>3622</v>
      </c>
      <c r="G31" s="624" t="str">
        <f ca="1">IFERROR(__xludf.DUMMYFUNCTION("""COMPUTED_VALUE"""),"洋華")</f>
        <v>洋華</v>
      </c>
      <c r="H31" s="632">
        <f ca="1">IFERROR(__xludf.DUMMYFUNCTION("""COMPUTED_VALUE"""),0.000057)</f>
        <v>5.7000000000000003E-5</v>
      </c>
      <c r="I31" s="62"/>
      <c r="J31" s="62"/>
      <c r="K31" s="63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</row>
    <row r="32" spans="1:41" ht="15.5">
      <c r="A32" s="623">
        <f ca="1">IFERROR(__xludf.DUMMYFUNCTION("""COMPUTED_VALUE"""),31)</f>
        <v>31</v>
      </c>
      <c r="B32" s="624">
        <f ca="1">IFERROR(__xludf.DUMMYFUNCTION("""COMPUTED_VALUE"""),8046)</f>
        <v>8046</v>
      </c>
      <c r="C32" s="624" t="str">
        <f ca="1">IFERROR(__xludf.DUMMYFUNCTION("""COMPUTED_VALUE"""),"南電")</f>
        <v>南電</v>
      </c>
      <c r="D32" s="630">
        <f ca="1">IFERROR(__xludf.DUMMYFUNCTION("""COMPUTED_VALUE"""),0.004233)</f>
        <v>4.2329999999999998E-3</v>
      </c>
      <c r="E32" s="623">
        <f ca="1">IFERROR(__xludf.DUMMYFUNCTION("""COMPUTED_VALUE"""),565)</f>
        <v>565</v>
      </c>
      <c r="F32" s="624">
        <f ca="1">IFERROR(__xludf.DUMMYFUNCTION("""COMPUTED_VALUE"""),3504)</f>
        <v>3504</v>
      </c>
      <c r="G32" s="624" t="str">
        <f ca="1">IFERROR(__xludf.DUMMYFUNCTION("""COMPUTED_VALUE"""),"揚明光")</f>
        <v>揚明光</v>
      </c>
      <c r="H32" s="632">
        <f ca="1">IFERROR(__xludf.DUMMYFUNCTION("""COMPUTED_VALUE"""),0.000056)</f>
        <v>5.5999999999999999E-5</v>
      </c>
      <c r="I32" s="62"/>
      <c r="J32" s="62"/>
      <c r="K32" s="63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spans="1:41" ht="15.5">
      <c r="A33" s="623">
        <f ca="1">IFERROR(__xludf.DUMMYFUNCTION("""COMPUTED_VALUE"""),32)</f>
        <v>32</v>
      </c>
      <c r="B33" s="624">
        <f ca="1">IFERROR(__xludf.DUMMYFUNCTION("""COMPUTED_VALUE"""),2344)</f>
        <v>2344</v>
      </c>
      <c r="C33" s="624" t="str">
        <f ca="1">IFERROR(__xludf.DUMMYFUNCTION("""COMPUTED_VALUE"""),"華邦電")</f>
        <v>華邦電</v>
      </c>
      <c r="D33" s="630">
        <f ca="1">IFERROR(__xludf.DUMMYFUNCTION("""COMPUTED_VALUE"""),0.004165)</f>
        <v>4.1650000000000003E-3</v>
      </c>
      <c r="E33" s="623">
        <f ca="1">IFERROR(__xludf.DUMMYFUNCTION("""COMPUTED_VALUE"""),566)</f>
        <v>566</v>
      </c>
      <c r="F33" s="624">
        <f ca="1">IFERROR(__xludf.DUMMYFUNCTION("""COMPUTED_VALUE"""),3312)</f>
        <v>3312</v>
      </c>
      <c r="G33" s="624" t="str">
        <f ca="1">IFERROR(__xludf.DUMMYFUNCTION("""COMPUTED_VALUE"""),"弘憶股")</f>
        <v>弘憶股</v>
      </c>
      <c r="H33" s="632">
        <f ca="1">IFERROR(__xludf.DUMMYFUNCTION("""COMPUTED_VALUE"""),0.000056)</f>
        <v>5.5999999999999999E-5</v>
      </c>
      <c r="I33" s="62"/>
      <c r="J33" s="62"/>
      <c r="K33" s="63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</row>
    <row r="34" spans="1:41" ht="15.5">
      <c r="A34" s="623">
        <f ca="1">IFERROR(__xludf.DUMMYFUNCTION("""COMPUTED_VALUE"""),33)</f>
        <v>33</v>
      </c>
      <c r="B34" s="624">
        <f ca="1">IFERROR(__xludf.DUMMYFUNCTION("""COMPUTED_VALUE"""),3231)</f>
        <v>3231</v>
      </c>
      <c r="C34" s="624" t="str">
        <f ca="1">IFERROR(__xludf.DUMMYFUNCTION("""COMPUTED_VALUE"""),"緯創")</f>
        <v>緯創</v>
      </c>
      <c r="D34" s="630">
        <f ca="1">IFERROR(__xludf.DUMMYFUNCTION("""COMPUTED_VALUE"""),0.003986)</f>
        <v>3.986E-3</v>
      </c>
      <c r="E34" s="623">
        <f ca="1">IFERROR(__xludf.DUMMYFUNCTION("""COMPUTED_VALUE"""),567)</f>
        <v>567</v>
      </c>
      <c r="F34" s="624">
        <f ca="1">IFERROR(__xludf.DUMMYFUNCTION("""COMPUTED_VALUE"""),4137)</f>
        <v>4137</v>
      </c>
      <c r="G34" s="624" t="str">
        <f ca="1">IFERROR(__xludf.DUMMYFUNCTION("""COMPUTED_VALUE"""),"麗豐-KY")</f>
        <v>麗豐-KY</v>
      </c>
      <c r="H34" s="632">
        <f ca="1">IFERROR(__xludf.DUMMYFUNCTION("""COMPUTED_VALUE"""),0.000056)</f>
        <v>5.5999999999999999E-5</v>
      </c>
      <c r="I34" s="62"/>
      <c r="J34" s="62"/>
      <c r="K34" s="63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spans="1:41" ht="15.5">
      <c r="A35" s="623">
        <f ca="1">IFERROR(__xludf.DUMMYFUNCTION("""COMPUTED_VALUE"""),34)</f>
        <v>34</v>
      </c>
      <c r="B35" s="624">
        <f ca="1">IFERROR(__xludf.DUMMYFUNCTION("""COMPUTED_VALUE"""),2892)</f>
        <v>2892</v>
      </c>
      <c r="C35" s="624" t="str">
        <f ca="1">IFERROR(__xludf.DUMMYFUNCTION("""COMPUTED_VALUE"""),"第一金")</f>
        <v>第一金</v>
      </c>
      <c r="D35" s="630">
        <f ca="1">IFERROR(__xludf.DUMMYFUNCTION("""COMPUTED_VALUE"""),0.003763)</f>
        <v>3.7629999999999999E-3</v>
      </c>
      <c r="E35" s="623">
        <f ca="1">IFERROR(__xludf.DUMMYFUNCTION("""COMPUTED_VALUE"""),568)</f>
        <v>568</v>
      </c>
      <c r="F35" s="624">
        <f ca="1">IFERROR(__xludf.DUMMYFUNCTION("""COMPUTED_VALUE"""),4571)</f>
        <v>4571</v>
      </c>
      <c r="G35" s="624" t="str">
        <f ca="1">IFERROR(__xludf.DUMMYFUNCTION("""COMPUTED_VALUE"""),"鈞興-KY")</f>
        <v>鈞興-KY</v>
      </c>
      <c r="H35" s="632">
        <f ca="1">IFERROR(__xludf.DUMMYFUNCTION("""COMPUTED_VALUE"""),0.000056)</f>
        <v>5.5999999999999999E-5</v>
      </c>
      <c r="I35" s="62"/>
      <c r="J35" s="62"/>
      <c r="K35" s="63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  <row r="36" spans="1:41" ht="15.5">
      <c r="A36" s="623">
        <f ca="1">IFERROR(__xludf.DUMMYFUNCTION("""COMPUTED_VALUE"""),35)</f>
        <v>35</v>
      </c>
      <c r="B36" s="624">
        <f ca="1">IFERROR(__xludf.DUMMYFUNCTION("""COMPUTED_VALUE"""),3008)</f>
        <v>3008</v>
      </c>
      <c r="C36" s="624" t="str">
        <f ca="1">IFERROR(__xludf.DUMMYFUNCTION("""COMPUTED_VALUE"""),"大立光")</f>
        <v>大立光</v>
      </c>
      <c r="D36" s="630">
        <f ca="1">IFERROR(__xludf.DUMMYFUNCTION("""COMPUTED_VALUE"""),0.003758)</f>
        <v>3.7580000000000001E-3</v>
      </c>
      <c r="E36" s="623">
        <f ca="1">IFERROR(__xludf.DUMMYFUNCTION("""COMPUTED_VALUE"""),569)</f>
        <v>569</v>
      </c>
      <c r="F36" s="624">
        <f ca="1">IFERROR(__xludf.DUMMYFUNCTION("""COMPUTED_VALUE"""),4927)</f>
        <v>4927</v>
      </c>
      <c r="G36" s="624" t="str">
        <f ca="1">IFERROR(__xludf.DUMMYFUNCTION("""COMPUTED_VALUE"""),"泰鼎-KY")</f>
        <v>泰鼎-KY</v>
      </c>
      <c r="H36" s="632">
        <f ca="1">IFERROR(__xludf.DUMMYFUNCTION("""COMPUTED_VALUE"""),0.000055)</f>
        <v>5.5000000000000002E-5</v>
      </c>
      <c r="I36" s="62"/>
      <c r="J36" s="62"/>
      <c r="K36" s="63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</row>
    <row r="37" spans="1:41" ht="15.5">
      <c r="A37" s="623">
        <f ca="1">IFERROR(__xludf.DUMMYFUNCTION("""COMPUTED_VALUE"""),36)</f>
        <v>36</v>
      </c>
      <c r="B37" s="624">
        <f ca="1">IFERROR(__xludf.DUMMYFUNCTION("""COMPUTED_VALUE"""),2883)</f>
        <v>2883</v>
      </c>
      <c r="C37" s="624" t="str">
        <f ca="1">IFERROR(__xludf.DUMMYFUNCTION("""COMPUTED_VALUE"""),"凱基金")</f>
        <v>凱基金</v>
      </c>
      <c r="D37" s="630">
        <f ca="1">IFERROR(__xludf.DUMMYFUNCTION("""COMPUTED_VALUE"""),0.003729)</f>
        <v>3.7290000000000001E-3</v>
      </c>
      <c r="E37" s="623">
        <f ca="1">IFERROR(__xludf.DUMMYFUNCTION("""COMPUTED_VALUE"""),570)</f>
        <v>570</v>
      </c>
      <c r="F37" s="624">
        <f ca="1">IFERROR(__xludf.DUMMYFUNCTION("""COMPUTED_VALUE"""),5531)</f>
        <v>5531</v>
      </c>
      <c r="G37" s="624" t="str">
        <f ca="1">IFERROR(__xludf.DUMMYFUNCTION("""COMPUTED_VALUE"""),"鄉林")</f>
        <v>鄉林</v>
      </c>
      <c r="H37" s="632">
        <f ca="1">IFERROR(__xludf.DUMMYFUNCTION("""COMPUTED_VALUE"""),0.000055)</f>
        <v>5.5000000000000002E-5</v>
      </c>
      <c r="I37" s="62"/>
      <c r="J37" s="62"/>
      <c r="K37" s="63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</row>
    <row r="38" spans="1:41" ht="15.5">
      <c r="A38" s="623">
        <f ca="1">IFERROR(__xludf.DUMMYFUNCTION("""COMPUTED_VALUE"""),37)</f>
        <v>37</v>
      </c>
      <c r="B38" s="624">
        <f ca="1">IFERROR(__xludf.DUMMYFUNCTION("""COMPUTED_VALUE"""),3443)</f>
        <v>3443</v>
      </c>
      <c r="C38" s="624" t="str">
        <f ca="1">IFERROR(__xludf.DUMMYFUNCTION("""COMPUTED_VALUE"""),"創意")</f>
        <v>創意</v>
      </c>
      <c r="D38" s="630">
        <f ca="1">IFERROR(__xludf.DUMMYFUNCTION("""COMPUTED_VALUE"""),0.003631)</f>
        <v>3.6310000000000001E-3</v>
      </c>
      <c r="E38" s="623">
        <f ca="1">IFERROR(__xludf.DUMMYFUNCTION("""COMPUTED_VALUE"""),571)</f>
        <v>571</v>
      </c>
      <c r="F38" s="624">
        <f ca="1">IFERROR(__xludf.DUMMYFUNCTION("""COMPUTED_VALUE"""),9918)</f>
        <v>9918</v>
      </c>
      <c r="G38" s="624" t="str">
        <f ca="1">IFERROR(__xludf.DUMMYFUNCTION("""COMPUTED_VALUE"""),"欣天然")</f>
        <v>欣天然</v>
      </c>
      <c r="H38" s="632">
        <f ca="1">IFERROR(__xludf.DUMMYFUNCTION("""COMPUTED_VALUE"""),0.000055)</f>
        <v>5.5000000000000002E-5</v>
      </c>
      <c r="I38" s="62"/>
      <c r="J38" s="62"/>
      <c r="K38" s="63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spans="1:41" ht="15.5">
      <c r="A39" s="623">
        <f ca="1">IFERROR(__xludf.DUMMYFUNCTION("""COMPUTED_VALUE"""),38)</f>
        <v>38</v>
      </c>
      <c r="B39" s="624">
        <f ca="1">IFERROR(__xludf.DUMMYFUNCTION("""COMPUTED_VALUE"""),3653)</f>
        <v>3653</v>
      </c>
      <c r="C39" s="624" t="str">
        <f ca="1">IFERROR(__xludf.DUMMYFUNCTION("""COMPUTED_VALUE"""),"健策")</f>
        <v>健策</v>
      </c>
      <c r="D39" s="630">
        <f ca="1">IFERROR(__xludf.DUMMYFUNCTION("""COMPUTED_VALUE"""),0.003599)</f>
        <v>3.5990000000000002E-3</v>
      </c>
      <c r="E39" s="623">
        <f ca="1">IFERROR(__xludf.DUMMYFUNCTION("""COMPUTED_VALUE"""),572)</f>
        <v>572</v>
      </c>
      <c r="F39" s="624">
        <f ca="1">IFERROR(__xludf.DUMMYFUNCTION("""COMPUTED_VALUE"""),2107)</f>
        <v>2107</v>
      </c>
      <c r="G39" s="624" t="str">
        <f ca="1">IFERROR(__xludf.DUMMYFUNCTION("""COMPUTED_VALUE"""),"厚生")</f>
        <v>厚生</v>
      </c>
      <c r="H39" s="632">
        <f ca="1">IFERROR(__xludf.DUMMYFUNCTION("""COMPUTED_VALUE"""),0.000055)</f>
        <v>5.5000000000000002E-5</v>
      </c>
      <c r="I39" s="62"/>
      <c r="J39" s="62"/>
      <c r="K39" s="63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</row>
    <row r="40" spans="1:41" ht="15.5">
      <c r="A40" s="623">
        <f ca="1">IFERROR(__xludf.DUMMYFUNCTION("""COMPUTED_VALUE"""),39)</f>
        <v>39</v>
      </c>
      <c r="B40" s="624">
        <f ca="1">IFERROR(__xludf.DUMMYFUNCTION("""COMPUTED_VALUE"""),2395)</f>
        <v>2395</v>
      </c>
      <c r="C40" s="624" t="str">
        <f ca="1">IFERROR(__xludf.DUMMYFUNCTION("""COMPUTED_VALUE"""),"研華")</f>
        <v>研華</v>
      </c>
      <c r="D40" s="630">
        <f ca="1">IFERROR(__xludf.DUMMYFUNCTION("""COMPUTED_VALUE"""),0.003481)</f>
        <v>3.4810000000000002E-3</v>
      </c>
      <c r="E40" s="623">
        <f ca="1">IFERROR(__xludf.DUMMYFUNCTION("""COMPUTED_VALUE"""),573)</f>
        <v>573</v>
      </c>
      <c r="F40" s="624">
        <f ca="1">IFERROR(__xludf.DUMMYFUNCTION("""COMPUTED_VALUE"""),2913)</f>
        <v>2913</v>
      </c>
      <c r="G40" s="624" t="str">
        <f ca="1">IFERROR(__xludf.DUMMYFUNCTION("""COMPUTED_VALUE"""),"農林")</f>
        <v>農林</v>
      </c>
      <c r="H40" s="632">
        <f ca="1">IFERROR(__xludf.DUMMYFUNCTION("""COMPUTED_VALUE"""),0.000055)</f>
        <v>5.5000000000000002E-5</v>
      </c>
      <c r="I40" s="62"/>
      <c r="J40" s="62"/>
      <c r="K40" s="63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spans="1:41" ht="15.5">
      <c r="A41" s="623">
        <f ca="1">IFERROR(__xludf.DUMMYFUNCTION("""COMPUTED_VALUE"""),40)</f>
        <v>40</v>
      </c>
      <c r="B41" s="624">
        <f ca="1">IFERROR(__xludf.DUMMYFUNCTION("""COMPUTED_VALUE"""),2301)</f>
        <v>2301</v>
      </c>
      <c r="C41" s="624" t="str">
        <f ca="1">IFERROR(__xludf.DUMMYFUNCTION("""COMPUTED_VALUE"""),"光寶科")</f>
        <v>光寶科</v>
      </c>
      <c r="D41" s="630">
        <f ca="1">IFERROR(__xludf.DUMMYFUNCTION("""COMPUTED_VALUE"""),0.003447)</f>
        <v>3.447E-3</v>
      </c>
      <c r="E41" s="623">
        <f ca="1">IFERROR(__xludf.DUMMYFUNCTION("""COMPUTED_VALUE"""),574)</f>
        <v>574</v>
      </c>
      <c r="F41" s="624">
        <f ca="1">IFERROR(__xludf.DUMMYFUNCTION("""COMPUTED_VALUE"""),2816)</f>
        <v>2816</v>
      </c>
      <c r="G41" s="624" t="str">
        <f ca="1">IFERROR(__xludf.DUMMYFUNCTION("""COMPUTED_VALUE"""),"旺旺保")</f>
        <v>旺旺保</v>
      </c>
      <c r="H41" s="632">
        <f ca="1">IFERROR(__xludf.DUMMYFUNCTION("""COMPUTED_VALUE"""),0.000054)</f>
        <v>5.3999999999999998E-5</v>
      </c>
      <c r="I41" s="62"/>
      <c r="J41" s="62"/>
      <c r="K41" s="63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</row>
    <row r="42" spans="1:41" ht="15.5">
      <c r="A42" s="623">
        <f ca="1">IFERROR(__xludf.DUMMYFUNCTION("""COMPUTED_VALUE"""),41)</f>
        <v>41</v>
      </c>
      <c r="B42" s="624">
        <f ca="1">IFERROR(__xludf.DUMMYFUNCTION("""COMPUTED_VALUE"""),6446)</f>
        <v>6446</v>
      </c>
      <c r="C42" s="624" t="str">
        <f ca="1">IFERROR(__xludf.DUMMYFUNCTION("""COMPUTED_VALUE"""),"藥華藥")</f>
        <v>藥華藥</v>
      </c>
      <c r="D42" s="630">
        <f ca="1">IFERROR(__xludf.DUMMYFUNCTION("""COMPUTED_VALUE"""),0.003188)</f>
        <v>3.1879999999999999E-3</v>
      </c>
      <c r="E42" s="623">
        <f ca="1">IFERROR(__xludf.DUMMYFUNCTION("""COMPUTED_VALUE"""),575)</f>
        <v>575</v>
      </c>
      <c r="F42" s="624">
        <f ca="1">IFERROR(__xludf.DUMMYFUNCTION("""COMPUTED_VALUE"""),2419)</f>
        <v>2419</v>
      </c>
      <c r="G42" s="624" t="str">
        <f ca="1">IFERROR(__xludf.DUMMYFUNCTION("""COMPUTED_VALUE"""),"仲琦")</f>
        <v>仲琦</v>
      </c>
      <c r="H42" s="632">
        <f ca="1">IFERROR(__xludf.DUMMYFUNCTION("""COMPUTED_VALUE"""),0.000054)</f>
        <v>5.3999999999999998E-5</v>
      </c>
      <c r="I42" s="62"/>
      <c r="J42" s="62"/>
      <c r="K42" s="63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</row>
    <row r="43" spans="1:41" ht="15.5">
      <c r="A43" s="623">
        <f ca="1">IFERROR(__xludf.DUMMYFUNCTION("""COMPUTED_VALUE"""),42)</f>
        <v>42</v>
      </c>
      <c r="B43" s="624">
        <f ca="1">IFERROR(__xludf.DUMMYFUNCTION("""COMPUTED_VALUE"""),4958)</f>
        <v>4958</v>
      </c>
      <c r="C43" s="624" t="str">
        <f ca="1">IFERROR(__xludf.DUMMYFUNCTION("""COMPUTED_VALUE"""),"臻鼎-KY")</f>
        <v>臻鼎-KY</v>
      </c>
      <c r="D43" s="630">
        <f ca="1">IFERROR(__xludf.DUMMYFUNCTION("""COMPUTED_VALUE"""),0.003152)</f>
        <v>3.1519999999999999E-3</v>
      </c>
      <c r="E43" s="623">
        <f ca="1">IFERROR(__xludf.DUMMYFUNCTION("""COMPUTED_VALUE"""),576)</f>
        <v>576</v>
      </c>
      <c r="F43" s="624">
        <f ca="1">IFERROR(__xludf.DUMMYFUNCTION("""COMPUTED_VALUE"""),1342)</f>
        <v>1342</v>
      </c>
      <c r="G43" s="624" t="str">
        <f ca="1">IFERROR(__xludf.DUMMYFUNCTION("""COMPUTED_VALUE"""),"八貫")</f>
        <v>八貫</v>
      </c>
      <c r="H43" s="632">
        <f ca="1">IFERROR(__xludf.DUMMYFUNCTION("""COMPUTED_VALUE"""),0.000054)</f>
        <v>5.3999999999999998E-5</v>
      </c>
      <c r="I43" s="62"/>
      <c r="J43" s="62"/>
      <c r="K43" s="63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</row>
    <row r="44" spans="1:41" ht="15.5">
      <c r="A44" s="623">
        <f ca="1">IFERROR(__xludf.DUMMYFUNCTION("""COMPUTED_VALUE"""),43)</f>
        <v>43</v>
      </c>
      <c r="B44" s="624">
        <f ca="1">IFERROR(__xludf.DUMMYFUNCTION("""COMPUTED_VALUE"""),2603)</f>
        <v>2603</v>
      </c>
      <c r="C44" s="624" t="str">
        <f ca="1">IFERROR(__xludf.DUMMYFUNCTION("""COMPUTED_VALUE"""),"長榮")</f>
        <v>長榮</v>
      </c>
      <c r="D44" s="630">
        <f ca="1">IFERROR(__xludf.DUMMYFUNCTION("""COMPUTED_VALUE"""),0.003145)</f>
        <v>3.1449999999999998E-3</v>
      </c>
      <c r="E44" s="623">
        <f ca="1">IFERROR(__xludf.DUMMYFUNCTION("""COMPUTED_VALUE"""),577)</f>
        <v>577</v>
      </c>
      <c r="F44" s="624">
        <f ca="1">IFERROR(__xludf.DUMMYFUNCTION("""COMPUTED_VALUE"""),6706)</f>
        <v>6706</v>
      </c>
      <c r="G44" s="624" t="str">
        <f ca="1">IFERROR(__xludf.DUMMYFUNCTION("""COMPUTED_VALUE"""),"惠特")</f>
        <v>惠特</v>
      </c>
      <c r="H44" s="632">
        <f ca="1">IFERROR(__xludf.DUMMYFUNCTION("""COMPUTED_VALUE"""),0.000054)</f>
        <v>5.3999999999999998E-5</v>
      </c>
      <c r="I44" s="62"/>
      <c r="J44" s="62"/>
      <c r="K44" s="63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</row>
    <row r="45" spans="1:41" ht="15.5">
      <c r="A45" s="623">
        <f ca="1">IFERROR(__xludf.DUMMYFUNCTION("""COMPUTED_VALUE"""),44)</f>
        <v>44</v>
      </c>
      <c r="B45" s="624">
        <f ca="1">IFERROR(__xludf.DUMMYFUNCTION("""COMPUTED_VALUE"""),5880)</f>
        <v>5880</v>
      </c>
      <c r="C45" s="624" t="str">
        <f ca="1">IFERROR(__xludf.DUMMYFUNCTION("""COMPUTED_VALUE"""),"合庫金")</f>
        <v>合庫金</v>
      </c>
      <c r="D45" s="630">
        <f ca="1">IFERROR(__xludf.DUMMYFUNCTION("""COMPUTED_VALUE"""),0.003082)</f>
        <v>3.0820000000000001E-3</v>
      </c>
      <c r="E45" s="623">
        <f ca="1">IFERROR(__xludf.DUMMYFUNCTION("""COMPUTED_VALUE"""),578)</f>
        <v>578</v>
      </c>
      <c r="F45" s="624">
        <f ca="1">IFERROR(__xludf.DUMMYFUNCTION("""COMPUTED_VALUE"""),6958)</f>
        <v>6958</v>
      </c>
      <c r="G45" s="624" t="str">
        <f ca="1">IFERROR(__xludf.DUMMYFUNCTION("""COMPUTED_VALUE"""),"日盛台駿")</f>
        <v>日盛台駿</v>
      </c>
      <c r="H45" s="632">
        <f ca="1">IFERROR(__xludf.DUMMYFUNCTION("""COMPUTED_VALUE"""),0.000054)</f>
        <v>5.3999999999999998E-5</v>
      </c>
      <c r="I45" s="62"/>
      <c r="J45" s="62"/>
      <c r="K45" s="63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</row>
    <row r="46" spans="1:41" ht="15.5">
      <c r="A46" s="623">
        <f ca="1">IFERROR(__xludf.DUMMYFUNCTION("""COMPUTED_VALUE"""),45)</f>
        <v>45</v>
      </c>
      <c r="B46" s="624">
        <f ca="1">IFERROR(__xludf.DUMMYFUNCTION("""COMPUTED_VALUE"""),1216)</f>
        <v>1216</v>
      </c>
      <c r="C46" s="624" t="str">
        <f ca="1">IFERROR(__xludf.DUMMYFUNCTION("""COMPUTED_VALUE"""),"統一")</f>
        <v>統一</v>
      </c>
      <c r="D46" s="630">
        <f ca="1">IFERROR(__xludf.DUMMYFUNCTION("""COMPUTED_VALUE"""),0.002986)</f>
        <v>2.9859999999999999E-3</v>
      </c>
      <c r="E46" s="623">
        <f ca="1">IFERROR(__xludf.DUMMYFUNCTION("""COMPUTED_VALUE"""),579)</f>
        <v>579</v>
      </c>
      <c r="F46" s="624">
        <f ca="1">IFERROR(__xludf.DUMMYFUNCTION("""COMPUTED_VALUE"""),6120)</f>
        <v>6120</v>
      </c>
      <c r="G46" s="624" t="str">
        <f ca="1">IFERROR(__xludf.DUMMYFUNCTION("""COMPUTED_VALUE"""),"達運")</f>
        <v>達運</v>
      </c>
      <c r="H46" s="632">
        <f ca="1">IFERROR(__xludf.DUMMYFUNCTION("""COMPUTED_VALUE"""),0.000054)</f>
        <v>5.3999999999999998E-5</v>
      </c>
      <c r="I46" s="62"/>
      <c r="J46" s="62"/>
      <c r="K46" s="63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</row>
    <row r="47" spans="1:41" ht="15.5">
      <c r="A47" s="623">
        <f ca="1">IFERROR(__xludf.DUMMYFUNCTION("""COMPUTED_VALUE"""),46)</f>
        <v>46</v>
      </c>
      <c r="B47" s="624">
        <f ca="1">IFERROR(__xludf.DUMMYFUNCTION("""COMPUTED_VALUE"""),3045)</f>
        <v>3045</v>
      </c>
      <c r="C47" s="624" t="str">
        <f ca="1">IFERROR(__xludf.DUMMYFUNCTION("""COMPUTED_VALUE"""),"台灣大")</f>
        <v>台灣大</v>
      </c>
      <c r="D47" s="630">
        <f ca="1">IFERROR(__xludf.DUMMYFUNCTION("""COMPUTED_VALUE"""),0.002982)</f>
        <v>2.9819999999999998E-3</v>
      </c>
      <c r="E47" s="623">
        <f ca="1">IFERROR(__xludf.DUMMYFUNCTION("""COMPUTED_VALUE"""),580)</f>
        <v>580</v>
      </c>
      <c r="F47" s="624">
        <f ca="1">IFERROR(__xludf.DUMMYFUNCTION("""COMPUTED_VALUE"""),8473)</f>
        <v>8473</v>
      </c>
      <c r="G47" s="624" t="str">
        <f ca="1">IFERROR(__xludf.DUMMYFUNCTION("""COMPUTED_VALUE"""),"山林水")</f>
        <v>山林水</v>
      </c>
      <c r="H47" s="632">
        <f ca="1">IFERROR(__xludf.DUMMYFUNCTION("""COMPUTED_VALUE"""),0.000053)</f>
        <v>5.3000000000000001E-5</v>
      </c>
      <c r="I47" s="62"/>
      <c r="J47" s="62"/>
      <c r="K47" s="63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</row>
    <row r="48" spans="1:41" ht="15.5">
      <c r="A48" s="623">
        <f ca="1">IFERROR(__xludf.DUMMYFUNCTION("""COMPUTED_VALUE"""),47)</f>
        <v>47</v>
      </c>
      <c r="B48" s="624">
        <f ca="1">IFERROR(__xludf.DUMMYFUNCTION("""COMPUTED_VALUE"""),2368)</f>
        <v>2368</v>
      </c>
      <c r="C48" s="624" t="str">
        <f ca="1">IFERROR(__xludf.DUMMYFUNCTION("""COMPUTED_VALUE"""),"金像電")</f>
        <v>金像電</v>
      </c>
      <c r="D48" s="630">
        <f ca="1">IFERROR(__xludf.DUMMYFUNCTION("""COMPUTED_VALUE"""),0.002919)</f>
        <v>2.9190000000000002E-3</v>
      </c>
      <c r="E48" s="623">
        <f ca="1">IFERROR(__xludf.DUMMYFUNCTION("""COMPUTED_VALUE"""),581)</f>
        <v>581</v>
      </c>
      <c r="F48" s="624">
        <f ca="1">IFERROR(__xludf.DUMMYFUNCTION("""COMPUTED_VALUE"""),1321)</f>
        <v>1321</v>
      </c>
      <c r="G48" s="624" t="str">
        <f ca="1">IFERROR(__xludf.DUMMYFUNCTION("""COMPUTED_VALUE"""),"大洋")</f>
        <v>大洋</v>
      </c>
      <c r="H48" s="632">
        <f ca="1">IFERROR(__xludf.DUMMYFUNCTION("""COMPUTED_VALUE"""),0.000053)</f>
        <v>5.3000000000000001E-5</v>
      </c>
      <c r="I48" s="62"/>
      <c r="J48" s="62"/>
      <c r="K48" s="63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</row>
    <row r="49" spans="1:41" ht="15.5">
      <c r="A49" s="623">
        <f ca="1">IFERROR(__xludf.DUMMYFUNCTION("""COMPUTED_VALUE"""),48)</f>
        <v>48</v>
      </c>
      <c r="B49" s="624">
        <f ca="1">IFERROR(__xludf.DUMMYFUNCTION("""COMPUTED_VALUE"""),3665)</f>
        <v>3665</v>
      </c>
      <c r="C49" s="624" t="str">
        <f ca="1">IFERROR(__xludf.DUMMYFUNCTION("""COMPUTED_VALUE"""),"貿聯-KY")</f>
        <v>貿聯-KY</v>
      </c>
      <c r="D49" s="630">
        <f ca="1">IFERROR(__xludf.DUMMYFUNCTION("""COMPUTED_VALUE"""),0.002917)</f>
        <v>2.9169999999999999E-3</v>
      </c>
      <c r="E49" s="623">
        <f ca="1">IFERROR(__xludf.DUMMYFUNCTION("""COMPUTED_VALUE"""),582)</f>
        <v>582</v>
      </c>
      <c r="F49" s="624">
        <f ca="1">IFERROR(__xludf.DUMMYFUNCTION("""COMPUTED_VALUE"""),1308)</f>
        <v>1308</v>
      </c>
      <c r="G49" s="624" t="str">
        <f ca="1">IFERROR(__xludf.DUMMYFUNCTION("""COMPUTED_VALUE"""),"亞聚")</f>
        <v>亞聚</v>
      </c>
      <c r="H49" s="632">
        <f ca="1">IFERROR(__xludf.DUMMYFUNCTION("""COMPUTED_VALUE"""),0.000053)</f>
        <v>5.3000000000000001E-5</v>
      </c>
      <c r="I49" s="62"/>
      <c r="J49" s="62"/>
      <c r="K49" s="63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</row>
    <row r="50" spans="1:41" ht="15.5">
      <c r="A50" s="623">
        <f ca="1">IFERROR(__xludf.DUMMYFUNCTION("""COMPUTED_VALUE"""),49)</f>
        <v>49</v>
      </c>
      <c r="B50" s="624">
        <f ca="1">IFERROR(__xludf.DUMMYFUNCTION("""COMPUTED_VALUE"""),4904)</f>
        <v>4904</v>
      </c>
      <c r="C50" s="624" t="str">
        <f ca="1">IFERROR(__xludf.DUMMYFUNCTION("""COMPUTED_VALUE"""),"遠傳")</f>
        <v>遠傳</v>
      </c>
      <c r="D50" s="630">
        <f ca="1">IFERROR(__xludf.DUMMYFUNCTION("""COMPUTED_VALUE"""),0.002627)</f>
        <v>2.627E-3</v>
      </c>
      <c r="E50" s="623">
        <f ca="1">IFERROR(__xludf.DUMMYFUNCTION("""COMPUTED_VALUE"""),583)</f>
        <v>583</v>
      </c>
      <c r="F50" s="624">
        <f ca="1">IFERROR(__xludf.DUMMYFUNCTION("""COMPUTED_VALUE"""),2349)</f>
        <v>2349</v>
      </c>
      <c r="G50" s="624" t="str">
        <f ca="1">IFERROR(__xludf.DUMMYFUNCTION("""COMPUTED_VALUE"""),"錸德")</f>
        <v>錸德</v>
      </c>
      <c r="H50" s="632">
        <f ca="1">IFERROR(__xludf.DUMMYFUNCTION("""COMPUTED_VALUE"""),0.000053)</f>
        <v>5.3000000000000001E-5</v>
      </c>
      <c r="I50" s="62"/>
      <c r="J50" s="62"/>
      <c r="K50" s="63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</row>
    <row r="51" spans="1:41" ht="15.5">
      <c r="A51" s="623">
        <f ca="1">IFERROR(__xludf.DUMMYFUNCTION("""COMPUTED_VALUE"""),50)</f>
        <v>50</v>
      </c>
      <c r="B51" s="624">
        <f ca="1">IFERROR(__xludf.DUMMYFUNCTION("""COMPUTED_VALUE"""),3481)</f>
        <v>3481</v>
      </c>
      <c r="C51" s="624" t="str">
        <f ca="1">IFERROR(__xludf.DUMMYFUNCTION("""COMPUTED_VALUE"""),"群創")</f>
        <v>群創</v>
      </c>
      <c r="D51" s="630">
        <f ca="1">IFERROR(__xludf.DUMMYFUNCTION("""COMPUTED_VALUE"""),0.002588)</f>
        <v>2.588E-3</v>
      </c>
      <c r="E51" s="623">
        <f ca="1">IFERROR(__xludf.DUMMYFUNCTION("""COMPUTED_VALUE"""),584)</f>
        <v>584</v>
      </c>
      <c r="F51" s="624">
        <f ca="1">IFERROR(__xludf.DUMMYFUNCTION("""COMPUTED_VALUE"""),1810)</f>
        <v>1810</v>
      </c>
      <c r="G51" s="624" t="str">
        <f ca="1">IFERROR(__xludf.DUMMYFUNCTION("""COMPUTED_VALUE"""),"和成")</f>
        <v>和成</v>
      </c>
      <c r="H51" s="632">
        <f ca="1">IFERROR(__xludf.DUMMYFUNCTION("""COMPUTED_VALUE"""),0.000053)</f>
        <v>5.3000000000000001E-5</v>
      </c>
      <c r="I51" s="62"/>
      <c r="J51" s="62"/>
      <c r="K51" s="63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spans="1:41" ht="15.5">
      <c r="A52" s="623">
        <f ca="1">IFERROR(__xludf.DUMMYFUNCTION("""COMPUTED_VALUE"""),51)</f>
        <v>51</v>
      </c>
      <c r="B52" s="624">
        <f ca="1">IFERROR(__xludf.DUMMYFUNCTION("""COMPUTED_VALUE"""),2379)</f>
        <v>2379</v>
      </c>
      <c r="C52" s="624" t="str">
        <f ca="1">IFERROR(__xludf.DUMMYFUNCTION("""COMPUTED_VALUE"""),"瑞昱")</f>
        <v>瑞昱</v>
      </c>
      <c r="D52" s="630">
        <f ca="1">IFERROR(__xludf.DUMMYFUNCTION("""COMPUTED_VALUE"""),0.002507)</f>
        <v>2.5070000000000001E-3</v>
      </c>
      <c r="E52" s="623">
        <f ca="1">IFERROR(__xludf.DUMMYFUNCTION("""COMPUTED_VALUE"""),585)</f>
        <v>585</v>
      </c>
      <c r="F52" s="624">
        <f ca="1">IFERROR(__xludf.DUMMYFUNCTION("""COMPUTED_VALUE"""),2450)</f>
        <v>2450</v>
      </c>
      <c r="G52" s="624" t="str">
        <f ca="1">IFERROR(__xludf.DUMMYFUNCTION("""COMPUTED_VALUE"""),"神腦")</f>
        <v>神腦</v>
      </c>
      <c r="H52" s="632">
        <f ca="1">IFERROR(__xludf.DUMMYFUNCTION("""COMPUTED_VALUE"""),0.000053)</f>
        <v>5.3000000000000001E-5</v>
      </c>
      <c r="I52" s="62"/>
      <c r="J52" s="62"/>
      <c r="K52" s="63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spans="1:41" ht="15.5">
      <c r="A53" s="623">
        <f ca="1">IFERROR(__xludf.DUMMYFUNCTION("""COMPUTED_VALUE"""),52)</f>
        <v>52</v>
      </c>
      <c r="B53" s="624">
        <f ca="1">IFERROR(__xludf.DUMMYFUNCTION("""COMPUTED_VALUE"""),1301)</f>
        <v>1301</v>
      </c>
      <c r="C53" s="624" t="str">
        <f ca="1">IFERROR(__xludf.DUMMYFUNCTION("""COMPUTED_VALUE"""),"台塑")</f>
        <v>台塑</v>
      </c>
      <c r="D53" s="630">
        <f ca="1">IFERROR(__xludf.DUMMYFUNCTION("""COMPUTED_VALUE"""),0.002493)</f>
        <v>2.493E-3</v>
      </c>
      <c r="E53" s="623">
        <f ca="1">IFERROR(__xludf.DUMMYFUNCTION("""COMPUTED_VALUE"""),586)</f>
        <v>586</v>
      </c>
      <c r="F53" s="624">
        <f ca="1">IFERROR(__xludf.DUMMYFUNCTION("""COMPUTED_VALUE"""),2387)</f>
        <v>2387</v>
      </c>
      <c r="G53" s="624" t="str">
        <f ca="1">IFERROR(__xludf.DUMMYFUNCTION("""COMPUTED_VALUE"""),"精元")</f>
        <v>精元</v>
      </c>
      <c r="H53" s="632">
        <f ca="1">IFERROR(__xludf.DUMMYFUNCTION("""COMPUTED_VALUE"""),0.000052)</f>
        <v>5.1999999999999997E-5</v>
      </c>
      <c r="I53" s="62"/>
      <c r="J53" s="62"/>
      <c r="K53" s="63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spans="1:41" ht="15.5">
      <c r="A54" s="623">
        <f ca="1">IFERROR(__xludf.DUMMYFUNCTION("""COMPUTED_VALUE"""),53)</f>
        <v>53</v>
      </c>
      <c r="B54" s="624">
        <f ca="1">IFERROR(__xludf.DUMMYFUNCTION("""COMPUTED_VALUE"""),1326)</f>
        <v>1326</v>
      </c>
      <c r="C54" s="624" t="str">
        <f ca="1">IFERROR(__xludf.DUMMYFUNCTION("""COMPUTED_VALUE"""),"台化")</f>
        <v>台化</v>
      </c>
      <c r="D54" s="630">
        <f ca="1">IFERROR(__xludf.DUMMYFUNCTION("""COMPUTED_VALUE"""),0.002395)</f>
        <v>2.395E-3</v>
      </c>
      <c r="E54" s="623">
        <f ca="1">IFERROR(__xludf.DUMMYFUNCTION("""COMPUTED_VALUE"""),587)</f>
        <v>587</v>
      </c>
      <c r="F54" s="624">
        <f ca="1">IFERROR(__xludf.DUMMYFUNCTION("""COMPUTED_VALUE"""),1618)</f>
        <v>1618</v>
      </c>
      <c r="G54" s="624" t="str">
        <f ca="1">IFERROR(__xludf.DUMMYFUNCTION("""COMPUTED_VALUE"""),"合機")</f>
        <v>合機</v>
      </c>
      <c r="H54" s="632">
        <f ca="1">IFERROR(__xludf.DUMMYFUNCTION("""COMPUTED_VALUE"""),0.000052)</f>
        <v>5.1999999999999997E-5</v>
      </c>
      <c r="I54" s="62"/>
      <c r="J54" s="62"/>
      <c r="K54" s="63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spans="1:41" ht="15.5">
      <c r="A55" s="623">
        <f ca="1">IFERROR(__xludf.DUMMYFUNCTION("""COMPUTED_VALUE"""),54)</f>
        <v>54</v>
      </c>
      <c r="B55" s="624">
        <f ca="1">IFERROR(__xludf.DUMMYFUNCTION("""COMPUTED_VALUE"""),3189)</f>
        <v>3189</v>
      </c>
      <c r="C55" s="624" t="str">
        <f ca="1">IFERROR(__xludf.DUMMYFUNCTION("""COMPUTED_VALUE"""),"景碩")</f>
        <v>景碩</v>
      </c>
      <c r="D55" s="630">
        <f ca="1">IFERROR(__xludf.DUMMYFUNCTION("""COMPUTED_VALUE"""),0.002382)</f>
        <v>2.382E-3</v>
      </c>
      <c r="E55" s="623">
        <f ca="1">IFERROR(__xludf.DUMMYFUNCTION("""COMPUTED_VALUE"""),588)</f>
        <v>588</v>
      </c>
      <c r="F55" s="624">
        <f ca="1">IFERROR(__xludf.DUMMYFUNCTION("""COMPUTED_VALUE"""),8215)</f>
        <v>8215</v>
      </c>
      <c r="G55" s="624" t="str">
        <f ca="1">IFERROR(__xludf.DUMMYFUNCTION("""COMPUTED_VALUE"""),"明基材")</f>
        <v>明基材</v>
      </c>
      <c r="H55" s="632">
        <f ca="1">IFERROR(__xludf.DUMMYFUNCTION("""COMPUTED_VALUE"""),0.000052)</f>
        <v>5.1999999999999997E-5</v>
      </c>
      <c r="I55" s="62"/>
      <c r="J55" s="62"/>
      <c r="K55" s="63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</row>
    <row r="56" spans="1:41" ht="15.5">
      <c r="A56" s="623">
        <f ca="1">IFERROR(__xludf.DUMMYFUNCTION("""COMPUTED_VALUE"""),55)</f>
        <v>55</v>
      </c>
      <c r="B56" s="624">
        <f ca="1">IFERROR(__xludf.DUMMYFUNCTION("""COMPUTED_VALUE"""),3034)</f>
        <v>3034</v>
      </c>
      <c r="C56" s="624" t="str">
        <f ca="1">IFERROR(__xludf.DUMMYFUNCTION("""COMPUTED_VALUE"""),"聯詠")</f>
        <v>聯詠</v>
      </c>
      <c r="D56" s="630">
        <f ca="1">IFERROR(__xludf.DUMMYFUNCTION("""COMPUTED_VALUE"""),0.002249)</f>
        <v>2.2490000000000001E-3</v>
      </c>
      <c r="E56" s="623">
        <f ca="1">IFERROR(__xludf.DUMMYFUNCTION("""COMPUTED_VALUE"""),589)</f>
        <v>589</v>
      </c>
      <c r="F56" s="624">
        <f ca="1">IFERROR(__xludf.DUMMYFUNCTION("""COMPUTED_VALUE"""),5525)</f>
        <v>5525</v>
      </c>
      <c r="G56" s="624" t="str">
        <f ca="1">IFERROR(__xludf.DUMMYFUNCTION("""COMPUTED_VALUE"""),"順天")</f>
        <v>順天</v>
      </c>
      <c r="H56" s="632">
        <f ca="1">IFERROR(__xludf.DUMMYFUNCTION("""COMPUTED_VALUE"""),0.000052)</f>
        <v>5.1999999999999997E-5</v>
      </c>
      <c r="I56" s="62"/>
      <c r="J56" s="62"/>
      <c r="K56" s="63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spans="1:41" ht="15.5">
      <c r="A57" s="623">
        <f ca="1">IFERROR(__xludf.DUMMYFUNCTION("""COMPUTED_VALUE"""),56)</f>
        <v>56</v>
      </c>
      <c r="B57" s="624">
        <f ca="1">IFERROR(__xludf.DUMMYFUNCTION("""COMPUTED_VALUE"""),2207)</f>
        <v>2207</v>
      </c>
      <c r="C57" s="624" t="str">
        <f ca="1">IFERROR(__xludf.DUMMYFUNCTION("""COMPUTED_VALUE"""),"和泰車")</f>
        <v>和泰車</v>
      </c>
      <c r="D57" s="630">
        <f ca="1">IFERROR(__xludf.DUMMYFUNCTION("""COMPUTED_VALUE"""),0.002213)</f>
        <v>2.2130000000000001E-3</v>
      </c>
      <c r="E57" s="623">
        <f ca="1">IFERROR(__xludf.DUMMYFUNCTION("""COMPUTED_VALUE"""),590)</f>
        <v>590</v>
      </c>
      <c r="F57" s="624">
        <f ca="1">IFERROR(__xludf.DUMMYFUNCTION("""COMPUTED_VALUE"""),5285)</f>
        <v>5285</v>
      </c>
      <c r="G57" s="624" t="str">
        <f ca="1">IFERROR(__xludf.DUMMYFUNCTION("""COMPUTED_VALUE"""),"界霖")</f>
        <v>界霖</v>
      </c>
      <c r="H57" s="632">
        <f ca="1">IFERROR(__xludf.DUMMYFUNCTION("""COMPUTED_VALUE"""),0.000052)</f>
        <v>5.1999999999999997E-5</v>
      </c>
      <c r="I57" s="62"/>
      <c r="J57" s="62"/>
      <c r="K57" s="63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spans="1:41" ht="15.5">
      <c r="A58" s="623">
        <f ca="1">IFERROR(__xludf.DUMMYFUNCTION("""COMPUTED_VALUE"""),57)</f>
        <v>57</v>
      </c>
      <c r="B58" s="624">
        <f ca="1">IFERROR(__xludf.DUMMYFUNCTION("""COMPUTED_VALUE"""),2002)</f>
        <v>2002</v>
      </c>
      <c r="C58" s="624" t="str">
        <f ca="1">IFERROR(__xludf.DUMMYFUNCTION("""COMPUTED_VALUE"""),"中鋼")</f>
        <v>中鋼</v>
      </c>
      <c r="D58" s="630">
        <f ca="1">IFERROR(__xludf.DUMMYFUNCTION("""COMPUTED_VALUE"""),0.002123)</f>
        <v>2.1229999999999999E-3</v>
      </c>
      <c r="E58" s="623">
        <f ca="1">IFERROR(__xludf.DUMMYFUNCTION("""COMPUTED_VALUE"""),591)</f>
        <v>591</v>
      </c>
      <c r="F58" s="624">
        <f ca="1">IFERROR(__xludf.DUMMYFUNCTION("""COMPUTED_VALUE"""),6235)</f>
        <v>6235</v>
      </c>
      <c r="G58" s="624" t="str">
        <f ca="1">IFERROR(__xludf.DUMMYFUNCTION("""COMPUTED_VALUE"""),"華孚")</f>
        <v>華孚</v>
      </c>
      <c r="H58" s="632">
        <f ca="1">IFERROR(__xludf.DUMMYFUNCTION("""COMPUTED_VALUE"""),0.000052)</f>
        <v>5.1999999999999997E-5</v>
      </c>
      <c r="I58" s="62"/>
      <c r="J58" s="62"/>
      <c r="K58" s="63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spans="1:41" ht="15.5">
      <c r="A59" s="623">
        <f ca="1">IFERROR(__xludf.DUMMYFUNCTION("""COMPUTED_VALUE"""),58)</f>
        <v>58</v>
      </c>
      <c r="B59" s="624">
        <f ca="1">IFERROR(__xludf.DUMMYFUNCTION("""COMPUTED_VALUE"""),2801)</f>
        <v>2801</v>
      </c>
      <c r="C59" s="624" t="str">
        <f ca="1">IFERROR(__xludf.DUMMYFUNCTION("""COMPUTED_VALUE"""),"彰銀")</f>
        <v>彰銀</v>
      </c>
      <c r="D59" s="630">
        <f ca="1">IFERROR(__xludf.DUMMYFUNCTION("""COMPUTED_VALUE"""),0.002111)</f>
        <v>2.111E-3</v>
      </c>
      <c r="E59" s="623">
        <f ca="1">IFERROR(__xludf.DUMMYFUNCTION("""COMPUTED_VALUE"""),592)</f>
        <v>592</v>
      </c>
      <c r="F59" s="624">
        <f ca="1">IFERROR(__xludf.DUMMYFUNCTION("""COMPUTED_VALUE"""),4566)</f>
        <v>4566</v>
      </c>
      <c r="G59" s="624" t="str">
        <f ca="1">IFERROR(__xludf.DUMMYFUNCTION("""COMPUTED_VALUE"""),"時碩工業")</f>
        <v>時碩工業</v>
      </c>
      <c r="H59" s="632">
        <f ca="1">IFERROR(__xludf.DUMMYFUNCTION("""COMPUTED_VALUE"""),0.000052)</f>
        <v>5.1999999999999997E-5</v>
      </c>
      <c r="I59" s="62"/>
      <c r="J59" s="62"/>
      <c r="K59" s="63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spans="1:41" ht="15.5">
      <c r="A60" s="623">
        <f ca="1">IFERROR(__xludf.DUMMYFUNCTION("""COMPUTED_VALUE"""),59)</f>
        <v>59</v>
      </c>
      <c r="B60" s="624">
        <f ca="1">IFERROR(__xludf.DUMMYFUNCTION("""COMPUTED_VALUE"""),2449)</f>
        <v>2449</v>
      </c>
      <c r="C60" s="624" t="str">
        <f ca="1">IFERROR(__xludf.DUMMYFUNCTION("""COMPUTED_VALUE"""),"京元電子")</f>
        <v>京元電子</v>
      </c>
      <c r="D60" s="630">
        <f ca="1">IFERROR(__xludf.DUMMYFUNCTION("""COMPUTED_VALUE"""),0.002043)</f>
        <v>2.0430000000000001E-3</v>
      </c>
      <c r="E60" s="623">
        <f ca="1">IFERROR(__xludf.DUMMYFUNCTION("""COMPUTED_VALUE"""),593)</f>
        <v>593</v>
      </c>
      <c r="F60" s="624">
        <f ca="1">IFERROR(__xludf.DUMMYFUNCTION("""COMPUTED_VALUE"""),4142)</f>
        <v>4142</v>
      </c>
      <c r="G60" s="624" t="str">
        <f ca="1">IFERROR(__xludf.DUMMYFUNCTION("""COMPUTED_VALUE"""),"國光生")</f>
        <v>國光生</v>
      </c>
      <c r="H60" s="632">
        <f ca="1">IFERROR(__xludf.DUMMYFUNCTION("""COMPUTED_VALUE"""),0.000051)</f>
        <v>5.1E-5</v>
      </c>
      <c r="I60" s="62"/>
      <c r="J60" s="62"/>
      <c r="K60" s="63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spans="1:41" ht="15.5">
      <c r="A61" s="623">
        <f ca="1">IFERROR(__xludf.DUMMYFUNCTION("""COMPUTED_VALUE"""),60)</f>
        <v>60</v>
      </c>
      <c r="B61" s="624">
        <f ca="1">IFERROR(__xludf.DUMMYFUNCTION("""COMPUTED_VALUE"""),1590)</f>
        <v>1590</v>
      </c>
      <c r="C61" s="624" t="str">
        <f ca="1">IFERROR(__xludf.DUMMYFUNCTION("""COMPUTED_VALUE"""),"亞德客-KY")</f>
        <v>亞德客-KY</v>
      </c>
      <c r="D61" s="630">
        <f ca="1">IFERROR(__xludf.DUMMYFUNCTION("""COMPUTED_VALUE"""),0.001887)</f>
        <v>1.887E-3</v>
      </c>
      <c r="E61" s="623">
        <f ca="1">IFERROR(__xludf.DUMMYFUNCTION("""COMPUTED_VALUE"""),594)</f>
        <v>594</v>
      </c>
      <c r="F61" s="624">
        <f ca="1">IFERROR(__xludf.DUMMYFUNCTION("""COMPUTED_VALUE"""),6215)</f>
        <v>6215</v>
      </c>
      <c r="G61" s="624" t="str">
        <f ca="1">IFERROR(__xludf.DUMMYFUNCTION("""COMPUTED_VALUE"""),"和椿")</f>
        <v>和椿</v>
      </c>
      <c r="H61" s="632">
        <f ca="1">IFERROR(__xludf.DUMMYFUNCTION("""COMPUTED_VALUE"""),0.000051)</f>
        <v>5.1E-5</v>
      </c>
      <c r="I61" s="62"/>
      <c r="J61" s="62"/>
      <c r="K61" s="63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  <row r="62" spans="1:41" ht="15.5">
      <c r="A62" s="623">
        <f ca="1">IFERROR(__xludf.DUMMYFUNCTION("""COMPUTED_VALUE"""),61)</f>
        <v>61</v>
      </c>
      <c r="B62" s="624">
        <f ca="1">IFERROR(__xludf.DUMMYFUNCTION("""COMPUTED_VALUE"""),3661)</f>
        <v>3661</v>
      </c>
      <c r="C62" s="624" t="str">
        <f ca="1">IFERROR(__xludf.DUMMYFUNCTION("""COMPUTED_VALUE"""),"世芯-KY")</f>
        <v>世芯-KY</v>
      </c>
      <c r="D62" s="630">
        <f ca="1">IFERROR(__xludf.DUMMYFUNCTION("""COMPUTED_VALUE"""),0.001816)</f>
        <v>1.8159999999999999E-3</v>
      </c>
      <c r="E62" s="623">
        <f ca="1">IFERROR(__xludf.DUMMYFUNCTION("""COMPUTED_VALUE"""),595)</f>
        <v>595</v>
      </c>
      <c r="F62" s="624">
        <f ca="1">IFERROR(__xludf.DUMMYFUNCTION("""COMPUTED_VALUE"""),5292)</f>
        <v>5292</v>
      </c>
      <c r="G62" s="624" t="str">
        <f ca="1">IFERROR(__xludf.DUMMYFUNCTION("""COMPUTED_VALUE"""),"華懋")</f>
        <v>華懋</v>
      </c>
      <c r="H62" s="632">
        <f ca="1">IFERROR(__xludf.DUMMYFUNCTION("""COMPUTED_VALUE"""),0.000051)</f>
        <v>5.1E-5</v>
      </c>
      <c r="I62" s="62"/>
      <c r="J62" s="62"/>
      <c r="K62" s="63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</row>
    <row r="63" spans="1:41" ht="15.5">
      <c r="A63" s="623">
        <f ca="1">IFERROR(__xludf.DUMMYFUNCTION("""COMPUTED_VALUE"""),62)</f>
        <v>62</v>
      </c>
      <c r="B63" s="624">
        <f ca="1">IFERROR(__xludf.DUMMYFUNCTION("""COMPUTED_VALUE"""),6770)</f>
        <v>6770</v>
      </c>
      <c r="C63" s="624" t="str">
        <f ca="1">IFERROR(__xludf.DUMMYFUNCTION("""COMPUTED_VALUE"""),"力積電")</f>
        <v>力積電</v>
      </c>
      <c r="D63" s="630">
        <f ca="1">IFERROR(__xludf.DUMMYFUNCTION("""COMPUTED_VALUE"""),0.00181)</f>
        <v>1.81E-3</v>
      </c>
      <c r="E63" s="623">
        <f ca="1">IFERROR(__xludf.DUMMYFUNCTION("""COMPUTED_VALUE"""),596)</f>
        <v>596</v>
      </c>
      <c r="F63" s="624">
        <f ca="1">IFERROR(__xludf.DUMMYFUNCTION("""COMPUTED_VALUE"""),8105)</f>
        <v>8105</v>
      </c>
      <c r="G63" s="624" t="str">
        <f ca="1">IFERROR(__xludf.DUMMYFUNCTION("""COMPUTED_VALUE"""),"凌巨")</f>
        <v>凌巨</v>
      </c>
      <c r="H63" s="632">
        <f ca="1">IFERROR(__xludf.DUMMYFUNCTION("""COMPUTED_VALUE"""),0.00005)</f>
        <v>5.0000000000000002E-5</v>
      </c>
      <c r="I63" s="62"/>
      <c r="J63" s="62"/>
      <c r="K63" s="63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</row>
    <row r="64" spans="1:41" ht="15.5">
      <c r="A64" s="623">
        <f ca="1">IFERROR(__xludf.DUMMYFUNCTION("""COMPUTED_VALUE"""),63)</f>
        <v>63</v>
      </c>
      <c r="B64" s="624">
        <f ca="1">IFERROR(__xludf.DUMMYFUNCTION("""COMPUTED_VALUE"""),3036)</f>
        <v>3036</v>
      </c>
      <c r="C64" s="624" t="str">
        <f ca="1">IFERROR(__xludf.DUMMYFUNCTION("""COMPUTED_VALUE"""),"文曄")</f>
        <v>文曄</v>
      </c>
      <c r="D64" s="630">
        <f ca="1">IFERROR(__xludf.DUMMYFUNCTION("""COMPUTED_VALUE"""),0.001776)</f>
        <v>1.776E-3</v>
      </c>
      <c r="E64" s="623">
        <f ca="1">IFERROR(__xludf.DUMMYFUNCTION("""COMPUTED_VALUE"""),597)</f>
        <v>597</v>
      </c>
      <c r="F64" s="624">
        <f ca="1">IFERROR(__xludf.DUMMYFUNCTION("""COMPUTED_VALUE"""),6834)</f>
        <v>6834</v>
      </c>
      <c r="G64" s="624" t="str">
        <f ca="1">IFERROR(__xludf.DUMMYFUNCTION("""COMPUTED_VALUE"""),"天二科技")</f>
        <v>天二科技</v>
      </c>
      <c r="H64" s="632">
        <f ca="1">IFERROR(__xludf.DUMMYFUNCTION("""COMPUTED_VALUE"""),0.00005)</f>
        <v>5.0000000000000002E-5</v>
      </c>
      <c r="I64" s="62"/>
      <c r="J64" s="62"/>
      <c r="K64" s="63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</row>
    <row r="65" spans="1:41" ht="15.5">
      <c r="A65" s="623">
        <f ca="1">IFERROR(__xludf.DUMMYFUNCTION("""COMPUTED_VALUE"""),64)</f>
        <v>64</v>
      </c>
      <c r="B65" s="624">
        <f ca="1">IFERROR(__xludf.DUMMYFUNCTION("""COMPUTED_VALUE"""),2615)</f>
        <v>2615</v>
      </c>
      <c r="C65" s="624" t="str">
        <f ca="1">IFERROR(__xludf.DUMMYFUNCTION("""COMPUTED_VALUE"""),"萬海")</f>
        <v>萬海</v>
      </c>
      <c r="D65" s="630">
        <f ca="1">IFERROR(__xludf.DUMMYFUNCTION("""COMPUTED_VALUE"""),0.001692)</f>
        <v>1.6919999999999999E-3</v>
      </c>
      <c r="E65" s="623">
        <f ca="1">IFERROR(__xludf.DUMMYFUNCTION("""COMPUTED_VALUE"""),598)</f>
        <v>598</v>
      </c>
      <c r="F65" s="624">
        <f ca="1">IFERROR(__xludf.DUMMYFUNCTION("""COMPUTED_VALUE"""),6923)</f>
        <v>6923</v>
      </c>
      <c r="G65" s="624" t="str">
        <f ca="1">IFERROR(__xludf.DUMMYFUNCTION("""COMPUTED_VALUE"""),"中台")</f>
        <v>中台</v>
      </c>
      <c r="H65" s="632">
        <f ca="1">IFERROR(__xludf.DUMMYFUNCTION("""COMPUTED_VALUE"""),0.00005)</f>
        <v>5.0000000000000002E-5</v>
      </c>
      <c r="I65" s="62"/>
      <c r="J65" s="62"/>
      <c r="K65" s="63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</row>
    <row r="66" spans="1:41" ht="15.5">
      <c r="A66" s="623">
        <f ca="1">IFERROR(__xludf.DUMMYFUNCTION("""COMPUTED_VALUE"""),65)</f>
        <v>65</v>
      </c>
      <c r="B66" s="624">
        <f ca="1">IFERROR(__xludf.DUMMYFUNCTION("""COMPUTED_VALUE"""),2618)</f>
        <v>2618</v>
      </c>
      <c r="C66" s="624" t="str">
        <f ca="1">IFERROR(__xludf.DUMMYFUNCTION("""COMPUTED_VALUE"""),"長榮航")</f>
        <v>長榮航</v>
      </c>
      <c r="D66" s="630">
        <f ca="1">IFERROR(__xludf.DUMMYFUNCTION("""COMPUTED_VALUE"""),0.001665)</f>
        <v>1.665E-3</v>
      </c>
      <c r="E66" s="623">
        <f ca="1">IFERROR(__xludf.DUMMYFUNCTION("""COMPUTED_VALUE"""),599)</f>
        <v>599</v>
      </c>
      <c r="F66" s="624">
        <f ca="1">IFERROR(__xludf.DUMMYFUNCTION("""COMPUTED_VALUE"""),1713)</f>
        <v>1713</v>
      </c>
      <c r="G66" s="624" t="str">
        <f ca="1">IFERROR(__xludf.DUMMYFUNCTION("""COMPUTED_VALUE"""),"國化")</f>
        <v>國化</v>
      </c>
      <c r="H66" s="632">
        <f ca="1">IFERROR(__xludf.DUMMYFUNCTION("""COMPUTED_VALUE"""),0.00005)</f>
        <v>5.0000000000000002E-5</v>
      </c>
      <c r="I66" s="62"/>
      <c r="J66" s="62"/>
      <c r="K66" s="63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</row>
    <row r="67" spans="1:41" ht="15.5">
      <c r="A67" s="623">
        <f ca="1">IFERROR(__xludf.DUMMYFUNCTION("""COMPUTED_VALUE"""),66)</f>
        <v>66</v>
      </c>
      <c r="B67" s="624">
        <f ca="1">IFERROR(__xludf.DUMMYFUNCTION("""COMPUTED_VALUE"""),2912)</f>
        <v>2912</v>
      </c>
      <c r="C67" s="624" t="str">
        <f ca="1">IFERROR(__xludf.DUMMYFUNCTION("""COMPUTED_VALUE"""),"統一超")</f>
        <v>統一超</v>
      </c>
      <c r="D67" s="630">
        <f ca="1">IFERROR(__xludf.DUMMYFUNCTION("""COMPUTED_VALUE"""),0.001658)</f>
        <v>1.658E-3</v>
      </c>
      <c r="E67" s="623">
        <f ca="1">IFERROR(__xludf.DUMMYFUNCTION("""COMPUTED_VALUE"""),600)</f>
        <v>600</v>
      </c>
      <c r="F67" s="624">
        <f ca="1">IFERROR(__xludf.DUMMYFUNCTION("""COMPUTED_VALUE"""),1235)</f>
        <v>1235</v>
      </c>
      <c r="G67" s="624" t="str">
        <f ca="1">IFERROR(__xludf.DUMMYFUNCTION("""COMPUTED_VALUE"""),"興泰")</f>
        <v>興泰</v>
      </c>
      <c r="H67" s="632">
        <f ca="1">IFERROR(__xludf.DUMMYFUNCTION("""COMPUTED_VALUE"""),0.00005)</f>
        <v>5.0000000000000002E-5</v>
      </c>
      <c r="I67" s="62"/>
      <c r="J67" s="62"/>
      <c r="K67" s="63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</row>
    <row r="68" spans="1:41" ht="15.5">
      <c r="A68" s="623">
        <f ca="1">IFERROR(__xludf.DUMMYFUNCTION("""COMPUTED_VALUE"""),67)</f>
        <v>67</v>
      </c>
      <c r="B68" s="624">
        <f ca="1">IFERROR(__xludf.DUMMYFUNCTION("""COMPUTED_VALUE"""),4938)</f>
        <v>4938</v>
      </c>
      <c r="C68" s="624" t="str">
        <f ca="1">IFERROR(__xludf.DUMMYFUNCTION("""COMPUTED_VALUE"""),"和碩")</f>
        <v>和碩</v>
      </c>
      <c r="D68" s="630">
        <f ca="1">IFERROR(__xludf.DUMMYFUNCTION("""COMPUTED_VALUE"""),0.001612)</f>
        <v>1.6119999999999999E-3</v>
      </c>
      <c r="E68" s="623">
        <f ca="1">IFERROR(__xludf.DUMMYFUNCTION("""COMPUTED_VALUE"""),601)</f>
        <v>601</v>
      </c>
      <c r="F68" s="624">
        <f ca="1">IFERROR(__xludf.DUMMYFUNCTION("""COMPUTED_VALUE"""),1444)</f>
        <v>1444</v>
      </c>
      <c r="G68" s="624" t="str">
        <f ca="1">IFERROR(__xludf.DUMMYFUNCTION("""COMPUTED_VALUE"""),"力麗")</f>
        <v>力麗</v>
      </c>
      <c r="H68" s="632">
        <f ca="1">IFERROR(__xludf.DUMMYFUNCTION("""COMPUTED_VALUE"""),0.00005)</f>
        <v>5.0000000000000002E-5</v>
      </c>
      <c r="I68" s="62"/>
      <c r="J68" s="62"/>
      <c r="K68" s="63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</row>
    <row r="69" spans="1:41" ht="15.5">
      <c r="A69" s="623">
        <f ca="1">IFERROR(__xludf.DUMMYFUNCTION("""COMPUTED_VALUE"""),68)</f>
        <v>68</v>
      </c>
      <c r="B69" s="624">
        <f ca="1">IFERROR(__xludf.DUMMYFUNCTION("""COMPUTED_VALUE"""),2376)</f>
        <v>2376</v>
      </c>
      <c r="C69" s="624" t="str">
        <f ca="1">IFERROR(__xludf.DUMMYFUNCTION("""COMPUTED_VALUE"""),"技嘉")</f>
        <v>技嘉</v>
      </c>
      <c r="D69" s="630">
        <f ca="1">IFERROR(__xludf.DUMMYFUNCTION("""COMPUTED_VALUE"""),0.001605)</f>
        <v>1.6050000000000001E-3</v>
      </c>
      <c r="E69" s="623">
        <f ca="1">IFERROR(__xludf.DUMMYFUNCTION("""COMPUTED_VALUE"""),602)</f>
        <v>602</v>
      </c>
      <c r="F69" s="624">
        <f ca="1">IFERROR(__xludf.DUMMYFUNCTION("""COMPUTED_VALUE"""),1436)</f>
        <v>1436</v>
      </c>
      <c r="G69" s="624" t="str">
        <f ca="1">IFERROR(__xludf.DUMMYFUNCTION("""COMPUTED_VALUE"""),"華友聯")</f>
        <v>華友聯</v>
      </c>
      <c r="H69" s="632">
        <f ca="1">IFERROR(__xludf.DUMMYFUNCTION("""COMPUTED_VALUE"""),0.00005)</f>
        <v>5.0000000000000002E-5</v>
      </c>
      <c r="I69" s="62"/>
      <c r="J69" s="62"/>
      <c r="K69" s="63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</row>
    <row r="70" spans="1:41" ht="15.5">
      <c r="A70" s="623">
        <f ca="1">IFERROR(__xludf.DUMMYFUNCTION("""COMPUTED_VALUE"""),69)</f>
        <v>69</v>
      </c>
      <c r="B70" s="624">
        <f ca="1">IFERROR(__xludf.DUMMYFUNCTION("""COMPUTED_VALUE"""),5876)</f>
        <v>5876</v>
      </c>
      <c r="C70" s="624" t="str">
        <f ca="1">IFERROR(__xludf.DUMMYFUNCTION("""COMPUTED_VALUE"""),"上海商銀")</f>
        <v>上海商銀</v>
      </c>
      <c r="D70" s="630">
        <f ca="1">IFERROR(__xludf.DUMMYFUNCTION("""COMPUTED_VALUE"""),0.001589)</f>
        <v>1.5889999999999999E-3</v>
      </c>
      <c r="E70" s="623">
        <f ca="1">IFERROR(__xludf.DUMMYFUNCTION("""COMPUTED_VALUE"""),603)</f>
        <v>603</v>
      </c>
      <c r="F70" s="624">
        <f ca="1">IFERROR(__xludf.DUMMYFUNCTION("""COMPUTED_VALUE"""),2114)</f>
        <v>2114</v>
      </c>
      <c r="G70" s="624" t="str">
        <f ca="1">IFERROR(__xludf.DUMMYFUNCTION("""COMPUTED_VALUE"""),"鑫永銓")</f>
        <v>鑫永銓</v>
      </c>
      <c r="H70" s="632">
        <f ca="1">IFERROR(__xludf.DUMMYFUNCTION("""COMPUTED_VALUE"""),0.000049)</f>
        <v>4.8999999999999998E-5</v>
      </c>
      <c r="I70" s="62"/>
      <c r="J70" s="62"/>
      <c r="K70" s="63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</row>
    <row r="71" spans="1:41" ht="15.5">
      <c r="A71" s="623">
        <f ca="1">IFERROR(__xludf.DUMMYFUNCTION("""COMPUTED_VALUE"""),70)</f>
        <v>70</v>
      </c>
      <c r="B71" s="624">
        <f ca="1">IFERROR(__xludf.DUMMYFUNCTION("""COMPUTED_VALUE"""),1519)</f>
        <v>1519</v>
      </c>
      <c r="C71" s="624" t="str">
        <f ca="1">IFERROR(__xludf.DUMMYFUNCTION("""COMPUTED_VALUE"""),"華城")</f>
        <v>華城</v>
      </c>
      <c r="D71" s="630">
        <f ca="1">IFERROR(__xludf.DUMMYFUNCTION("""COMPUTED_VALUE"""),0.001586)</f>
        <v>1.586E-3</v>
      </c>
      <c r="E71" s="623">
        <f ca="1">IFERROR(__xludf.DUMMYFUNCTION("""COMPUTED_VALUE"""),604)</f>
        <v>604</v>
      </c>
      <c r="F71" s="624">
        <f ca="1">IFERROR(__xludf.DUMMYFUNCTION("""COMPUTED_VALUE"""),2505)</f>
        <v>2505</v>
      </c>
      <c r="G71" s="624" t="str">
        <f ca="1">IFERROR(__xludf.DUMMYFUNCTION("""COMPUTED_VALUE"""),"國揚")</f>
        <v>國揚</v>
      </c>
      <c r="H71" s="632">
        <f ca="1">IFERROR(__xludf.DUMMYFUNCTION("""COMPUTED_VALUE"""),0.000049)</f>
        <v>4.8999999999999998E-5</v>
      </c>
      <c r="I71" s="62"/>
      <c r="J71" s="62"/>
      <c r="K71" s="63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</row>
    <row r="72" spans="1:41" ht="15.5">
      <c r="A72" s="623">
        <f ca="1">IFERROR(__xludf.DUMMYFUNCTION("""COMPUTED_VALUE"""),71)</f>
        <v>71</v>
      </c>
      <c r="B72" s="624">
        <f ca="1">IFERROR(__xludf.DUMMYFUNCTION("""COMPUTED_VALUE"""),2356)</f>
        <v>2356</v>
      </c>
      <c r="C72" s="624" t="str">
        <f ca="1">IFERROR(__xludf.DUMMYFUNCTION("""COMPUTED_VALUE"""),"英業達")</f>
        <v>英業達</v>
      </c>
      <c r="D72" s="630">
        <f ca="1">IFERROR(__xludf.DUMMYFUNCTION("""COMPUTED_VALUE"""),0.001579)</f>
        <v>1.5790000000000001E-3</v>
      </c>
      <c r="E72" s="623">
        <f ca="1">IFERROR(__xludf.DUMMYFUNCTION("""COMPUTED_VALUE"""),605)</f>
        <v>605</v>
      </c>
      <c r="F72" s="624">
        <f ca="1">IFERROR(__xludf.DUMMYFUNCTION("""COMPUTED_VALUE"""),2465)</f>
        <v>2465</v>
      </c>
      <c r="G72" s="624" t="str">
        <f ca="1">IFERROR(__xludf.DUMMYFUNCTION("""COMPUTED_VALUE"""),"麗臺")</f>
        <v>麗臺</v>
      </c>
      <c r="H72" s="632">
        <f ca="1">IFERROR(__xludf.DUMMYFUNCTION("""COMPUTED_VALUE"""),0.000049)</f>
        <v>4.8999999999999998E-5</v>
      </c>
      <c r="I72" s="62"/>
      <c r="J72" s="62"/>
      <c r="K72" s="63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</row>
    <row r="73" spans="1:41" ht="15.5">
      <c r="A73" s="623">
        <f ca="1">IFERROR(__xludf.DUMMYFUNCTION("""COMPUTED_VALUE"""),72)</f>
        <v>72</v>
      </c>
      <c r="B73" s="624">
        <f ca="1">IFERROR(__xludf.DUMMYFUNCTION("""COMPUTED_VALUE"""),2404)</f>
        <v>2404</v>
      </c>
      <c r="C73" s="624" t="str">
        <f ca="1">IFERROR(__xludf.DUMMYFUNCTION("""COMPUTED_VALUE"""),"漢唐")</f>
        <v>漢唐</v>
      </c>
      <c r="D73" s="630">
        <f ca="1">IFERROR(__xludf.DUMMYFUNCTION("""COMPUTED_VALUE"""),0.001493)</f>
        <v>1.493E-3</v>
      </c>
      <c r="E73" s="623">
        <f ca="1">IFERROR(__xludf.DUMMYFUNCTION("""COMPUTED_VALUE"""),606)</f>
        <v>606</v>
      </c>
      <c r="F73" s="624">
        <f ca="1">IFERROR(__xludf.DUMMYFUNCTION("""COMPUTED_VALUE"""),8404)</f>
        <v>8404</v>
      </c>
      <c r="G73" s="624" t="str">
        <f ca="1">IFERROR(__xludf.DUMMYFUNCTION("""COMPUTED_VALUE"""),"百和興業-KY")</f>
        <v>百和興業-KY</v>
      </c>
      <c r="H73" s="632">
        <f ca="1">IFERROR(__xludf.DUMMYFUNCTION("""COMPUTED_VALUE"""),0.000049)</f>
        <v>4.8999999999999998E-5</v>
      </c>
      <c r="I73" s="62"/>
      <c r="J73" s="62"/>
      <c r="K73" s="63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</row>
    <row r="74" spans="1:41" ht="15.5">
      <c r="A74" s="623">
        <f ca="1">IFERROR(__xludf.DUMMYFUNCTION("""COMPUTED_VALUE"""),73)</f>
        <v>73</v>
      </c>
      <c r="B74" s="624">
        <f ca="1">IFERROR(__xludf.DUMMYFUNCTION("""COMPUTED_VALUE"""),6515)</f>
        <v>6515</v>
      </c>
      <c r="C74" s="624" t="str">
        <f ca="1">IFERROR(__xludf.DUMMYFUNCTION("""COMPUTED_VALUE"""),"穎崴")</f>
        <v>穎崴</v>
      </c>
      <c r="D74" s="630">
        <f ca="1">IFERROR(__xludf.DUMMYFUNCTION("""COMPUTED_VALUE"""),0.001492)</f>
        <v>1.4920000000000001E-3</v>
      </c>
      <c r="E74" s="623">
        <f ca="1">IFERROR(__xludf.DUMMYFUNCTION("""COMPUTED_VALUE"""),607)</f>
        <v>607</v>
      </c>
      <c r="F74" s="624">
        <f ca="1">IFERROR(__xludf.DUMMYFUNCTION("""COMPUTED_VALUE"""),5538)</f>
        <v>5538</v>
      </c>
      <c r="G74" s="624" t="str">
        <f ca="1">IFERROR(__xludf.DUMMYFUNCTION("""COMPUTED_VALUE"""),"東明-KY")</f>
        <v>東明-KY</v>
      </c>
      <c r="H74" s="632">
        <f ca="1">IFERROR(__xludf.DUMMYFUNCTION("""COMPUTED_VALUE"""),0.000049)</f>
        <v>4.8999999999999998E-5</v>
      </c>
      <c r="I74" s="62"/>
      <c r="J74" s="62"/>
      <c r="K74" s="63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</row>
    <row r="75" spans="1:41" ht="15.5">
      <c r="A75" s="623">
        <f ca="1">IFERROR(__xludf.DUMMYFUNCTION("""COMPUTED_VALUE"""),74)</f>
        <v>74</v>
      </c>
      <c r="B75" s="624">
        <f ca="1">IFERROR(__xludf.DUMMYFUNCTION("""COMPUTED_VALUE"""),3533)</f>
        <v>3533</v>
      </c>
      <c r="C75" s="624" t="str">
        <f ca="1">IFERROR(__xludf.DUMMYFUNCTION("""COMPUTED_VALUE"""),"嘉澤")</f>
        <v>嘉澤</v>
      </c>
      <c r="D75" s="630">
        <f ca="1">IFERROR(__xludf.DUMMYFUNCTION("""COMPUTED_VALUE"""),0.001486)</f>
        <v>1.4859999999999999E-3</v>
      </c>
      <c r="E75" s="623">
        <f ca="1">IFERROR(__xludf.DUMMYFUNCTION("""COMPUTED_VALUE"""),608)</f>
        <v>608</v>
      </c>
      <c r="F75" s="624">
        <f ca="1">IFERROR(__xludf.DUMMYFUNCTION("""COMPUTED_VALUE"""),4438)</f>
        <v>4438</v>
      </c>
      <c r="G75" s="624" t="str">
        <f ca="1">IFERROR(__xludf.DUMMYFUNCTION("""COMPUTED_VALUE"""),"廣越")</f>
        <v>廣越</v>
      </c>
      <c r="H75" s="632">
        <f ca="1">IFERROR(__xludf.DUMMYFUNCTION("""COMPUTED_VALUE"""),0.000049)</f>
        <v>4.8999999999999998E-5</v>
      </c>
      <c r="I75" s="62"/>
      <c r="J75" s="62"/>
      <c r="K75" s="63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</row>
    <row r="76" spans="1:41" ht="15.5">
      <c r="A76" s="623">
        <f ca="1">IFERROR(__xludf.DUMMYFUNCTION("""COMPUTED_VALUE"""),75)</f>
        <v>75</v>
      </c>
      <c r="B76" s="624">
        <f ca="1">IFERROR(__xludf.DUMMYFUNCTION("""COMPUTED_VALUE"""),2313)</f>
        <v>2313</v>
      </c>
      <c r="C76" s="624" t="str">
        <f ca="1">IFERROR(__xludf.DUMMYFUNCTION("""COMPUTED_VALUE"""),"華通")</f>
        <v>華通</v>
      </c>
      <c r="D76" s="630">
        <f ca="1">IFERROR(__xludf.DUMMYFUNCTION("""COMPUTED_VALUE"""),0.001485)</f>
        <v>1.485E-3</v>
      </c>
      <c r="E76" s="623">
        <f ca="1">IFERROR(__xludf.DUMMYFUNCTION("""COMPUTED_VALUE"""),609)</f>
        <v>609</v>
      </c>
      <c r="F76" s="624">
        <f ca="1">IFERROR(__xludf.DUMMYFUNCTION("""COMPUTED_VALUE"""),4526)</f>
        <v>4526</v>
      </c>
      <c r="G76" s="624" t="str">
        <f ca="1">IFERROR(__xludf.DUMMYFUNCTION("""COMPUTED_VALUE"""),"東台")</f>
        <v>東台</v>
      </c>
      <c r="H76" s="632">
        <f ca="1">IFERROR(__xludf.DUMMYFUNCTION("""COMPUTED_VALUE"""),0.000049)</f>
        <v>4.8999999999999998E-5</v>
      </c>
      <c r="I76" s="62"/>
      <c r="J76" s="62"/>
      <c r="K76" s="63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</row>
    <row r="77" spans="1:41" ht="15.5">
      <c r="A77" s="623">
        <f ca="1">IFERROR(__xludf.DUMMYFUNCTION("""COMPUTED_VALUE"""),76)</f>
        <v>76</v>
      </c>
      <c r="B77" s="624">
        <f ca="1">IFERROR(__xludf.DUMMYFUNCTION("""COMPUTED_VALUE"""),2337)</f>
        <v>2337</v>
      </c>
      <c r="C77" s="624" t="str">
        <f ca="1">IFERROR(__xludf.DUMMYFUNCTION("""COMPUTED_VALUE"""),"旺宏")</f>
        <v>旺宏</v>
      </c>
      <c r="D77" s="630">
        <f ca="1">IFERROR(__xludf.DUMMYFUNCTION("""COMPUTED_VALUE"""),0.001418)</f>
        <v>1.418E-3</v>
      </c>
      <c r="E77" s="623">
        <f ca="1">IFERROR(__xludf.DUMMYFUNCTION("""COMPUTED_VALUE"""),610)</f>
        <v>610</v>
      </c>
      <c r="F77" s="624">
        <f ca="1">IFERROR(__xludf.DUMMYFUNCTION("""COMPUTED_VALUE"""),3679)</f>
        <v>3679</v>
      </c>
      <c r="G77" s="624" t="str">
        <f ca="1">IFERROR(__xludf.DUMMYFUNCTION("""COMPUTED_VALUE"""),"新至陞")</f>
        <v>新至陞</v>
      </c>
      <c r="H77" s="632">
        <f ca="1">IFERROR(__xludf.DUMMYFUNCTION("""COMPUTED_VALUE"""),0.000049)</f>
        <v>4.8999999999999998E-5</v>
      </c>
      <c r="I77" s="62"/>
      <c r="J77" s="62"/>
      <c r="K77" s="63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</row>
    <row r="78" spans="1:41" ht="15.5">
      <c r="A78" s="623">
        <f ca="1">IFERROR(__xludf.DUMMYFUNCTION("""COMPUTED_VALUE"""),77)</f>
        <v>77</v>
      </c>
      <c r="B78" s="624">
        <f ca="1">IFERROR(__xludf.DUMMYFUNCTION("""COMPUTED_VALUE"""),5871)</f>
        <v>5871</v>
      </c>
      <c r="C78" s="624" t="str">
        <f ca="1">IFERROR(__xludf.DUMMYFUNCTION("""COMPUTED_VALUE"""),"中租-KY")</f>
        <v>中租-KY</v>
      </c>
      <c r="D78" s="630">
        <f ca="1">IFERROR(__xludf.DUMMYFUNCTION("""COMPUTED_VALUE"""),0.001386)</f>
        <v>1.3860000000000001E-3</v>
      </c>
      <c r="E78" s="623">
        <f ca="1">IFERROR(__xludf.DUMMYFUNCTION("""COMPUTED_VALUE"""),611)</f>
        <v>611</v>
      </c>
      <c r="F78" s="624">
        <f ca="1">IFERROR(__xludf.DUMMYFUNCTION("""COMPUTED_VALUE"""),6184)</f>
        <v>6184</v>
      </c>
      <c r="G78" s="624" t="str">
        <f ca="1">IFERROR(__xludf.DUMMYFUNCTION("""COMPUTED_VALUE"""),"大豐電")</f>
        <v>大豐電</v>
      </c>
      <c r="H78" s="632">
        <f ca="1">IFERROR(__xludf.DUMMYFUNCTION("""COMPUTED_VALUE"""),0.000048)</f>
        <v>4.8000000000000001E-5</v>
      </c>
      <c r="I78" s="62"/>
      <c r="J78" s="62"/>
      <c r="K78" s="63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</row>
    <row r="79" spans="1:41" ht="15.5">
      <c r="A79" s="623">
        <f ca="1">IFERROR(__xludf.DUMMYFUNCTION("""COMPUTED_VALUE"""),78)</f>
        <v>78</v>
      </c>
      <c r="B79" s="624">
        <f ca="1">IFERROR(__xludf.DUMMYFUNCTION("""COMPUTED_VALUE"""),3044)</f>
        <v>3044</v>
      </c>
      <c r="C79" s="624" t="str">
        <f ca="1">IFERROR(__xludf.DUMMYFUNCTION("""COMPUTED_VALUE"""),"健鼎")</f>
        <v>健鼎</v>
      </c>
      <c r="D79" s="630">
        <f ca="1">IFERROR(__xludf.DUMMYFUNCTION("""COMPUTED_VALUE"""),0.001381)</f>
        <v>1.3810000000000001E-3</v>
      </c>
      <c r="E79" s="623">
        <f ca="1">IFERROR(__xludf.DUMMYFUNCTION("""COMPUTED_VALUE"""),612)</f>
        <v>612</v>
      </c>
      <c r="F79" s="624">
        <f ca="1">IFERROR(__xludf.DUMMYFUNCTION("""COMPUTED_VALUE"""),2459)</f>
        <v>2459</v>
      </c>
      <c r="G79" s="624" t="str">
        <f ca="1">IFERROR(__xludf.DUMMYFUNCTION("""COMPUTED_VALUE"""),"敦吉")</f>
        <v>敦吉</v>
      </c>
      <c r="H79" s="632">
        <f ca="1">IFERROR(__xludf.DUMMYFUNCTION("""COMPUTED_VALUE"""),0.000048)</f>
        <v>4.8000000000000001E-5</v>
      </c>
      <c r="I79" s="62"/>
      <c r="J79" s="62"/>
      <c r="K79" s="63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</row>
    <row r="80" spans="1:41" ht="15.5">
      <c r="A80" s="623">
        <f ca="1">IFERROR(__xludf.DUMMYFUNCTION("""COMPUTED_VALUE"""),79)</f>
        <v>79</v>
      </c>
      <c r="B80" s="624">
        <f ca="1">IFERROR(__xludf.DUMMYFUNCTION("""COMPUTED_VALUE"""),3702)</f>
        <v>3702</v>
      </c>
      <c r="C80" s="624" t="str">
        <f ca="1">IFERROR(__xludf.DUMMYFUNCTION("""COMPUTED_VALUE"""),"大聯大")</f>
        <v>大聯大</v>
      </c>
      <c r="D80" s="630">
        <f ca="1">IFERROR(__xludf.DUMMYFUNCTION("""COMPUTED_VALUE"""),0.001345)</f>
        <v>1.3450000000000001E-3</v>
      </c>
      <c r="E80" s="623">
        <f ca="1">IFERROR(__xludf.DUMMYFUNCTION("""COMPUTED_VALUE"""),613)</f>
        <v>613</v>
      </c>
      <c r="F80" s="624">
        <f ca="1">IFERROR(__xludf.DUMMYFUNCTION("""COMPUTED_VALUE"""),3056)</f>
        <v>3056</v>
      </c>
      <c r="G80" s="624" t="str">
        <f ca="1">IFERROR(__xludf.DUMMYFUNCTION("""COMPUTED_VALUE"""),"富華新")</f>
        <v>富華新</v>
      </c>
      <c r="H80" s="632">
        <f ca="1">IFERROR(__xludf.DUMMYFUNCTION("""COMPUTED_VALUE"""),0.000048)</f>
        <v>4.8000000000000001E-5</v>
      </c>
      <c r="I80" s="62"/>
      <c r="J80" s="62"/>
      <c r="K80" s="63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</row>
    <row r="81" spans="1:41" ht="15.5">
      <c r="A81" s="623">
        <f ca="1">IFERROR(__xludf.DUMMYFUNCTION("""COMPUTED_VALUE"""),80)</f>
        <v>80</v>
      </c>
      <c r="B81" s="624">
        <f ca="1">IFERROR(__xludf.DUMMYFUNCTION("""COMPUTED_VALUE"""),1101)</f>
        <v>1101</v>
      </c>
      <c r="C81" s="624" t="str">
        <f ca="1">IFERROR(__xludf.DUMMYFUNCTION("""COMPUTED_VALUE"""),"台泥")</f>
        <v>台泥</v>
      </c>
      <c r="D81" s="630">
        <f ca="1">IFERROR(__xludf.DUMMYFUNCTION("""COMPUTED_VALUE"""),0.001302)</f>
        <v>1.302E-3</v>
      </c>
      <c r="E81" s="623">
        <f ca="1">IFERROR(__xludf.DUMMYFUNCTION("""COMPUTED_VALUE"""),614)</f>
        <v>614</v>
      </c>
      <c r="F81" s="624">
        <f ca="1">IFERROR(__xludf.DUMMYFUNCTION("""COMPUTED_VALUE"""),3130)</f>
        <v>3130</v>
      </c>
      <c r="G81" s="624" t="str">
        <f ca="1">IFERROR(__xludf.DUMMYFUNCTION("""COMPUTED_VALUE"""),"一零四")</f>
        <v>一零四</v>
      </c>
      <c r="H81" s="632">
        <f ca="1">IFERROR(__xludf.DUMMYFUNCTION("""COMPUTED_VALUE"""),0.000048)</f>
        <v>4.8000000000000001E-5</v>
      </c>
      <c r="I81" s="62"/>
      <c r="J81" s="62"/>
      <c r="K81" s="63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</row>
    <row r="82" spans="1:41" ht="15.5">
      <c r="A82" s="623">
        <f ca="1">IFERROR(__xludf.DUMMYFUNCTION("""COMPUTED_VALUE"""),81)</f>
        <v>81</v>
      </c>
      <c r="B82" s="624">
        <f ca="1">IFERROR(__xludf.DUMMYFUNCTION("""COMPUTED_VALUE"""),2409)</f>
        <v>2409</v>
      </c>
      <c r="C82" s="624" t="str">
        <f ca="1">IFERROR(__xludf.DUMMYFUNCTION("""COMPUTED_VALUE"""),"友達")</f>
        <v>友達</v>
      </c>
      <c r="D82" s="630">
        <f ca="1">IFERROR(__xludf.DUMMYFUNCTION("""COMPUTED_VALUE"""),0.0013)</f>
        <v>1.2999999999999999E-3</v>
      </c>
      <c r="E82" s="623">
        <f ca="1">IFERROR(__xludf.DUMMYFUNCTION("""COMPUTED_VALUE"""),615)</f>
        <v>615</v>
      </c>
      <c r="F82" s="624">
        <f ca="1">IFERROR(__xludf.DUMMYFUNCTION("""COMPUTED_VALUE"""),2029)</f>
        <v>2029</v>
      </c>
      <c r="G82" s="624" t="str">
        <f ca="1">IFERROR(__xludf.DUMMYFUNCTION("""COMPUTED_VALUE"""),"盛餘")</f>
        <v>盛餘</v>
      </c>
      <c r="H82" s="632">
        <f ca="1">IFERROR(__xludf.DUMMYFUNCTION("""COMPUTED_VALUE"""),0.000047)</f>
        <v>4.6999999999999997E-5</v>
      </c>
      <c r="I82" s="62"/>
      <c r="J82" s="62"/>
      <c r="K82" s="63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</row>
    <row r="83" spans="1:41" ht="15.5">
      <c r="A83" s="623">
        <f ca="1">IFERROR(__xludf.DUMMYFUNCTION("""COMPUTED_VALUE"""),82)</f>
        <v>82</v>
      </c>
      <c r="B83" s="624">
        <f ca="1">IFERROR(__xludf.DUMMYFUNCTION("""COMPUTED_VALUE"""),6239)</f>
        <v>6239</v>
      </c>
      <c r="C83" s="624" t="str">
        <f ca="1">IFERROR(__xludf.DUMMYFUNCTION("""COMPUTED_VALUE"""),"力成")</f>
        <v>力成</v>
      </c>
      <c r="D83" s="630">
        <f ca="1">IFERROR(__xludf.DUMMYFUNCTION("""COMPUTED_VALUE"""),0.001273)</f>
        <v>1.273E-3</v>
      </c>
      <c r="E83" s="623">
        <f ca="1">IFERROR(__xludf.DUMMYFUNCTION("""COMPUTED_VALUE"""),616)</f>
        <v>616</v>
      </c>
      <c r="F83" s="624">
        <f ca="1">IFERROR(__xludf.DUMMYFUNCTION("""COMPUTED_VALUE"""),1256)</f>
        <v>1256</v>
      </c>
      <c r="G83" s="624" t="str">
        <f ca="1">IFERROR(__xludf.DUMMYFUNCTION("""COMPUTED_VALUE"""),"鮮活果汁-KY")</f>
        <v>鮮活果汁-KY</v>
      </c>
      <c r="H83" s="632">
        <f ca="1">IFERROR(__xludf.DUMMYFUNCTION("""COMPUTED_VALUE"""),0.000047)</f>
        <v>4.6999999999999997E-5</v>
      </c>
      <c r="I83" s="62"/>
      <c r="J83" s="62"/>
      <c r="K83" s="63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</row>
    <row r="84" spans="1:41" ht="15.5">
      <c r="A84" s="623">
        <f ca="1">IFERROR(__xludf.DUMMYFUNCTION("""COMPUTED_VALUE"""),83)</f>
        <v>83</v>
      </c>
      <c r="B84" s="624">
        <f ca="1">IFERROR(__xludf.DUMMYFUNCTION("""COMPUTED_VALUE"""),2609)</f>
        <v>2609</v>
      </c>
      <c r="C84" s="624" t="str">
        <f ca="1">IFERROR(__xludf.DUMMYFUNCTION("""COMPUTED_VALUE"""),"陽明")</f>
        <v>陽明</v>
      </c>
      <c r="D84" s="630">
        <f ca="1">IFERROR(__xludf.DUMMYFUNCTION("""COMPUTED_VALUE"""),0.001263)</f>
        <v>1.263E-3</v>
      </c>
      <c r="E84" s="623">
        <f ca="1">IFERROR(__xludf.DUMMYFUNCTION("""COMPUTED_VALUE"""),617)</f>
        <v>617</v>
      </c>
      <c r="F84" s="624">
        <f ca="1">IFERROR(__xludf.DUMMYFUNCTION("""COMPUTED_VALUE"""),9943)</f>
        <v>9943</v>
      </c>
      <c r="G84" s="624" t="str">
        <f ca="1">IFERROR(__xludf.DUMMYFUNCTION("""COMPUTED_VALUE"""),"好樂迪")</f>
        <v>好樂迪</v>
      </c>
      <c r="H84" s="632">
        <f ca="1">IFERROR(__xludf.DUMMYFUNCTION("""COMPUTED_VALUE"""),0.000047)</f>
        <v>4.6999999999999997E-5</v>
      </c>
      <c r="I84" s="62"/>
      <c r="J84" s="62"/>
      <c r="K84" s="63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</row>
    <row r="85" spans="1:41" ht="15.5">
      <c r="A85" s="623">
        <f ca="1">IFERROR(__xludf.DUMMYFUNCTION("""COMPUTED_VALUE"""),84)</f>
        <v>84</v>
      </c>
      <c r="B85" s="624">
        <f ca="1">IFERROR(__xludf.DUMMYFUNCTION("""COMPUTED_VALUE"""),2834)</f>
        <v>2834</v>
      </c>
      <c r="C85" s="624" t="str">
        <f ca="1">IFERROR(__xludf.DUMMYFUNCTION("""COMPUTED_VALUE"""),"臺企銀")</f>
        <v>臺企銀</v>
      </c>
      <c r="D85" s="630">
        <f ca="1">IFERROR(__xludf.DUMMYFUNCTION("""COMPUTED_VALUE"""),0.001259)</f>
        <v>1.2589999999999999E-3</v>
      </c>
      <c r="E85" s="623">
        <f ca="1">IFERROR(__xludf.DUMMYFUNCTION("""COMPUTED_VALUE"""),618)</f>
        <v>618</v>
      </c>
      <c r="F85" s="624">
        <f ca="1">IFERROR(__xludf.DUMMYFUNCTION("""COMPUTED_VALUE"""),6756)</f>
        <v>6756</v>
      </c>
      <c r="G85" s="624" t="str">
        <f ca="1">IFERROR(__xludf.DUMMYFUNCTION("""COMPUTED_VALUE"""),"威鋒電子")</f>
        <v>威鋒電子</v>
      </c>
      <c r="H85" s="632">
        <f ca="1">IFERROR(__xludf.DUMMYFUNCTION("""COMPUTED_VALUE"""),0.000046)</f>
        <v>4.6E-5</v>
      </c>
      <c r="I85" s="62"/>
      <c r="J85" s="62"/>
      <c r="K85" s="63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</row>
    <row r="86" spans="1:41" ht="15.5">
      <c r="A86" s="623">
        <f ca="1">IFERROR(__xludf.DUMMYFUNCTION("""COMPUTED_VALUE"""),85)</f>
        <v>85</v>
      </c>
      <c r="B86" s="624">
        <f ca="1">IFERROR(__xludf.DUMMYFUNCTION("""COMPUTED_VALUE"""),6139)</f>
        <v>6139</v>
      </c>
      <c r="C86" s="624" t="str">
        <f ca="1">IFERROR(__xludf.DUMMYFUNCTION("""COMPUTED_VALUE"""),"亞翔")</f>
        <v>亞翔</v>
      </c>
      <c r="D86" s="630">
        <f ca="1">IFERROR(__xludf.DUMMYFUNCTION("""COMPUTED_VALUE"""),0.001186)</f>
        <v>1.186E-3</v>
      </c>
      <c r="E86" s="623">
        <f ca="1">IFERROR(__xludf.DUMMYFUNCTION("""COMPUTED_VALUE"""),619)</f>
        <v>619</v>
      </c>
      <c r="F86" s="624">
        <f ca="1">IFERROR(__xludf.DUMMYFUNCTION("""COMPUTED_VALUE"""),5519)</f>
        <v>5519</v>
      </c>
      <c r="G86" s="624" t="str">
        <f ca="1">IFERROR(__xludf.DUMMYFUNCTION("""COMPUTED_VALUE"""),"隆大")</f>
        <v>隆大</v>
      </c>
      <c r="H86" s="632">
        <f ca="1">IFERROR(__xludf.DUMMYFUNCTION("""COMPUTED_VALUE"""),0.000046)</f>
        <v>4.6E-5</v>
      </c>
      <c r="I86" s="62"/>
      <c r="J86" s="62"/>
      <c r="K86" s="63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</row>
    <row r="87" spans="1:41" ht="15.5">
      <c r="A87" s="623">
        <f ca="1">IFERROR(__xludf.DUMMYFUNCTION("""COMPUTED_VALUE"""),86)</f>
        <v>86</v>
      </c>
      <c r="B87" s="624">
        <f ca="1">IFERROR(__xludf.DUMMYFUNCTION("""COMPUTED_VALUE"""),6415)</f>
        <v>6415</v>
      </c>
      <c r="C87" s="624" t="str">
        <f ca="1">IFERROR(__xludf.DUMMYFUNCTION("""COMPUTED_VALUE"""),"矽力*-KY")</f>
        <v>矽力*-KY</v>
      </c>
      <c r="D87" s="630">
        <f ca="1">IFERROR(__xludf.DUMMYFUNCTION("""COMPUTED_VALUE"""),0.001143)</f>
        <v>1.1429999999999999E-3</v>
      </c>
      <c r="E87" s="623">
        <f ca="1">IFERROR(__xludf.DUMMYFUNCTION("""COMPUTED_VALUE"""),620)</f>
        <v>620</v>
      </c>
      <c r="F87" s="624">
        <f ca="1">IFERROR(__xludf.DUMMYFUNCTION("""COMPUTED_VALUE"""),1305)</f>
        <v>1305</v>
      </c>
      <c r="G87" s="624" t="str">
        <f ca="1">IFERROR(__xludf.DUMMYFUNCTION("""COMPUTED_VALUE"""),"華夏")</f>
        <v>華夏</v>
      </c>
      <c r="H87" s="632">
        <f ca="1">IFERROR(__xludf.DUMMYFUNCTION("""COMPUTED_VALUE"""),0.000046)</f>
        <v>4.6E-5</v>
      </c>
      <c r="I87" s="62"/>
      <c r="J87" s="62"/>
      <c r="K87" s="63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</row>
    <row r="88" spans="1:41" ht="15.5">
      <c r="A88" s="623">
        <f ca="1">IFERROR(__xludf.DUMMYFUNCTION("""COMPUTED_VALUE"""),87)</f>
        <v>87</v>
      </c>
      <c r="B88" s="624">
        <f ca="1">IFERROR(__xludf.DUMMYFUNCTION("""COMPUTED_VALUE"""),6919)</f>
        <v>6919</v>
      </c>
      <c r="C88" s="624" t="str">
        <f ca="1">IFERROR(__xludf.DUMMYFUNCTION("""COMPUTED_VALUE"""),"康霈*")</f>
        <v>康霈*</v>
      </c>
      <c r="D88" s="630">
        <f ca="1">IFERROR(__xludf.DUMMYFUNCTION("""COMPUTED_VALUE"""),0.001142)</f>
        <v>1.142E-3</v>
      </c>
      <c r="E88" s="623">
        <f ca="1">IFERROR(__xludf.DUMMYFUNCTION("""COMPUTED_VALUE"""),621)</f>
        <v>621</v>
      </c>
      <c r="F88" s="624">
        <f ca="1">IFERROR(__xludf.DUMMYFUNCTION("""COMPUTED_VALUE"""),1437)</f>
        <v>1437</v>
      </c>
      <c r="G88" s="624" t="str">
        <f ca="1">IFERROR(__xludf.DUMMYFUNCTION("""COMPUTED_VALUE"""),"勤益控")</f>
        <v>勤益控</v>
      </c>
      <c r="H88" s="632">
        <f ca="1">IFERROR(__xludf.DUMMYFUNCTION("""COMPUTED_VALUE"""),0.000046)</f>
        <v>4.6E-5</v>
      </c>
      <c r="I88" s="62"/>
      <c r="J88" s="62"/>
      <c r="K88" s="63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</row>
    <row r="89" spans="1:41" ht="15.5">
      <c r="A89" s="623">
        <f ca="1">IFERROR(__xludf.DUMMYFUNCTION("""COMPUTED_VALUE"""),88)</f>
        <v>88</v>
      </c>
      <c r="B89" s="624">
        <f ca="1">IFERROR(__xludf.DUMMYFUNCTION("""COMPUTED_VALUE"""),2324)</f>
        <v>2324</v>
      </c>
      <c r="C89" s="624" t="str">
        <f ca="1">IFERROR(__xludf.DUMMYFUNCTION("""COMPUTED_VALUE"""),"仁寶")</f>
        <v>仁寶</v>
      </c>
      <c r="D89" s="630">
        <f ca="1">IFERROR(__xludf.DUMMYFUNCTION("""COMPUTED_VALUE"""),0.00113)</f>
        <v>1.1299999999999999E-3</v>
      </c>
      <c r="E89" s="623">
        <f ca="1">IFERROR(__xludf.DUMMYFUNCTION("""COMPUTED_VALUE"""),622)</f>
        <v>622</v>
      </c>
      <c r="F89" s="624">
        <f ca="1">IFERROR(__xludf.DUMMYFUNCTION("""COMPUTED_VALUE"""),1737)</f>
        <v>1737</v>
      </c>
      <c r="G89" s="624" t="str">
        <f ca="1">IFERROR(__xludf.DUMMYFUNCTION("""COMPUTED_VALUE"""),"臺鹽")</f>
        <v>臺鹽</v>
      </c>
      <c r="H89" s="632">
        <f ca="1">IFERROR(__xludf.DUMMYFUNCTION("""COMPUTED_VALUE"""),0.000046)</f>
        <v>4.6E-5</v>
      </c>
      <c r="I89" s="62"/>
      <c r="J89" s="62"/>
      <c r="K89" s="63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</row>
    <row r="90" spans="1:41" ht="15.5">
      <c r="A90" s="623">
        <f ca="1">IFERROR(__xludf.DUMMYFUNCTION("""COMPUTED_VALUE"""),89)</f>
        <v>89</v>
      </c>
      <c r="B90" s="624">
        <f ca="1">IFERROR(__xludf.DUMMYFUNCTION("""COMPUTED_VALUE"""),2347)</f>
        <v>2347</v>
      </c>
      <c r="C90" s="624" t="str">
        <f ca="1">IFERROR(__xludf.DUMMYFUNCTION("""COMPUTED_VALUE"""),"聯強")</f>
        <v>聯強</v>
      </c>
      <c r="D90" s="630">
        <f ca="1">IFERROR(__xludf.DUMMYFUNCTION("""COMPUTED_VALUE"""),0.001113)</f>
        <v>1.1130000000000001E-3</v>
      </c>
      <c r="E90" s="623">
        <f ca="1">IFERROR(__xludf.DUMMYFUNCTION("""COMPUTED_VALUE"""),623)</f>
        <v>623</v>
      </c>
      <c r="F90" s="624">
        <f ca="1">IFERROR(__xludf.DUMMYFUNCTION("""COMPUTED_VALUE"""),1225)</f>
        <v>1225</v>
      </c>
      <c r="G90" s="624" t="str">
        <f ca="1">IFERROR(__xludf.DUMMYFUNCTION("""COMPUTED_VALUE"""),"福懋油")</f>
        <v>福懋油</v>
      </c>
      <c r="H90" s="632">
        <f ca="1">IFERROR(__xludf.DUMMYFUNCTION("""COMPUTED_VALUE"""),0.000045)</f>
        <v>4.5000000000000003E-5</v>
      </c>
      <c r="I90" s="62"/>
      <c r="J90" s="62"/>
      <c r="K90" s="63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</row>
    <row r="91" spans="1:41" ht="15.5">
      <c r="A91" s="623">
        <f ca="1">IFERROR(__xludf.DUMMYFUNCTION("""COMPUTED_VALUE"""),90)</f>
        <v>90</v>
      </c>
      <c r="B91" s="624">
        <f ca="1">IFERROR(__xludf.DUMMYFUNCTION("""COMPUTED_VALUE"""),1504)</f>
        <v>1504</v>
      </c>
      <c r="C91" s="624" t="str">
        <f ca="1">IFERROR(__xludf.DUMMYFUNCTION("""COMPUTED_VALUE"""),"東元")</f>
        <v>東元</v>
      </c>
      <c r="D91" s="630">
        <f ca="1">IFERROR(__xludf.DUMMYFUNCTION("""COMPUTED_VALUE"""),0.001096)</f>
        <v>1.096E-3</v>
      </c>
      <c r="E91" s="623">
        <f ca="1">IFERROR(__xludf.DUMMYFUNCTION("""COMPUTED_VALUE"""),624)</f>
        <v>624</v>
      </c>
      <c r="F91" s="624">
        <f ca="1">IFERROR(__xludf.DUMMYFUNCTION("""COMPUTED_VALUE"""),1315)</f>
        <v>1315</v>
      </c>
      <c r="G91" s="624" t="str">
        <f ca="1">IFERROR(__xludf.DUMMYFUNCTION("""COMPUTED_VALUE"""),"達新")</f>
        <v>達新</v>
      </c>
      <c r="H91" s="632">
        <f ca="1">IFERROR(__xludf.DUMMYFUNCTION("""COMPUTED_VALUE"""),0.000045)</f>
        <v>4.5000000000000003E-5</v>
      </c>
      <c r="I91" s="62"/>
      <c r="J91" s="62"/>
      <c r="K91" s="63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</row>
    <row r="92" spans="1:41" ht="15.5">
      <c r="A92" s="623">
        <f ca="1">IFERROR(__xludf.DUMMYFUNCTION("""COMPUTED_VALUE"""),91)</f>
        <v>91</v>
      </c>
      <c r="B92" s="624">
        <f ca="1">IFERROR(__xludf.DUMMYFUNCTION("""COMPUTED_VALUE"""),7750)</f>
        <v>7750</v>
      </c>
      <c r="C92" s="624" t="str">
        <f ca="1">IFERROR(__xludf.DUMMYFUNCTION("""COMPUTED_VALUE"""),"新代")</f>
        <v>新代</v>
      </c>
      <c r="D92" s="630">
        <f ca="1">IFERROR(__xludf.DUMMYFUNCTION("""COMPUTED_VALUE"""),0.001041)</f>
        <v>1.041E-3</v>
      </c>
      <c r="E92" s="623">
        <f ca="1">IFERROR(__xludf.DUMMYFUNCTION("""COMPUTED_VALUE"""),625)</f>
        <v>625</v>
      </c>
      <c r="F92" s="624">
        <f ca="1">IFERROR(__xludf.DUMMYFUNCTION("""COMPUTED_VALUE"""),3062)</f>
        <v>3062</v>
      </c>
      <c r="G92" s="624" t="str">
        <f ca="1">IFERROR(__xludf.DUMMYFUNCTION("""COMPUTED_VALUE"""),"建漢")</f>
        <v>建漢</v>
      </c>
      <c r="H92" s="632">
        <f ca="1">IFERROR(__xludf.DUMMYFUNCTION("""COMPUTED_VALUE"""),0.000045)</f>
        <v>4.5000000000000003E-5</v>
      </c>
      <c r="I92" s="62"/>
      <c r="J92" s="62"/>
      <c r="K92" s="63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</row>
    <row r="93" spans="1:41" ht="15.5">
      <c r="A93" s="623">
        <f ca="1">IFERROR(__xludf.DUMMYFUNCTION("""COMPUTED_VALUE"""),92)</f>
        <v>92</v>
      </c>
      <c r="B93" s="624">
        <f ca="1">IFERROR(__xludf.DUMMYFUNCTION("""COMPUTED_VALUE"""),1402)</f>
        <v>1402</v>
      </c>
      <c r="C93" s="624" t="str">
        <f ca="1">IFERROR(__xludf.DUMMYFUNCTION("""COMPUTED_VALUE"""),"遠東新")</f>
        <v>遠東新</v>
      </c>
      <c r="D93" s="630">
        <f ca="1">IFERROR(__xludf.DUMMYFUNCTION("""COMPUTED_VALUE"""),0.001035)</f>
        <v>1.0349999999999999E-3</v>
      </c>
      <c r="E93" s="623">
        <f ca="1">IFERROR(__xludf.DUMMYFUNCTION("""COMPUTED_VALUE"""),626)</f>
        <v>626</v>
      </c>
      <c r="F93" s="624">
        <f ca="1">IFERROR(__xludf.DUMMYFUNCTION("""COMPUTED_VALUE"""),2706)</f>
        <v>2706</v>
      </c>
      <c r="G93" s="624" t="str">
        <f ca="1">IFERROR(__xludf.DUMMYFUNCTION("""COMPUTED_VALUE"""),"第一店")</f>
        <v>第一店</v>
      </c>
      <c r="H93" s="632">
        <f ca="1">IFERROR(__xludf.DUMMYFUNCTION("""COMPUTED_VALUE"""),0.000045)</f>
        <v>4.5000000000000003E-5</v>
      </c>
      <c r="I93" s="62"/>
      <c r="J93" s="62"/>
      <c r="K93" s="63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</row>
    <row r="94" spans="1:41" ht="15.5">
      <c r="A94" s="623">
        <f ca="1">IFERROR(__xludf.DUMMYFUNCTION("""COMPUTED_VALUE"""),93)</f>
        <v>93</v>
      </c>
      <c r="B94" s="624">
        <f ca="1">IFERROR(__xludf.DUMMYFUNCTION("""COMPUTED_VALUE"""),1605)</f>
        <v>1605</v>
      </c>
      <c r="C94" s="624" t="str">
        <f ca="1">IFERROR(__xludf.DUMMYFUNCTION("""COMPUTED_VALUE"""),"華新")</f>
        <v>華新</v>
      </c>
      <c r="D94" s="630">
        <f ca="1">IFERROR(__xludf.DUMMYFUNCTION("""COMPUTED_VALUE"""),0.000992)</f>
        <v>9.9200000000000004E-4</v>
      </c>
      <c r="E94" s="623">
        <f ca="1">IFERROR(__xludf.DUMMYFUNCTION("""COMPUTED_VALUE"""),627)</f>
        <v>627</v>
      </c>
      <c r="F94" s="624">
        <f ca="1">IFERROR(__xludf.DUMMYFUNCTION("""COMPUTED_VALUE"""),2442)</f>
        <v>2442</v>
      </c>
      <c r="G94" s="624" t="str">
        <f ca="1">IFERROR(__xludf.DUMMYFUNCTION("""COMPUTED_VALUE"""),"新美齊")</f>
        <v>新美齊</v>
      </c>
      <c r="H94" s="632">
        <f ca="1">IFERROR(__xludf.DUMMYFUNCTION("""COMPUTED_VALUE"""),0.000045)</f>
        <v>4.5000000000000003E-5</v>
      </c>
      <c r="I94" s="62"/>
      <c r="J94" s="62"/>
      <c r="K94" s="63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</row>
    <row r="95" spans="1:41" ht="15.5">
      <c r="A95" s="623">
        <f ca="1">IFERROR(__xludf.DUMMYFUNCTION("""COMPUTED_VALUE"""),94)</f>
        <v>94</v>
      </c>
      <c r="B95" s="624">
        <f ca="1">IFERROR(__xludf.DUMMYFUNCTION("""COMPUTED_VALUE"""),2610)</f>
        <v>2610</v>
      </c>
      <c r="C95" s="624" t="str">
        <f ca="1">IFERROR(__xludf.DUMMYFUNCTION("""COMPUTED_VALUE"""),"華航")</f>
        <v>華航</v>
      </c>
      <c r="D95" s="630">
        <f ca="1">IFERROR(__xludf.DUMMYFUNCTION("""COMPUTED_VALUE"""),0.000976)</f>
        <v>9.7599999999999998E-4</v>
      </c>
      <c r="E95" s="623">
        <f ca="1">IFERROR(__xludf.DUMMYFUNCTION("""COMPUTED_VALUE"""),628)</f>
        <v>628</v>
      </c>
      <c r="F95" s="624">
        <f ca="1">IFERROR(__xludf.DUMMYFUNCTION("""COMPUTED_VALUE"""),6416)</f>
        <v>6416</v>
      </c>
      <c r="G95" s="624" t="str">
        <f ca="1">IFERROR(__xludf.DUMMYFUNCTION("""COMPUTED_VALUE"""),"瑞祺電通")</f>
        <v>瑞祺電通</v>
      </c>
      <c r="H95" s="632">
        <f ca="1">IFERROR(__xludf.DUMMYFUNCTION("""COMPUTED_VALUE"""),0.000045)</f>
        <v>4.5000000000000003E-5</v>
      </c>
      <c r="I95" s="62"/>
      <c r="J95" s="62"/>
      <c r="K95" s="63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</row>
    <row r="96" spans="1:41" ht="15.5">
      <c r="A96" s="623">
        <f ca="1">IFERROR(__xludf.DUMMYFUNCTION("""COMPUTED_VALUE"""),95)</f>
        <v>95</v>
      </c>
      <c r="B96" s="624">
        <f ca="1">IFERROR(__xludf.DUMMYFUNCTION("""COMPUTED_VALUE"""),6789)</f>
        <v>6789</v>
      </c>
      <c r="C96" s="624" t="str">
        <f ca="1">IFERROR(__xludf.DUMMYFUNCTION("""COMPUTED_VALUE"""),"采鈺")</f>
        <v>采鈺</v>
      </c>
      <c r="D96" s="630">
        <f ca="1">IFERROR(__xludf.DUMMYFUNCTION("""COMPUTED_VALUE"""),0.00096)</f>
        <v>9.6000000000000002E-4</v>
      </c>
      <c r="E96" s="623">
        <f ca="1">IFERROR(__xludf.DUMMYFUNCTION("""COMPUTED_VALUE"""),629)</f>
        <v>629</v>
      </c>
      <c r="F96" s="624">
        <f ca="1">IFERROR(__xludf.DUMMYFUNCTION("""COMPUTED_VALUE"""),6933)</f>
        <v>6933</v>
      </c>
      <c r="G96" s="624" t="str">
        <f ca="1">IFERROR(__xludf.DUMMYFUNCTION("""COMPUTED_VALUE"""),"AMAX-KY")</f>
        <v>AMAX-KY</v>
      </c>
      <c r="H96" s="632">
        <f ca="1">IFERROR(__xludf.DUMMYFUNCTION("""COMPUTED_VALUE"""),0.000045)</f>
        <v>4.5000000000000003E-5</v>
      </c>
      <c r="I96" s="62"/>
      <c r="J96" s="62"/>
      <c r="K96" s="63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</row>
    <row r="97" spans="1:41" ht="15.5">
      <c r="A97" s="623">
        <f ca="1">IFERROR(__xludf.DUMMYFUNCTION("""COMPUTED_VALUE"""),96)</f>
        <v>96</v>
      </c>
      <c r="B97" s="624">
        <f ca="1">IFERROR(__xludf.DUMMYFUNCTION("""COMPUTED_VALUE"""),1802)</f>
        <v>1802</v>
      </c>
      <c r="C97" s="624" t="str">
        <f ca="1">IFERROR(__xludf.DUMMYFUNCTION("""COMPUTED_VALUE"""),"台玻")</f>
        <v>台玻</v>
      </c>
      <c r="D97" s="630">
        <f ca="1">IFERROR(__xludf.DUMMYFUNCTION("""COMPUTED_VALUE"""),0.000946)</f>
        <v>9.4600000000000001E-4</v>
      </c>
      <c r="E97" s="623">
        <f ca="1">IFERROR(__xludf.DUMMYFUNCTION("""COMPUTED_VALUE"""),630)</f>
        <v>630</v>
      </c>
      <c r="F97" s="624">
        <f ca="1">IFERROR(__xludf.DUMMYFUNCTION("""COMPUTED_VALUE"""),6862)</f>
        <v>6862</v>
      </c>
      <c r="G97" s="624" t="str">
        <f ca="1">IFERROR(__xludf.DUMMYFUNCTION("""COMPUTED_VALUE"""),"三集瑞-KY")</f>
        <v>三集瑞-KY</v>
      </c>
      <c r="H97" s="632">
        <f ca="1">IFERROR(__xludf.DUMMYFUNCTION("""COMPUTED_VALUE"""),0.000045)</f>
        <v>4.5000000000000003E-5</v>
      </c>
      <c r="I97" s="62"/>
      <c r="J97" s="62"/>
      <c r="K97" s="63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</row>
    <row r="98" spans="1:41" ht="15.5">
      <c r="A98" s="623">
        <f ca="1">IFERROR(__xludf.DUMMYFUNCTION("""COMPUTED_VALUE"""),97)</f>
        <v>97</v>
      </c>
      <c r="B98" s="624">
        <f ca="1">IFERROR(__xludf.DUMMYFUNCTION("""COMPUTED_VALUE"""),8210)</f>
        <v>8210</v>
      </c>
      <c r="C98" s="624" t="str">
        <f ca="1">IFERROR(__xludf.DUMMYFUNCTION("""COMPUTED_VALUE"""),"勤誠")</f>
        <v>勤誠</v>
      </c>
      <c r="D98" s="630">
        <f ca="1">IFERROR(__xludf.DUMMYFUNCTION("""COMPUTED_VALUE"""),0.000932)</f>
        <v>9.3199999999999999E-4</v>
      </c>
      <c r="E98" s="623">
        <f ca="1">IFERROR(__xludf.DUMMYFUNCTION("""COMPUTED_VALUE"""),631)</f>
        <v>631</v>
      </c>
      <c r="F98" s="624">
        <f ca="1">IFERROR(__xludf.DUMMYFUNCTION("""COMPUTED_VALUE"""),8374)</f>
        <v>8374</v>
      </c>
      <c r="G98" s="624" t="str">
        <f ca="1">IFERROR(__xludf.DUMMYFUNCTION("""COMPUTED_VALUE"""),"羅昇")</f>
        <v>羅昇</v>
      </c>
      <c r="H98" s="632">
        <f ca="1">IFERROR(__xludf.DUMMYFUNCTION("""COMPUTED_VALUE"""),0.000045)</f>
        <v>4.5000000000000003E-5</v>
      </c>
      <c r="I98" s="62"/>
      <c r="J98" s="62"/>
      <c r="K98" s="63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</row>
    <row r="99" spans="1:41" ht="15.5">
      <c r="A99" s="623">
        <f ca="1">IFERROR(__xludf.DUMMYFUNCTION("""COMPUTED_VALUE"""),98)</f>
        <v>98</v>
      </c>
      <c r="B99" s="624">
        <f ca="1">IFERROR(__xludf.DUMMYFUNCTION("""COMPUTED_VALUE"""),2451)</f>
        <v>2451</v>
      </c>
      <c r="C99" s="624" t="str">
        <f ca="1">IFERROR(__xludf.DUMMYFUNCTION("""COMPUTED_VALUE"""),"創見")</f>
        <v>創見</v>
      </c>
      <c r="D99" s="630">
        <f ca="1">IFERROR(__xludf.DUMMYFUNCTION("""COMPUTED_VALUE"""),0.0009)</f>
        <v>8.9999999999999998E-4</v>
      </c>
      <c r="E99" s="623">
        <f ca="1">IFERROR(__xludf.DUMMYFUNCTION("""COMPUTED_VALUE"""),632)</f>
        <v>632</v>
      </c>
      <c r="F99" s="624">
        <f ca="1">IFERROR(__xludf.DUMMYFUNCTION("""COMPUTED_VALUE"""),9905)</f>
        <v>9905</v>
      </c>
      <c r="G99" s="624" t="str">
        <f ca="1">IFERROR(__xludf.DUMMYFUNCTION("""COMPUTED_VALUE"""),"大華")</f>
        <v>大華</v>
      </c>
      <c r="H99" s="632">
        <f ca="1">IFERROR(__xludf.DUMMYFUNCTION("""COMPUTED_VALUE"""),0.000045)</f>
        <v>4.5000000000000003E-5</v>
      </c>
      <c r="I99" s="62"/>
      <c r="J99" s="62"/>
      <c r="K99" s="63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</row>
    <row r="100" spans="1:41" ht="15.5">
      <c r="A100" s="623">
        <f ca="1">IFERROR(__xludf.DUMMYFUNCTION("""COMPUTED_VALUE"""),99)</f>
        <v>99</v>
      </c>
      <c r="B100" s="624">
        <f ca="1">IFERROR(__xludf.DUMMYFUNCTION("""COMPUTED_VALUE"""),2812)</f>
        <v>2812</v>
      </c>
      <c r="C100" s="624" t="str">
        <f ca="1">IFERROR(__xludf.DUMMYFUNCTION("""COMPUTED_VALUE"""),"台中銀")</f>
        <v>台中銀</v>
      </c>
      <c r="D100" s="630">
        <f ca="1">IFERROR(__xludf.DUMMYFUNCTION("""COMPUTED_VALUE"""),0.000879)</f>
        <v>8.7900000000000001E-4</v>
      </c>
      <c r="E100" s="623">
        <f ca="1">IFERROR(__xludf.DUMMYFUNCTION("""COMPUTED_VALUE"""),633)</f>
        <v>633</v>
      </c>
      <c r="F100" s="624">
        <f ca="1">IFERROR(__xludf.DUMMYFUNCTION("""COMPUTED_VALUE"""),4994)</f>
        <v>4994</v>
      </c>
      <c r="G100" s="624" t="str">
        <f ca="1">IFERROR(__xludf.DUMMYFUNCTION("""COMPUTED_VALUE"""),"傳奇")</f>
        <v>傳奇</v>
      </c>
      <c r="H100" s="632">
        <f ca="1">IFERROR(__xludf.DUMMYFUNCTION("""COMPUTED_VALUE"""),0.000044)</f>
        <v>4.3999999999999999E-5</v>
      </c>
      <c r="I100" s="62"/>
      <c r="J100" s="62"/>
      <c r="K100" s="63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</row>
    <row r="101" spans="1:41" ht="15.5">
      <c r="A101" s="623">
        <f ca="1">IFERROR(__xludf.DUMMYFUNCTION("""COMPUTED_VALUE"""),100)</f>
        <v>100</v>
      </c>
      <c r="B101" s="624">
        <f ca="1">IFERROR(__xludf.DUMMYFUNCTION("""COMPUTED_VALUE"""),2377)</f>
        <v>2377</v>
      </c>
      <c r="C101" s="624" t="str">
        <f ca="1">IFERROR(__xludf.DUMMYFUNCTION("""COMPUTED_VALUE"""),"微星")</f>
        <v>微星</v>
      </c>
      <c r="D101" s="630">
        <f ca="1">IFERROR(__xludf.DUMMYFUNCTION("""COMPUTED_VALUE"""),0.000854)</f>
        <v>8.5400000000000005E-4</v>
      </c>
      <c r="E101" s="623">
        <f ca="1">IFERROR(__xludf.DUMMYFUNCTION("""COMPUTED_VALUE"""),634)</f>
        <v>634</v>
      </c>
      <c r="F101" s="624">
        <f ca="1">IFERROR(__xludf.DUMMYFUNCTION("""COMPUTED_VALUE"""),2417)</f>
        <v>2417</v>
      </c>
      <c r="G101" s="624" t="str">
        <f ca="1">IFERROR(__xludf.DUMMYFUNCTION("""COMPUTED_VALUE"""),"圓剛")</f>
        <v>圓剛</v>
      </c>
      <c r="H101" s="632">
        <f ca="1">IFERROR(__xludf.DUMMYFUNCTION("""COMPUTED_VALUE"""),0.000044)</f>
        <v>4.3999999999999999E-5</v>
      </c>
      <c r="I101" s="62"/>
      <c r="J101" s="62"/>
      <c r="K101" s="63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</row>
    <row r="102" spans="1:41" ht="15.5">
      <c r="A102" s="623">
        <f ca="1">IFERROR(__xludf.DUMMYFUNCTION("""COMPUTED_VALUE"""),101)</f>
        <v>101</v>
      </c>
      <c r="B102" s="624">
        <f ca="1">IFERROR(__xludf.DUMMYFUNCTION("""COMPUTED_VALUE"""),1102)</f>
        <v>1102</v>
      </c>
      <c r="C102" s="624" t="str">
        <f ca="1">IFERROR(__xludf.DUMMYFUNCTION("""COMPUTED_VALUE"""),"亞泥")</f>
        <v>亞泥</v>
      </c>
      <c r="D102" s="630">
        <f ca="1">IFERROR(__xludf.DUMMYFUNCTION("""COMPUTED_VALUE"""),0.000833)</f>
        <v>8.3299999999999997E-4</v>
      </c>
      <c r="E102" s="623">
        <f ca="1">IFERROR(__xludf.DUMMYFUNCTION("""COMPUTED_VALUE"""),635)</f>
        <v>635</v>
      </c>
      <c r="F102" s="624">
        <f ca="1">IFERROR(__xludf.DUMMYFUNCTION("""COMPUTED_VALUE"""),2397)</f>
        <v>2397</v>
      </c>
      <c r="G102" s="624" t="str">
        <f ca="1">IFERROR(__xludf.DUMMYFUNCTION("""COMPUTED_VALUE"""),"友通")</f>
        <v>友通</v>
      </c>
      <c r="H102" s="632">
        <f ca="1">IFERROR(__xludf.DUMMYFUNCTION("""COMPUTED_VALUE"""),0.000044)</f>
        <v>4.3999999999999999E-5</v>
      </c>
      <c r="I102" s="62"/>
      <c r="J102" s="62"/>
      <c r="K102" s="63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</row>
    <row r="103" spans="1:41" ht="15.5">
      <c r="A103" s="623">
        <f ca="1">IFERROR(__xludf.DUMMYFUNCTION("""COMPUTED_VALUE"""),102)</f>
        <v>102</v>
      </c>
      <c r="B103" s="624">
        <f ca="1">IFERROR(__xludf.DUMMYFUNCTION("""COMPUTED_VALUE"""),3706)</f>
        <v>3706</v>
      </c>
      <c r="C103" s="624" t="str">
        <f ca="1">IFERROR(__xludf.DUMMYFUNCTION("""COMPUTED_VALUE"""),"神達")</f>
        <v>神達</v>
      </c>
      <c r="D103" s="630">
        <f ca="1">IFERROR(__xludf.DUMMYFUNCTION("""COMPUTED_VALUE"""),0.000826)</f>
        <v>8.2600000000000002E-4</v>
      </c>
      <c r="E103" s="623">
        <f ca="1">IFERROR(__xludf.DUMMYFUNCTION("""COMPUTED_VALUE"""),636)</f>
        <v>636</v>
      </c>
      <c r="F103" s="624">
        <f ca="1">IFERROR(__xludf.DUMMYFUNCTION("""COMPUTED_VALUE"""),2365)</f>
        <v>2365</v>
      </c>
      <c r="G103" s="624" t="str">
        <f ca="1">IFERROR(__xludf.DUMMYFUNCTION("""COMPUTED_VALUE"""),"昆盈")</f>
        <v>昆盈</v>
      </c>
      <c r="H103" s="632">
        <f ca="1">IFERROR(__xludf.DUMMYFUNCTION("""COMPUTED_VALUE"""),0.000044)</f>
        <v>4.3999999999999999E-5</v>
      </c>
      <c r="I103" s="62"/>
      <c r="J103" s="62"/>
      <c r="K103" s="63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</row>
    <row r="104" spans="1:41" ht="15.5">
      <c r="A104" s="623">
        <f ca="1">IFERROR(__xludf.DUMMYFUNCTION("""COMPUTED_VALUE"""),103)</f>
        <v>103</v>
      </c>
      <c r="B104" s="624">
        <f ca="1">IFERROR(__xludf.DUMMYFUNCTION("""COMPUTED_VALUE"""),8464)</f>
        <v>8464</v>
      </c>
      <c r="C104" s="624" t="str">
        <f ca="1">IFERROR(__xludf.DUMMYFUNCTION("""COMPUTED_VALUE"""),"億豐")</f>
        <v>億豐</v>
      </c>
      <c r="D104" s="630">
        <f ca="1">IFERROR(__xludf.DUMMYFUNCTION("""COMPUTED_VALUE"""),0.000795)</f>
        <v>7.9500000000000003E-4</v>
      </c>
      <c r="E104" s="623">
        <f ca="1">IFERROR(__xludf.DUMMYFUNCTION("""COMPUTED_VALUE"""),637)</f>
        <v>637</v>
      </c>
      <c r="F104" s="624">
        <f ca="1">IFERROR(__xludf.DUMMYFUNCTION("""COMPUTED_VALUE"""),1201)</f>
        <v>1201</v>
      </c>
      <c r="G104" s="624" t="str">
        <f ca="1">IFERROR(__xludf.DUMMYFUNCTION("""COMPUTED_VALUE"""),"味全")</f>
        <v>味全</v>
      </c>
      <c r="H104" s="632">
        <f ca="1">IFERROR(__xludf.DUMMYFUNCTION("""COMPUTED_VALUE"""),0.000044)</f>
        <v>4.3999999999999999E-5</v>
      </c>
      <c r="I104" s="62"/>
      <c r="J104" s="62"/>
      <c r="K104" s="63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</row>
    <row r="105" spans="1:41" ht="15.5">
      <c r="A105" s="623">
        <f ca="1">IFERROR(__xludf.DUMMYFUNCTION("""COMPUTED_VALUE"""),104)</f>
        <v>104</v>
      </c>
      <c r="B105" s="624">
        <f ca="1">IFERROR(__xludf.DUMMYFUNCTION("""COMPUTED_VALUE"""),2027)</f>
        <v>2027</v>
      </c>
      <c r="C105" s="624" t="str">
        <f ca="1">IFERROR(__xludf.DUMMYFUNCTION("""COMPUTED_VALUE"""),"大成鋼")</f>
        <v>大成鋼</v>
      </c>
      <c r="D105" s="630">
        <f ca="1">IFERROR(__xludf.DUMMYFUNCTION("""COMPUTED_VALUE"""),0.000795)</f>
        <v>7.9500000000000003E-4</v>
      </c>
      <c r="E105" s="623">
        <f ca="1">IFERROR(__xludf.DUMMYFUNCTION("""COMPUTED_VALUE"""),638)</f>
        <v>638</v>
      </c>
      <c r="F105" s="624">
        <f ca="1">IFERROR(__xludf.DUMMYFUNCTION("""COMPUTED_VALUE"""),1447)</f>
        <v>1447</v>
      </c>
      <c r="G105" s="624" t="str">
        <f ca="1">IFERROR(__xludf.DUMMYFUNCTION("""COMPUTED_VALUE"""),"力鵬")</f>
        <v>力鵬</v>
      </c>
      <c r="H105" s="632">
        <f ca="1">IFERROR(__xludf.DUMMYFUNCTION("""COMPUTED_VALUE"""),0.000044)</f>
        <v>4.3999999999999999E-5</v>
      </c>
      <c r="I105" s="62"/>
      <c r="J105" s="62"/>
      <c r="K105" s="63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</row>
    <row r="106" spans="1:41" ht="15.5">
      <c r="A106" s="623">
        <f ca="1">IFERROR(__xludf.DUMMYFUNCTION("""COMPUTED_VALUE"""),105)</f>
        <v>105</v>
      </c>
      <c r="B106" s="624">
        <f ca="1">IFERROR(__xludf.DUMMYFUNCTION("""COMPUTED_VALUE"""),6531)</f>
        <v>6531</v>
      </c>
      <c r="C106" s="624" t="str">
        <f ca="1">IFERROR(__xludf.DUMMYFUNCTION("""COMPUTED_VALUE"""),"愛普*")</f>
        <v>愛普*</v>
      </c>
      <c r="D106" s="630">
        <f ca="1">IFERROR(__xludf.DUMMYFUNCTION("""COMPUTED_VALUE"""),0.000773)</f>
        <v>7.7300000000000003E-4</v>
      </c>
      <c r="E106" s="623">
        <f ca="1">IFERROR(__xludf.DUMMYFUNCTION("""COMPUTED_VALUE"""),639)</f>
        <v>639</v>
      </c>
      <c r="F106" s="624">
        <f ca="1">IFERROR(__xludf.DUMMYFUNCTION("""COMPUTED_VALUE"""),2228)</f>
        <v>2228</v>
      </c>
      <c r="G106" s="624" t="str">
        <f ca="1">IFERROR(__xludf.DUMMYFUNCTION("""COMPUTED_VALUE"""),"劍麟")</f>
        <v>劍麟</v>
      </c>
      <c r="H106" s="632">
        <f ca="1">IFERROR(__xludf.DUMMYFUNCTION("""COMPUTED_VALUE"""),0.000044)</f>
        <v>4.3999999999999999E-5</v>
      </c>
      <c r="I106" s="62"/>
      <c r="J106" s="62"/>
      <c r="K106" s="63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</row>
    <row r="107" spans="1:41" ht="15.5">
      <c r="A107" s="623">
        <f ca="1">IFERROR(__xludf.DUMMYFUNCTION("""COMPUTED_VALUE"""),106)</f>
        <v>106</v>
      </c>
      <c r="B107" s="624">
        <f ca="1">IFERROR(__xludf.DUMMYFUNCTION("""COMPUTED_VALUE"""),2049)</f>
        <v>2049</v>
      </c>
      <c r="C107" s="624" t="str">
        <f ca="1">IFERROR(__xludf.DUMMYFUNCTION("""COMPUTED_VALUE"""),"上銀")</f>
        <v>上銀</v>
      </c>
      <c r="D107" s="630">
        <f ca="1">IFERROR(__xludf.DUMMYFUNCTION("""COMPUTED_VALUE"""),0.000767)</f>
        <v>7.67E-4</v>
      </c>
      <c r="E107" s="623">
        <f ca="1">IFERROR(__xludf.DUMMYFUNCTION("""COMPUTED_VALUE"""),640)</f>
        <v>640</v>
      </c>
      <c r="F107" s="624">
        <f ca="1">IFERROR(__xludf.DUMMYFUNCTION("""COMPUTED_VALUE"""),2305)</f>
        <v>2305</v>
      </c>
      <c r="G107" s="624" t="str">
        <f ca="1">IFERROR(__xludf.DUMMYFUNCTION("""COMPUTED_VALUE"""),"全友")</f>
        <v>全友</v>
      </c>
      <c r="H107" s="632">
        <f ca="1">IFERROR(__xludf.DUMMYFUNCTION("""COMPUTED_VALUE"""),0.000044)</f>
        <v>4.3999999999999999E-5</v>
      </c>
      <c r="I107" s="62"/>
      <c r="J107" s="62"/>
      <c r="K107" s="63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</row>
    <row r="108" spans="1:41" ht="15.5">
      <c r="A108" s="623">
        <f ca="1">IFERROR(__xludf.DUMMYFUNCTION("""COMPUTED_VALUE"""),107)</f>
        <v>107</v>
      </c>
      <c r="B108" s="624">
        <f ca="1">IFERROR(__xludf.DUMMYFUNCTION("""COMPUTED_VALUE"""),6285)</f>
        <v>6285</v>
      </c>
      <c r="C108" s="624" t="str">
        <f ca="1">IFERROR(__xludf.DUMMYFUNCTION("""COMPUTED_VALUE"""),"啟碁")</f>
        <v>啟碁</v>
      </c>
      <c r="D108" s="630">
        <f ca="1">IFERROR(__xludf.DUMMYFUNCTION("""COMPUTED_VALUE"""),0.000765)</f>
        <v>7.6499999999999995E-4</v>
      </c>
      <c r="E108" s="623">
        <f ca="1">IFERROR(__xludf.DUMMYFUNCTION("""COMPUTED_VALUE"""),641)</f>
        <v>641</v>
      </c>
      <c r="F108" s="624">
        <f ca="1">IFERROR(__xludf.DUMMYFUNCTION("""COMPUTED_VALUE"""),2302)</f>
        <v>2302</v>
      </c>
      <c r="G108" s="624" t="str">
        <f ca="1">IFERROR(__xludf.DUMMYFUNCTION("""COMPUTED_VALUE"""),"麗正")</f>
        <v>麗正</v>
      </c>
      <c r="H108" s="632">
        <f ca="1">IFERROR(__xludf.DUMMYFUNCTION("""COMPUTED_VALUE"""),0.000044)</f>
        <v>4.3999999999999999E-5</v>
      </c>
      <c r="I108" s="62"/>
      <c r="J108" s="62"/>
      <c r="K108" s="63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</row>
    <row r="109" spans="1:41" ht="15.5">
      <c r="A109" s="623">
        <f ca="1">IFERROR(__xludf.DUMMYFUNCTION("""COMPUTED_VALUE"""),108)</f>
        <v>108</v>
      </c>
      <c r="B109" s="624">
        <f ca="1">IFERROR(__xludf.DUMMYFUNCTION("""COMPUTED_VALUE"""),2492)</f>
        <v>2492</v>
      </c>
      <c r="C109" s="624" t="str">
        <f ca="1">IFERROR(__xludf.DUMMYFUNCTION("""COMPUTED_VALUE"""),"華新科")</f>
        <v>華新科</v>
      </c>
      <c r="D109" s="630">
        <f ca="1">IFERROR(__xludf.DUMMYFUNCTION("""COMPUTED_VALUE"""),0.000753)</f>
        <v>7.5299999999999998E-4</v>
      </c>
      <c r="E109" s="623">
        <f ca="1">IFERROR(__xludf.DUMMYFUNCTION("""COMPUTED_VALUE"""),642)</f>
        <v>642</v>
      </c>
      <c r="F109" s="624">
        <f ca="1">IFERROR(__xludf.DUMMYFUNCTION("""COMPUTED_VALUE"""),1734)</f>
        <v>1734</v>
      </c>
      <c r="G109" s="624" t="str">
        <f ca="1">IFERROR(__xludf.DUMMYFUNCTION("""COMPUTED_VALUE"""),"杏輝")</f>
        <v>杏輝</v>
      </c>
      <c r="H109" s="632">
        <f ca="1">IFERROR(__xludf.DUMMYFUNCTION("""COMPUTED_VALUE"""),0.000043)</f>
        <v>4.3000000000000002E-5</v>
      </c>
      <c r="I109" s="62"/>
      <c r="J109" s="62"/>
      <c r="K109" s="63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</row>
    <row r="110" spans="1:41" ht="15.5">
      <c r="A110" s="623">
        <f ca="1">IFERROR(__xludf.DUMMYFUNCTION("""COMPUTED_VALUE"""),109)</f>
        <v>109</v>
      </c>
      <c r="B110" s="624">
        <f ca="1">IFERROR(__xludf.DUMMYFUNCTION("""COMPUTED_VALUE"""),3532)</f>
        <v>3532</v>
      </c>
      <c r="C110" s="624" t="str">
        <f ca="1">IFERROR(__xludf.DUMMYFUNCTION("""COMPUTED_VALUE"""),"台勝科")</f>
        <v>台勝科</v>
      </c>
      <c r="D110" s="630">
        <f ca="1">IFERROR(__xludf.DUMMYFUNCTION("""COMPUTED_VALUE"""),0.00075)</f>
        <v>7.5000000000000002E-4</v>
      </c>
      <c r="E110" s="623">
        <f ca="1">IFERROR(__xludf.DUMMYFUNCTION("""COMPUTED_VALUE"""),643)</f>
        <v>643</v>
      </c>
      <c r="F110" s="624">
        <f ca="1">IFERROR(__xludf.DUMMYFUNCTION("""COMPUTED_VALUE"""),2433)</f>
        <v>2433</v>
      </c>
      <c r="G110" s="624" t="str">
        <f ca="1">IFERROR(__xludf.DUMMYFUNCTION("""COMPUTED_VALUE"""),"互盛電")</f>
        <v>互盛電</v>
      </c>
      <c r="H110" s="632">
        <f ca="1">IFERROR(__xludf.DUMMYFUNCTION("""COMPUTED_VALUE"""),0.000043)</f>
        <v>4.3000000000000002E-5</v>
      </c>
      <c r="I110" s="62"/>
      <c r="J110" s="62"/>
      <c r="K110" s="63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</row>
    <row r="111" spans="1:41" ht="15.5">
      <c r="A111" s="623">
        <f ca="1">IFERROR(__xludf.DUMMYFUNCTION("""COMPUTED_VALUE"""),110)</f>
        <v>110</v>
      </c>
      <c r="B111" s="624">
        <f ca="1">IFERROR(__xludf.DUMMYFUNCTION("""COMPUTED_VALUE"""),6196)</f>
        <v>6196</v>
      </c>
      <c r="C111" s="624" t="str">
        <f ca="1">IFERROR(__xludf.DUMMYFUNCTION("""COMPUTED_VALUE"""),"帆宣")</f>
        <v>帆宣</v>
      </c>
      <c r="D111" s="630">
        <f ca="1">IFERROR(__xludf.DUMMYFUNCTION("""COMPUTED_VALUE"""),0.000734)</f>
        <v>7.3399999999999995E-4</v>
      </c>
      <c r="E111" s="623">
        <f ca="1">IFERROR(__xludf.DUMMYFUNCTION("""COMPUTED_VALUE"""),644)</f>
        <v>644</v>
      </c>
      <c r="F111" s="624">
        <f ca="1">IFERROR(__xludf.DUMMYFUNCTION("""COMPUTED_VALUE"""),2536)</f>
        <v>2536</v>
      </c>
      <c r="G111" s="624" t="str">
        <f ca="1">IFERROR(__xludf.DUMMYFUNCTION("""COMPUTED_VALUE"""),"宏普")</f>
        <v>宏普</v>
      </c>
      <c r="H111" s="632">
        <f ca="1">IFERROR(__xludf.DUMMYFUNCTION("""COMPUTED_VALUE"""),0.000043)</f>
        <v>4.3000000000000002E-5</v>
      </c>
      <c r="I111" s="62"/>
      <c r="J111" s="62"/>
      <c r="K111" s="63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</row>
    <row r="112" spans="1:41" ht="15.5">
      <c r="A112" s="623">
        <f ca="1">IFERROR(__xludf.DUMMYFUNCTION("""COMPUTED_VALUE"""),111)</f>
        <v>111</v>
      </c>
      <c r="B112" s="624">
        <f ca="1">IFERROR(__xludf.DUMMYFUNCTION("""COMPUTED_VALUE"""),1503)</f>
        <v>1503</v>
      </c>
      <c r="C112" s="624" t="str">
        <f ca="1">IFERROR(__xludf.DUMMYFUNCTION("""COMPUTED_VALUE"""),"士電")</f>
        <v>士電</v>
      </c>
      <c r="D112" s="630">
        <f ca="1">IFERROR(__xludf.DUMMYFUNCTION("""COMPUTED_VALUE"""),0.000723)</f>
        <v>7.2300000000000001E-4</v>
      </c>
      <c r="E112" s="623">
        <f ca="1">IFERROR(__xludf.DUMMYFUNCTION("""COMPUTED_VALUE"""),645)</f>
        <v>645</v>
      </c>
      <c r="F112" s="624">
        <f ca="1">IFERROR(__xludf.DUMMYFUNCTION("""COMPUTED_VALUE"""),3535)</f>
        <v>3535</v>
      </c>
      <c r="G112" s="624" t="str">
        <f ca="1">IFERROR(__xludf.DUMMYFUNCTION("""COMPUTED_VALUE"""),"晶彩科")</f>
        <v>晶彩科</v>
      </c>
      <c r="H112" s="632">
        <f ca="1">IFERROR(__xludf.DUMMYFUNCTION("""COMPUTED_VALUE"""),0.000043)</f>
        <v>4.3000000000000002E-5</v>
      </c>
      <c r="I112" s="62"/>
      <c r="J112" s="62"/>
      <c r="K112" s="63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</row>
    <row r="113" spans="1:41" ht="15.5">
      <c r="A113" s="623">
        <f ca="1">IFERROR(__xludf.DUMMYFUNCTION("""COMPUTED_VALUE"""),112)</f>
        <v>112</v>
      </c>
      <c r="B113" s="624">
        <f ca="1">IFERROR(__xludf.DUMMYFUNCTION("""COMPUTED_VALUE"""),2105)</f>
        <v>2105</v>
      </c>
      <c r="C113" s="624" t="str">
        <f ca="1">IFERROR(__xludf.DUMMYFUNCTION("""COMPUTED_VALUE"""),"正新")</f>
        <v>正新</v>
      </c>
      <c r="D113" s="630">
        <f ca="1">IFERROR(__xludf.DUMMYFUNCTION("""COMPUTED_VALUE"""),0.000703)</f>
        <v>7.0299999999999996E-4</v>
      </c>
      <c r="E113" s="623">
        <f ca="1">IFERROR(__xludf.DUMMYFUNCTION("""COMPUTED_VALUE"""),646)</f>
        <v>646</v>
      </c>
      <c r="F113" s="624">
        <f ca="1">IFERROR(__xludf.DUMMYFUNCTION("""COMPUTED_VALUE"""),4746)</f>
        <v>4746</v>
      </c>
      <c r="G113" s="624" t="str">
        <f ca="1">IFERROR(__xludf.DUMMYFUNCTION("""COMPUTED_VALUE"""),"台耀")</f>
        <v>台耀</v>
      </c>
      <c r="H113" s="632">
        <f ca="1">IFERROR(__xludf.DUMMYFUNCTION("""COMPUTED_VALUE"""),0.000043)</f>
        <v>4.3000000000000002E-5</v>
      </c>
      <c r="I113" s="62"/>
      <c r="J113" s="62"/>
      <c r="K113" s="63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</row>
    <row r="114" spans="1:41" ht="15.5">
      <c r="A114" s="623">
        <f ca="1">IFERROR(__xludf.DUMMYFUNCTION("""COMPUTED_VALUE"""),113)</f>
        <v>113</v>
      </c>
      <c r="B114" s="624">
        <f ca="1">IFERROR(__xludf.DUMMYFUNCTION("""COMPUTED_VALUE"""),2474)</f>
        <v>2474</v>
      </c>
      <c r="C114" s="624" t="str">
        <f ca="1">IFERROR(__xludf.DUMMYFUNCTION("""COMPUTED_VALUE"""),"可成")</f>
        <v>可成</v>
      </c>
      <c r="D114" s="630">
        <f ca="1">IFERROR(__xludf.DUMMYFUNCTION("""COMPUTED_VALUE"""),0.000702)</f>
        <v>7.0200000000000004E-4</v>
      </c>
      <c r="E114" s="623">
        <f ca="1">IFERROR(__xludf.DUMMYFUNCTION("""COMPUTED_VALUE"""),647)</f>
        <v>647</v>
      </c>
      <c r="F114" s="624">
        <f ca="1">IFERROR(__xludf.DUMMYFUNCTION("""COMPUTED_VALUE"""),6117)</f>
        <v>6117</v>
      </c>
      <c r="G114" s="624" t="str">
        <f ca="1">IFERROR(__xludf.DUMMYFUNCTION("""COMPUTED_VALUE"""),"迎廣")</f>
        <v>迎廣</v>
      </c>
      <c r="H114" s="632">
        <f ca="1">IFERROR(__xludf.DUMMYFUNCTION("""COMPUTED_VALUE"""),0.000042)</f>
        <v>4.1999999999999998E-5</v>
      </c>
      <c r="I114" s="62"/>
      <c r="J114" s="62"/>
      <c r="K114" s="63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</row>
    <row r="115" spans="1:41" ht="15.5">
      <c r="A115" s="623">
        <f ca="1">IFERROR(__xludf.DUMMYFUNCTION("""COMPUTED_VALUE"""),114)</f>
        <v>114</v>
      </c>
      <c r="B115" s="624">
        <f ca="1">IFERROR(__xludf.DUMMYFUNCTION("""COMPUTED_VALUE"""),5269)</f>
        <v>5269</v>
      </c>
      <c r="C115" s="624" t="str">
        <f ca="1">IFERROR(__xludf.DUMMYFUNCTION("""COMPUTED_VALUE"""),"祥碩")</f>
        <v>祥碩</v>
      </c>
      <c r="D115" s="630">
        <f ca="1">IFERROR(__xludf.DUMMYFUNCTION("""COMPUTED_VALUE"""),0.000694)</f>
        <v>6.9399999999999996E-4</v>
      </c>
      <c r="E115" s="623">
        <f ca="1">IFERROR(__xludf.DUMMYFUNCTION("""COMPUTED_VALUE"""),648)</f>
        <v>648</v>
      </c>
      <c r="F115" s="624">
        <f ca="1">IFERROR(__xludf.DUMMYFUNCTION("""COMPUTED_VALUE"""),9946)</f>
        <v>9946</v>
      </c>
      <c r="G115" s="624" t="str">
        <f ca="1">IFERROR(__xludf.DUMMYFUNCTION("""COMPUTED_VALUE"""),"三發地產")</f>
        <v>三發地產</v>
      </c>
      <c r="H115" s="632">
        <f ca="1">IFERROR(__xludf.DUMMYFUNCTION("""COMPUTED_VALUE"""),0.000042)</f>
        <v>4.1999999999999998E-5</v>
      </c>
      <c r="I115" s="62"/>
      <c r="J115" s="62"/>
      <c r="K115" s="63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</row>
    <row r="116" spans="1:41" ht="15.5">
      <c r="A116" s="623">
        <f ca="1">IFERROR(__xludf.DUMMYFUNCTION("""COMPUTED_VALUE"""),115)</f>
        <v>115</v>
      </c>
      <c r="B116" s="624">
        <f ca="1">IFERROR(__xludf.DUMMYFUNCTION("""COMPUTED_VALUE"""),5434)</f>
        <v>5434</v>
      </c>
      <c r="C116" s="624" t="str">
        <f ca="1">IFERROR(__xludf.DUMMYFUNCTION("""COMPUTED_VALUE"""),"崇越")</f>
        <v>崇越</v>
      </c>
      <c r="D116" s="630">
        <f ca="1">IFERROR(__xludf.DUMMYFUNCTION("""COMPUTED_VALUE"""),0.000689)</f>
        <v>6.8900000000000005E-4</v>
      </c>
      <c r="E116" s="623">
        <f ca="1">IFERROR(__xludf.DUMMYFUNCTION("""COMPUTED_VALUE"""),649)</f>
        <v>649</v>
      </c>
      <c r="F116" s="624">
        <f ca="1">IFERROR(__xludf.DUMMYFUNCTION("""COMPUTED_VALUE"""),9924)</f>
        <v>9924</v>
      </c>
      <c r="G116" s="624" t="str">
        <f ca="1">IFERROR(__xludf.DUMMYFUNCTION("""COMPUTED_VALUE"""),"福興")</f>
        <v>福興</v>
      </c>
      <c r="H116" s="632">
        <f ca="1">IFERROR(__xludf.DUMMYFUNCTION("""COMPUTED_VALUE"""),0.000042)</f>
        <v>4.1999999999999998E-5</v>
      </c>
      <c r="I116" s="62"/>
      <c r="J116" s="62"/>
      <c r="K116" s="63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</row>
    <row r="117" spans="1:41" ht="15.5">
      <c r="A117" s="623">
        <f ca="1">IFERROR(__xludf.DUMMYFUNCTION("""COMPUTED_VALUE"""),116)</f>
        <v>116</v>
      </c>
      <c r="B117" s="624">
        <f ca="1">IFERROR(__xludf.DUMMYFUNCTION("""COMPUTED_VALUE"""),6213)</f>
        <v>6213</v>
      </c>
      <c r="C117" s="624" t="str">
        <f ca="1">IFERROR(__xludf.DUMMYFUNCTION("""COMPUTED_VALUE"""),"聯茂")</f>
        <v>聯茂</v>
      </c>
      <c r="D117" s="630">
        <f ca="1">IFERROR(__xludf.DUMMYFUNCTION("""COMPUTED_VALUE"""),0.000681)</f>
        <v>6.8099999999999996E-4</v>
      </c>
      <c r="E117" s="623">
        <f ca="1">IFERROR(__xludf.DUMMYFUNCTION("""COMPUTED_VALUE"""),650)</f>
        <v>650</v>
      </c>
      <c r="F117" s="624">
        <f ca="1">IFERROR(__xludf.DUMMYFUNCTION("""COMPUTED_VALUE"""),2399)</f>
        <v>2399</v>
      </c>
      <c r="G117" s="624" t="str">
        <f ca="1">IFERROR(__xludf.DUMMYFUNCTION("""COMPUTED_VALUE"""),"映泰")</f>
        <v>映泰</v>
      </c>
      <c r="H117" s="632">
        <f ca="1">IFERROR(__xludf.DUMMYFUNCTION("""COMPUTED_VALUE"""),0.000042)</f>
        <v>4.1999999999999998E-5</v>
      </c>
      <c r="I117" s="62"/>
      <c r="J117" s="62"/>
      <c r="K117" s="63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</row>
    <row r="118" spans="1:41" ht="15.5">
      <c r="A118" s="623">
        <f ca="1">IFERROR(__xludf.DUMMYFUNCTION("""COMPUTED_VALUE"""),117)</f>
        <v>117</v>
      </c>
      <c r="B118" s="624">
        <f ca="1">IFERROR(__xludf.DUMMYFUNCTION("""COMPUTED_VALUE"""),2542)</f>
        <v>2542</v>
      </c>
      <c r="C118" s="624" t="str">
        <f ca="1">IFERROR(__xludf.DUMMYFUNCTION("""COMPUTED_VALUE"""),"興富發")</f>
        <v>興富發</v>
      </c>
      <c r="D118" s="630">
        <f ca="1">IFERROR(__xludf.DUMMYFUNCTION("""COMPUTED_VALUE"""),0.000681)</f>
        <v>6.8099999999999996E-4</v>
      </c>
      <c r="E118" s="623">
        <f ca="1">IFERROR(__xludf.DUMMYFUNCTION("""COMPUTED_VALUE"""),651)</f>
        <v>651</v>
      </c>
      <c r="F118" s="624">
        <f ca="1">IFERROR(__xludf.DUMMYFUNCTION("""COMPUTED_VALUE"""),2614)</f>
        <v>2614</v>
      </c>
      <c r="G118" s="624" t="str">
        <f ca="1">IFERROR(__xludf.DUMMYFUNCTION("""COMPUTED_VALUE"""),"東森")</f>
        <v>東森</v>
      </c>
      <c r="H118" s="632">
        <f ca="1">IFERROR(__xludf.DUMMYFUNCTION("""COMPUTED_VALUE"""),0.000042)</f>
        <v>4.1999999999999998E-5</v>
      </c>
      <c r="I118" s="62"/>
      <c r="J118" s="62"/>
      <c r="K118" s="63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</row>
    <row r="119" spans="1:41" ht="15.5">
      <c r="A119" s="623">
        <f ca="1">IFERROR(__xludf.DUMMYFUNCTION("""COMPUTED_VALUE"""),118)</f>
        <v>118</v>
      </c>
      <c r="B119" s="624">
        <f ca="1">IFERROR(__xludf.DUMMYFUNCTION("""COMPUTED_VALUE"""),2838)</f>
        <v>2838</v>
      </c>
      <c r="C119" s="624" t="str">
        <f ca="1">IFERROR(__xludf.DUMMYFUNCTION("""COMPUTED_VALUE"""),"聯邦銀")</f>
        <v>聯邦銀</v>
      </c>
      <c r="D119" s="630">
        <f ca="1">IFERROR(__xludf.DUMMYFUNCTION("""COMPUTED_VALUE"""),0.00068)</f>
        <v>6.8000000000000005E-4</v>
      </c>
      <c r="E119" s="623">
        <f ca="1">IFERROR(__xludf.DUMMYFUNCTION("""COMPUTED_VALUE"""),652)</f>
        <v>652</v>
      </c>
      <c r="F119" s="624">
        <f ca="1">IFERROR(__xludf.DUMMYFUNCTION("""COMPUTED_VALUE"""),2008)</f>
        <v>2008</v>
      </c>
      <c r="G119" s="624" t="str">
        <f ca="1">IFERROR(__xludf.DUMMYFUNCTION("""COMPUTED_VALUE"""),"高興昌")</f>
        <v>高興昌</v>
      </c>
      <c r="H119" s="632">
        <f ca="1">IFERROR(__xludf.DUMMYFUNCTION("""COMPUTED_VALUE"""),0.000042)</f>
        <v>4.1999999999999998E-5</v>
      </c>
      <c r="I119" s="62"/>
      <c r="J119" s="62"/>
      <c r="K119" s="63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</row>
    <row r="120" spans="1:41" ht="15.5">
      <c r="A120" s="623">
        <f ca="1">IFERROR(__xludf.DUMMYFUNCTION("""COMPUTED_VALUE"""),119)</f>
        <v>119</v>
      </c>
      <c r="B120" s="624">
        <f ca="1">IFERROR(__xludf.DUMMYFUNCTION("""COMPUTED_VALUE"""),1560)</f>
        <v>1560</v>
      </c>
      <c r="C120" s="624" t="str">
        <f ca="1">IFERROR(__xludf.DUMMYFUNCTION("""COMPUTED_VALUE"""),"中砂")</f>
        <v>中砂</v>
      </c>
      <c r="D120" s="630">
        <f ca="1">IFERROR(__xludf.DUMMYFUNCTION("""COMPUTED_VALUE"""),0.000679)</f>
        <v>6.7900000000000002E-4</v>
      </c>
      <c r="E120" s="623">
        <f ca="1">IFERROR(__xludf.DUMMYFUNCTION("""COMPUTED_VALUE"""),653)</f>
        <v>653</v>
      </c>
      <c r="F120" s="624">
        <f ca="1">IFERROR(__xludf.DUMMYFUNCTION("""COMPUTED_VALUE"""),1558)</f>
        <v>1558</v>
      </c>
      <c r="G120" s="624" t="str">
        <f ca="1">IFERROR(__xludf.DUMMYFUNCTION("""COMPUTED_VALUE"""),"伸興")</f>
        <v>伸興</v>
      </c>
      <c r="H120" s="632">
        <f ca="1">IFERROR(__xludf.DUMMYFUNCTION("""COMPUTED_VALUE"""),0.000042)</f>
        <v>4.1999999999999998E-5</v>
      </c>
      <c r="I120" s="62"/>
      <c r="J120" s="62"/>
      <c r="K120" s="63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</row>
    <row r="121" spans="1:41" ht="15.5">
      <c r="A121" s="623">
        <f ca="1">IFERROR(__xludf.DUMMYFUNCTION("""COMPUTED_VALUE"""),120)</f>
        <v>120</v>
      </c>
      <c r="B121" s="624">
        <f ca="1">IFERROR(__xludf.DUMMYFUNCTION("""COMPUTED_VALUE"""),1476)</f>
        <v>1476</v>
      </c>
      <c r="C121" s="624" t="str">
        <f ca="1">IFERROR(__xludf.DUMMYFUNCTION("""COMPUTED_VALUE"""),"儒鴻")</f>
        <v>儒鴻</v>
      </c>
      <c r="D121" s="630">
        <f ca="1">IFERROR(__xludf.DUMMYFUNCTION("""COMPUTED_VALUE"""),0.000676)</f>
        <v>6.7599999999999995E-4</v>
      </c>
      <c r="E121" s="623">
        <f ca="1">IFERROR(__xludf.DUMMYFUNCTION("""COMPUTED_VALUE"""),654)</f>
        <v>654</v>
      </c>
      <c r="F121" s="624">
        <f ca="1">IFERROR(__xludf.DUMMYFUNCTION("""COMPUTED_VALUE"""),8482)</f>
        <v>8482</v>
      </c>
      <c r="G121" s="624" t="str">
        <f ca="1">IFERROR(__xludf.DUMMYFUNCTION("""COMPUTED_VALUE"""),"商億-KY")</f>
        <v>商億-KY</v>
      </c>
      <c r="H121" s="632">
        <f ca="1">IFERROR(__xludf.DUMMYFUNCTION("""COMPUTED_VALUE"""),0.000041)</f>
        <v>4.1E-5</v>
      </c>
      <c r="I121" s="62"/>
      <c r="J121" s="62"/>
      <c r="K121" s="63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</row>
    <row r="122" spans="1:41" ht="15.5">
      <c r="A122" s="623">
        <f ca="1">IFERROR(__xludf.DUMMYFUNCTION("""COMPUTED_VALUE"""),121)</f>
        <v>121</v>
      </c>
      <c r="B122" s="624">
        <f ca="1">IFERROR(__xludf.DUMMYFUNCTION("""COMPUTED_VALUE"""),6805)</f>
        <v>6805</v>
      </c>
      <c r="C122" s="624" t="str">
        <f ca="1">IFERROR(__xludf.DUMMYFUNCTION("""COMPUTED_VALUE"""),"富世達")</f>
        <v>富世達</v>
      </c>
      <c r="D122" s="630">
        <f ca="1">IFERROR(__xludf.DUMMYFUNCTION("""COMPUTED_VALUE"""),0.000659)</f>
        <v>6.5899999999999997E-4</v>
      </c>
      <c r="E122" s="623">
        <f ca="1">IFERROR(__xludf.DUMMYFUNCTION("""COMPUTED_VALUE"""),655)</f>
        <v>655</v>
      </c>
      <c r="F122" s="624">
        <f ca="1">IFERROR(__xludf.DUMMYFUNCTION("""COMPUTED_VALUE"""),8103)</f>
        <v>8103</v>
      </c>
      <c r="G122" s="624" t="str">
        <f ca="1">IFERROR(__xludf.DUMMYFUNCTION("""COMPUTED_VALUE"""),"瀚荃")</f>
        <v>瀚荃</v>
      </c>
      <c r="H122" s="632">
        <f ca="1">IFERROR(__xludf.DUMMYFUNCTION("""COMPUTED_VALUE"""),0.000041)</f>
        <v>4.1E-5</v>
      </c>
      <c r="I122" s="62"/>
      <c r="J122" s="62"/>
      <c r="K122" s="63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</row>
    <row r="123" spans="1:41" ht="15.5">
      <c r="A123" s="623">
        <f ca="1">IFERROR(__xludf.DUMMYFUNCTION("""COMPUTED_VALUE"""),122)</f>
        <v>122</v>
      </c>
      <c r="B123" s="624">
        <f ca="1">IFERROR(__xludf.DUMMYFUNCTION("""COMPUTED_VALUE"""),6442)</f>
        <v>6442</v>
      </c>
      <c r="C123" s="624" t="str">
        <f ca="1">IFERROR(__xludf.DUMMYFUNCTION("""COMPUTED_VALUE"""),"光聖")</f>
        <v>光聖</v>
      </c>
      <c r="D123" s="630">
        <f ca="1">IFERROR(__xludf.DUMMYFUNCTION("""COMPUTED_VALUE"""),0.000654)</f>
        <v>6.5399999999999996E-4</v>
      </c>
      <c r="E123" s="623">
        <f ca="1">IFERROR(__xludf.DUMMYFUNCTION("""COMPUTED_VALUE"""),656)</f>
        <v>656</v>
      </c>
      <c r="F123" s="624">
        <f ca="1">IFERROR(__xludf.DUMMYFUNCTION("""COMPUTED_VALUE"""),5225)</f>
        <v>5225</v>
      </c>
      <c r="G123" s="624" t="str">
        <f ca="1">IFERROR(__xludf.DUMMYFUNCTION("""COMPUTED_VALUE"""),"東科-KY")</f>
        <v>東科-KY</v>
      </c>
      <c r="H123" s="632">
        <f ca="1">IFERROR(__xludf.DUMMYFUNCTION("""COMPUTED_VALUE"""),0.000041)</f>
        <v>4.1E-5</v>
      </c>
      <c r="I123" s="62"/>
      <c r="J123" s="62"/>
      <c r="K123" s="63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</row>
    <row r="124" spans="1:41" ht="15.5">
      <c r="A124" s="623">
        <f ca="1">IFERROR(__xludf.DUMMYFUNCTION("""COMPUTED_VALUE"""),123)</f>
        <v>123</v>
      </c>
      <c r="B124" s="624">
        <f ca="1">IFERROR(__xludf.DUMMYFUNCTION("""COMPUTED_VALUE"""),6257)</f>
        <v>6257</v>
      </c>
      <c r="C124" s="624" t="str">
        <f ca="1">IFERROR(__xludf.DUMMYFUNCTION("""COMPUTED_VALUE"""),"矽格")</f>
        <v>矽格</v>
      </c>
      <c r="D124" s="630">
        <f ca="1">IFERROR(__xludf.DUMMYFUNCTION("""COMPUTED_VALUE"""),0.000643)</f>
        <v>6.4300000000000002E-4</v>
      </c>
      <c r="E124" s="623">
        <f ca="1">IFERROR(__xludf.DUMMYFUNCTION("""COMPUTED_VALUE"""),657)</f>
        <v>657</v>
      </c>
      <c r="F124" s="624">
        <f ca="1">IFERROR(__xludf.DUMMYFUNCTION("""COMPUTED_VALUE"""),5258)</f>
        <v>5258</v>
      </c>
      <c r="G124" s="624" t="str">
        <f ca="1">IFERROR(__xludf.DUMMYFUNCTION("""COMPUTED_VALUE"""),"虹堡")</f>
        <v>虹堡</v>
      </c>
      <c r="H124" s="632">
        <f ca="1">IFERROR(__xludf.DUMMYFUNCTION("""COMPUTED_VALUE"""),0.000041)</f>
        <v>4.1E-5</v>
      </c>
      <c r="I124" s="62"/>
      <c r="J124" s="62"/>
      <c r="K124" s="63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</row>
    <row r="125" spans="1:41" ht="15.5">
      <c r="A125" s="623">
        <f ca="1">IFERROR(__xludf.DUMMYFUNCTION("""COMPUTED_VALUE"""),124)</f>
        <v>124</v>
      </c>
      <c r="B125" s="624">
        <f ca="1">IFERROR(__xludf.DUMMYFUNCTION("""COMPUTED_VALUE"""),2353)</f>
        <v>2353</v>
      </c>
      <c r="C125" s="624" t="str">
        <f ca="1">IFERROR(__xludf.DUMMYFUNCTION("""COMPUTED_VALUE"""),"宏碁")</f>
        <v>宏碁</v>
      </c>
      <c r="D125" s="630">
        <f ca="1">IFERROR(__xludf.DUMMYFUNCTION("""COMPUTED_VALUE"""),0.000626)</f>
        <v>6.2600000000000004E-4</v>
      </c>
      <c r="E125" s="623">
        <f ca="1">IFERROR(__xludf.DUMMYFUNCTION("""COMPUTED_VALUE"""),658)</f>
        <v>658</v>
      </c>
      <c r="F125" s="624">
        <f ca="1">IFERROR(__xludf.DUMMYFUNCTION("""COMPUTED_VALUE"""),6426)</f>
        <v>6426</v>
      </c>
      <c r="G125" s="624" t="str">
        <f ca="1">IFERROR(__xludf.DUMMYFUNCTION("""COMPUTED_VALUE"""),"統新")</f>
        <v>統新</v>
      </c>
      <c r="H125" s="632">
        <f ca="1">IFERROR(__xludf.DUMMYFUNCTION("""COMPUTED_VALUE"""),0.000041)</f>
        <v>4.1E-5</v>
      </c>
      <c r="I125" s="62"/>
      <c r="J125" s="62"/>
      <c r="K125" s="63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</row>
    <row r="126" spans="1:41" ht="15.5">
      <c r="A126" s="623">
        <f ca="1">IFERROR(__xludf.DUMMYFUNCTION("""COMPUTED_VALUE"""),125)</f>
        <v>125</v>
      </c>
      <c r="B126" s="624">
        <f ca="1">IFERROR(__xludf.DUMMYFUNCTION("""COMPUTED_VALUE"""),6526)</f>
        <v>6526</v>
      </c>
      <c r="C126" s="624" t="str">
        <f ca="1">IFERROR(__xludf.DUMMYFUNCTION("""COMPUTED_VALUE"""),"達發")</f>
        <v>達發</v>
      </c>
      <c r="D126" s="630">
        <f ca="1">IFERROR(__xludf.DUMMYFUNCTION("""COMPUTED_VALUE"""),0.00062)</f>
        <v>6.2E-4</v>
      </c>
      <c r="E126" s="623">
        <f ca="1">IFERROR(__xludf.DUMMYFUNCTION("""COMPUTED_VALUE"""),659)</f>
        <v>659</v>
      </c>
      <c r="F126" s="624">
        <f ca="1">IFERROR(__xludf.DUMMYFUNCTION("""COMPUTED_VALUE"""),4572)</f>
        <v>4572</v>
      </c>
      <c r="G126" s="624" t="str">
        <f ca="1">IFERROR(__xludf.DUMMYFUNCTION("""COMPUTED_VALUE"""),"駐龍")</f>
        <v>駐龍</v>
      </c>
      <c r="H126" s="632">
        <f ca="1">IFERROR(__xludf.DUMMYFUNCTION("""COMPUTED_VALUE"""),0.000041)</f>
        <v>4.1E-5</v>
      </c>
      <c r="I126" s="62"/>
      <c r="J126" s="62"/>
      <c r="K126" s="63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</row>
    <row r="127" spans="1:41" ht="15.5">
      <c r="A127" s="623">
        <f ca="1">IFERROR(__xludf.DUMMYFUNCTION("""COMPUTED_VALUE"""),126)</f>
        <v>126</v>
      </c>
      <c r="B127" s="624">
        <f ca="1">IFERROR(__xludf.DUMMYFUNCTION("""COMPUTED_VALUE"""),6409)</f>
        <v>6409</v>
      </c>
      <c r="C127" s="624" t="str">
        <f ca="1">IFERROR(__xludf.DUMMYFUNCTION("""COMPUTED_VALUE"""),"旭隼")</f>
        <v>旭隼</v>
      </c>
      <c r="D127" s="630">
        <f ca="1">IFERROR(__xludf.DUMMYFUNCTION("""COMPUTED_VALUE"""),0.000601)</f>
        <v>6.0099999999999997E-4</v>
      </c>
      <c r="E127" s="623">
        <f ca="1">IFERROR(__xludf.DUMMYFUNCTION("""COMPUTED_VALUE"""),660)</f>
        <v>660</v>
      </c>
      <c r="F127" s="624">
        <f ca="1">IFERROR(__xludf.DUMMYFUNCTION("""COMPUTED_VALUE"""),4119)</f>
        <v>4119</v>
      </c>
      <c r="G127" s="624" t="str">
        <f ca="1">IFERROR(__xludf.DUMMYFUNCTION("""COMPUTED_VALUE"""),"旭富")</f>
        <v>旭富</v>
      </c>
      <c r="H127" s="632">
        <f ca="1">IFERROR(__xludf.DUMMYFUNCTION("""COMPUTED_VALUE"""),0.00004)</f>
        <v>4.0000000000000003E-5</v>
      </c>
      <c r="I127" s="62"/>
      <c r="J127" s="62"/>
      <c r="K127" s="63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</row>
    <row r="128" spans="1:41" ht="15.5">
      <c r="A128" s="623">
        <f ca="1">IFERROR(__xludf.DUMMYFUNCTION("""COMPUTED_VALUE"""),127)</f>
        <v>127</v>
      </c>
      <c r="B128" s="624">
        <f ca="1">IFERROR(__xludf.DUMMYFUNCTION("""COMPUTED_VALUE"""),2385)</f>
        <v>2385</v>
      </c>
      <c r="C128" s="624" t="str">
        <f ca="1">IFERROR(__xludf.DUMMYFUNCTION("""COMPUTED_VALUE"""),"群光")</f>
        <v>群光</v>
      </c>
      <c r="D128" s="630">
        <f ca="1">IFERROR(__xludf.DUMMYFUNCTION("""COMPUTED_VALUE"""),0.000578)</f>
        <v>5.7799999999999995E-4</v>
      </c>
      <c r="E128" s="623">
        <f ca="1">IFERROR(__xludf.DUMMYFUNCTION("""COMPUTED_VALUE"""),661)</f>
        <v>661</v>
      </c>
      <c r="F128" s="624">
        <f ca="1">IFERROR(__xludf.DUMMYFUNCTION("""COMPUTED_VALUE"""),3528)</f>
        <v>3528</v>
      </c>
      <c r="G128" s="624" t="str">
        <f ca="1">IFERROR(__xludf.DUMMYFUNCTION("""COMPUTED_VALUE"""),"安馳")</f>
        <v>安馳</v>
      </c>
      <c r="H128" s="632">
        <f ca="1">IFERROR(__xludf.DUMMYFUNCTION("""COMPUTED_VALUE"""),0.00004)</f>
        <v>4.0000000000000003E-5</v>
      </c>
      <c r="I128" s="62"/>
      <c r="J128" s="62"/>
      <c r="K128" s="63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</row>
    <row r="129" spans="1:41" ht="15.5">
      <c r="A129" s="623">
        <f ca="1">IFERROR(__xludf.DUMMYFUNCTION("""COMPUTED_VALUE"""),128)</f>
        <v>128</v>
      </c>
      <c r="B129" s="624">
        <f ca="1">IFERROR(__xludf.DUMMYFUNCTION("""COMPUTED_VALUE"""),2354)</f>
        <v>2354</v>
      </c>
      <c r="C129" s="624" t="str">
        <f ca="1">IFERROR(__xludf.DUMMYFUNCTION("""COMPUTED_VALUE"""),"鴻準")</f>
        <v>鴻準</v>
      </c>
      <c r="D129" s="630">
        <f ca="1">IFERROR(__xludf.DUMMYFUNCTION("""COMPUTED_VALUE"""),0.000569)</f>
        <v>5.6899999999999995E-4</v>
      </c>
      <c r="E129" s="623">
        <f ca="1">IFERROR(__xludf.DUMMYFUNCTION("""COMPUTED_VALUE"""),662)</f>
        <v>662</v>
      </c>
      <c r="F129" s="624">
        <f ca="1">IFERROR(__xludf.DUMMYFUNCTION("""COMPUTED_VALUE"""),7730)</f>
        <v>7730</v>
      </c>
      <c r="G129" s="624" t="str">
        <f ca="1">IFERROR(__xludf.DUMMYFUNCTION("""COMPUTED_VALUE"""),"暉盛-創")</f>
        <v>暉盛-創</v>
      </c>
      <c r="H129" s="632">
        <f ca="1">IFERROR(__xludf.DUMMYFUNCTION("""COMPUTED_VALUE"""),0.00004)</f>
        <v>4.0000000000000003E-5</v>
      </c>
      <c r="I129" s="62"/>
      <c r="J129" s="62"/>
      <c r="K129" s="63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</row>
    <row r="130" spans="1:41" ht="15.5">
      <c r="A130" s="623">
        <f ca="1">IFERROR(__xludf.DUMMYFUNCTION("""COMPUTED_VALUE"""),129)</f>
        <v>129</v>
      </c>
      <c r="B130" s="624">
        <f ca="1">IFERROR(__xludf.DUMMYFUNCTION("""COMPUTED_VALUE"""),8996)</f>
        <v>8996</v>
      </c>
      <c r="C130" s="624" t="str">
        <f ca="1">IFERROR(__xludf.DUMMYFUNCTION("""COMPUTED_VALUE"""),"高力")</f>
        <v>高力</v>
      </c>
      <c r="D130" s="630">
        <f ca="1">IFERROR(__xludf.DUMMYFUNCTION("""COMPUTED_VALUE"""),0.000569)</f>
        <v>5.6899999999999995E-4</v>
      </c>
      <c r="E130" s="623">
        <f ca="1">IFERROR(__xludf.DUMMYFUNCTION("""COMPUTED_VALUE"""),663)</f>
        <v>663</v>
      </c>
      <c r="F130" s="624">
        <f ca="1">IFERROR(__xludf.DUMMYFUNCTION("""COMPUTED_VALUE"""),1603)</f>
        <v>1603</v>
      </c>
      <c r="G130" s="624" t="str">
        <f ca="1">IFERROR(__xludf.DUMMYFUNCTION("""COMPUTED_VALUE"""),"華電")</f>
        <v>華電</v>
      </c>
      <c r="H130" s="632">
        <f ca="1">IFERROR(__xludf.DUMMYFUNCTION("""COMPUTED_VALUE"""),0.00004)</f>
        <v>4.0000000000000003E-5</v>
      </c>
      <c r="I130" s="62"/>
      <c r="J130" s="62"/>
      <c r="K130" s="63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</row>
    <row r="131" spans="1:41" ht="15.5">
      <c r="A131" s="623">
        <f ca="1">IFERROR(__xludf.DUMMYFUNCTION("""COMPUTED_VALUE"""),130)</f>
        <v>130</v>
      </c>
      <c r="B131" s="624">
        <f ca="1">IFERROR(__xludf.DUMMYFUNCTION("""COMPUTED_VALUE"""),6691)</f>
        <v>6691</v>
      </c>
      <c r="C131" s="624" t="str">
        <f ca="1">IFERROR(__xludf.DUMMYFUNCTION("""COMPUTED_VALUE"""),"洋基工程")</f>
        <v>洋基工程</v>
      </c>
      <c r="D131" s="630">
        <f ca="1">IFERROR(__xludf.DUMMYFUNCTION("""COMPUTED_VALUE"""),0.000562)</f>
        <v>5.62E-4</v>
      </c>
      <c r="E131" s="623">
        <f ca="1">IFERROR(__xludf.DUMMYFUNCTION("""COMPUTED_VALUE"""),664)</f>
        <v>664</v>
      </c>
      <c r="F131" s="624">
        <f ca="1">IFERROR(__xludf.DUMMYFUNCTION("""COMPUTED_VALUE"""),1535)</f>
        <v>1535</v>
      </c>
      <c r="G131" s="624" t="str">
        <f ca="1">IFERROR(__xludf.DUMMYFUNCTION("""COMPUTED_VALUE"""),"中宇")</f>
        <v>中宇</v>
      </c>
      <c r="H131" s="632">
        <f ca="1">IFERROR(__xludf.DUMMYFUNCTION("""COMPUTED_VALUE"""),0.00004)</f>
        <v>4.0000000000000003E-5</v>
      </c>
      <c r="I131" s="62"/>
      <c r="J131" s="62"/>
      <c r="K131" s="63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</row>
    <row r="132" spans="1:41" ht="15.5">
      <c r="A132" s="623">
        <f ca="1">IFERROR(__xludf.DUMMYFUNCTION("""COMPUTED_VALUE"""),131)</f>
        <v>131</v>
      </c>
      <c r="B132" s="624">
        <f ca="1">IFERROR(__xludf.DUMMYFUNCTION("""COMPUTED_VALUE"""),6781)</f>
        <v>6781</v>
      </c>
      <c r="C132" s="624" t="str">
        <f ca="1">IFERROR(__xludf.DUMMYFUNCTION("""COMPUTED_VALUE"""),"AES-KY")</f>
        <v>AES-KY</v>
      </c>
      <c r="D132" s="630">
        <f ca="1">IFERROR(__xludf.DUMMYFUNCTION("""COMPUTED_VALUE"""),0.000557)</f>
        <v>5.5699999999999999E-4</v>
      </c>
      <c r="E132" s="623">
        <f ca="1">IFERROR(__xludf.DUMMYFUNCTION("""COMPUTED_VALUE"""),665)</f>
        <v>665</v>
      </c>
      <c r="F132" s="624">
        <f ca="1">IFERROR(__xludf.DUMMYFUNCTION("""COMPUTED_VALUE"""),2020)</f>
        <v>2020</v>
      </c>
      <c r="G132" s="624" t="str">
        <f ca="1">IFERROR(__xludf.DUMMYFUNCTION("""COMPUTED_VALUE"""),"美亞")</f>
        <v>美亞</v>
      </c>
      <c r="H132" s="632">
        <f ca="1">IFERROR(__xludf.DUMMYFUNCTION("""COMPUTED_VALUE"""),0.00004)</f>
        <v>4.0000000000000003E-5</v>
      </c>
      <c r="I132" s="62"/>
      <c r="J132" s="62"/>
      <c r="K132" s="63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</row>
    <row r="133" spans="1:41" ht="15.5">
      <c r="A133" s="623">
        <f ca="1">IFERROR(__xludf.DUMMYFUNCTION("""COMPUTED_VALUE"""),132)</f>
        <v>132</v>
      </c>
      <c r="B133" s="624">
        <f ca="1">IFERROR(__xludf.DUMMYFUNCTION("""COMPUTED_VALUE"""),1513)</f>
        <v>1513</v>
      </c>
      <c r="C133" s="624" t="str">
        <f ca="1">IFERROR(__xludf.DUMMYFUNCTION("""COMPUTED_VALUE"""),"中興電")</f>
        <v>中興電</v>
      </c>
      <c r="D133" s="630">
        <f ca="1">IFERROR(__xludf.DUMMYFUNCTION("""COMPUTED_VALUE"""),0.00055)</f>
        <v>5.5000000000000003E-4</v>
      </c>
      <c r="E133" s="623">
        <f ca="1">IFERROR(__xludf.DUMMYFUNCTION("""COMPUTED_VALUE"""),666)</f>
        <v>666</v>
      </c>
      <c r="F133" s="624">
        <f ca="1">IFERROR(__xludf.DUMMYFUNCTION("""COMPUTED_VALUE"""),1725)</f>
        <v>1725</v>
      </c>
      <c r="G133" s="624" t="str">
        <f ca="1">IFERROR(__xludf.DUMMYFUNCTION("""COMPUTED_VALUE"""),"元禎")</f>
        <v>元禎</v>
      </c>
      <c r="H133" s="632">
        <f ca="1">IFERROR(__xludf.DUMMYFUNCTION("""COMPUTED_VALUE"""),0.000039)</f>
        <v>3.8999999999999999E-5</v>
      </c>
      <c r="I133" s="62"/>
      <c r="J133" s="62"/>
      <c r="K133" s="63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</row>
    <row r="134" spans="1:41" ht="15.5">
      <c r="A134" s="623">
        <f ca="1">IFERROR(__xludf.DUMMYFUNCTION("""COMPUTED_VALUE"""),133)</f>
        <v>133</v>
      </c>
      <c r="B134" s="624">
        <f ca="1">IFERROR(__xludf.DUMMYFUNCTION("""COMPUTED_VALUE"""),9945)</f>
        <v>9945</v>
      </c>
      <c r="C134" s="624" t="str">
        <f ca="1">IFERROR(__xludf.DUMMYFUNCTION("""COMPUTED_VALUE"""),"潤泰新")</f>
        <v>潤泰新</v>
      </c>
      <c r="D134" s="630">
        <f ca="1">IFERROR(__xludf.DUMMYFUNCTION("""COMPUTED_VALUE"""),0.000548)</f>
        <v>5.4799999999999998E-4</v>
      </c>
      <c r="E134" s="623">
        <f ca="1">IFERROR(__xludf.DUMMYFUNCTION("""COMPUTED_VALUE"""),667)</f>
        <v>667</v>
      </c>
      <c r="F134" s="624">
        <f ca="1">IFERROR(__xludf.DUMMYFUNCTION("""COMPUTED_VALUE"""),1583)</f>
        <v>1583</v>
      </c>
      <c r="G134" s="624" t="str">
        <f ca="1">IFERROR(__xludf.DUMMYFUNCTION("""COMPUTED_VALUE"""),"程泰")</f>
        <v>程泰</v>
      </c>
      <c r="H134" s="632">
        <f ca="1">IFERROR(__xludf.DUMMYFUNCTION("""COMPUTED_VALUE"""),0.000039)</f>
        <v>3.8999999999999999E-5</v>
      </c>
      <c r="I134" s="62"/>
      <c r="J134" s="62"/>
      <c r="K134" s="63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</row>
    <row r="135" spans="1:41" ht="15.5">
      <c r="A135" s="623">
        <f ca="1">IFERROR(__xludf.DUMMYFUNCTION("""COMPUTED_VALUE"""),134)</f>
        <v>134</v>
      </c>
      <c r="B135" s="624">
        <f ca="1">IFERROR(__xludf.DUMMYFUNCTION("""COMPUTED_VALUE"""),2467)</f>
        <v>2467</v>
      </c>
      <c r="C135" s="624" t="str">
        <f ca="1">IFERROR(__xludf.DUMMYFUNCTION("""COMPUTED_VALUE"""),"志聖")</f>
        <v>志聖</v>
      </c>
      <c r="D135" s="630">
        <f ca="1">IFERROR(__xludf.DUMMYFUNCTION("""COMPUTED_VALUE"""),0.000534)</f>
        <v>5.3399999999999997E-4</v>
      </c>
      <c r="E135" s="623">
        <f ca="1">IFERROR(__xludf.DUMMYFUNCTION("""COMPUTED_VALUE"""),668)</f>
        <v>668</v>
      </c>
      <c r="F135" s="624">
        <f ca="1">IFERROR(__xludf.DUMMYFUNCTION("""COMPUTED_VALUE"""),2405)</f>
        <v>2405</v>
      </c>
      <c r="G135" s="624" t="str">
        <f ca="1">IFERROR(__xludf.DUMMYFUNCTION("""COMPUTED_VALUE"""),"輔信")</f>
        <v>輔信</v>
      </c>
      <c r="H135" s="632">
        <f ca="1">IFERROR(__xludf.DUMMYFUNCTION("""COMPUTED_VALUE"""),0.000039)</f>
        <v>3.8999999999999999E-5</v>
      </c>
      <c r="I135" s="62"/>
      <c r="J135" s="62"/>
      <c r="K135" s="63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</row>
    <row r="136" spans="1:41" ht="15.5">
      <c r="A136" s="623">
        <f ca="1">IFERROR(__xludf.DUMMYFUNCTION("""COMPUTED_VALUE"""),135)</f>
        <v>135</v>
      </c>
      <c r="B136" s="624">
        <f ca="1">IFERROR(__xludf.DUMMYFUNCTION("""COMPUTED_VALUE"""),3026)</f>
        <v>3026</v>
      </c>
      <c r="C136" s="624" t="str">
        <f ca="1">IFERROR(__xludf.DUMMYFUNCTION("""COMPUTED_VALUE"""),"禾伸堂")</f>
        <v>禾伸堂</v>
      </c>
      <c r="D136" s="630">
        <f ca="1">IFERROR(__xludf.DUMMYFUNCTION("""COMPUTED_VALUE"""),0.000532)</f>
        <v>5.3200000000000003E-4</v>
      </c>
      <c r="E136" s="623">
        <f ca="1">IFERROR(__xludf.DUMMYFUNCTION("""COMPUTED_VALUE"""),669)</f>
        <v>669</v>
      </c>
      <c r="F136" s="624">
        <f ca="1">IFERROR(__xludf.DUMMYFUNCTION("""COMPUTED_VALUE"""),8249)</f>
        <v>8249</v>
      </c>
      <c r="G136" s="624" t="str">
        <f ca="1">IFERROR(__xludf.DUMMYFUNCTION("""COMPUTED_VALUE"""),"菱光")</f>
        <v>菱光</v>
      </c>
      <c r="H136" s="632">
        <f ca="1">IFERROR(__xludf.DUMMYFUNCTION("""COMPUTED_VALUE"""),0.000039)</f>
        <v>3.8999999999999999E-5</v>
      </c>
      <c r="I136" s="62"/>
      <c r="J136" s="62"/>
      <c r="K136" s="63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</row>
    <row r="137" spans="1:41" ht="15.5">
      <c r="A137" s="623">
        <f ca="1">IFERROR(__xludf.DUMMYFUNCTION("""COMPUTED_VALUE"""),136)</f>
        <v>136</v>
      </c>
      <c r="B137" s="624">
        <f ca="1">IFERROR(__xludf.DUMMYFUNCTION("""COMPUTED_VALUE"""),6005)</f>
        <v>6005</v>
      </c>
      <c r="C137" s="624" t="str">
        <f ca="1">IFERROR(__xludf.DUMMYFUNCTION("""COMPUTED_VALUE"""),"群益證")</f>
        <v>群益證</v>
      </c>
      <c r="D137" s="630">
        <f ca="1">IFERROR(__xludf.DUMMYFUNCTION("""COMPUTED_VALUE"""),0.000529)</f>
        <v>5.2899999999999996E-4</v>
      </c>
      <c r="E137" s="623">
        <f ca="1">IFERROR(__xludf.DUMMYFUNCTION("""COMPUTED_VALUE"""),670)</f>
        <v>670</v>
      </c>
      <c r="F137" s="624">
        <f ca="1">IFERROR(__xludf.DUMMYFUNCTION("""COMPUTED_VALUE"""),4912)</f>
        <v>4912</v>
      </c>
      <c r="G137" s="624" t="str">
        <f ca="1">IFERROR(__xludf.DUMMYFUNCTION("""COMPUTED_VALUE"""),"聯德控股-KY")</f>
        <v>聯德控股-KY</v>
      </c>
      <c r="H137" s="632">
        <f ca="1">IFERROR(__xludf.DUMMYFUNCTION("""COMPUTED_VALUE"""),0.000039)</f>
        <v>3.8999999999999999E-5</v>
      </c>
      <c r="I137" s="62"/>
      <c r="J137" s="62"/>
      <c r="K137" s="63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</row>
    <row r="138" spans="1:41" ht="15.5">
      <c r="A138" s="623">
        <f ca="1">IFERROR(__xludf.DUMMYFUNCTION("""COMPUTED_VALUE"""),137)</f>
        <v>137</v>
      </c>
      <c r="B138" s="624">
        <f ca="1">IFERROR(__xludf.DUMMYFUNCTION("""COMPUTED_VALUE"""),1229)</f>
        <v>1229</v>
      </c>
      <c r="C138" s="624" t="str">
        <f ca="1">IFERROR(__xludf.DUMMYFUNCTION("""COMPUTED_VALUE"""),"聯華")</f>
        <v>聯華</v>
      </c>
      <c r="D138" s="630">
        <f ca="1">IFERROR(__xludf.DUMMYFUNCTION("""COMPUTED_VALUE"""),0.000526)</f>
        <v>5.2599999999999999E-4</v>
      </c>
      <c r="E138" s="623">
        <f ca="1">IFERROR(__xludf.DUMMYFUNCTION("""COMPUTED_VALUE"""),671)</f>
        <v>671</v>
      </c>
      <c r="F138" s="624">
        <f ca="1">IFERROR(__xludf.DUMMYFUNCTION("""COMPUTED_VALUE"""),4976)</f>
        <v>4976</v>
      </c>
      <c r="G138" s="624" t="str">
        <f ca="1">IFERROR(__xludf.DUMMYFUNCTION("""COMPUTED_VALUE"""),"佳凌")</f>
        <v>佳凌</v>
      </c>
      <c r="H138" s="632">
        <f ca="1">IFERROR(__xludf.DUMMYFUNCTION("""COMPUTED_VALUE"""),0.000038)</f>
        <v>3.8000000000000002E-5</v>
      </c>
      <c r="I138" s="62"/>
      <c r="J138" s="62"/>
      <c r="K138" s="63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</row>
    <row r="139" spans="1:41" ht="15.5">
      <c r="A139" s="623">
        <f ca="1">IFERROR(__xludf.DUMMYFUNCTION("""COMPUTED_VALUE"""),138)</f>
        <v>138</v>
      </c>
      <c r="B139" s="624">
        <f ca="1">IFERROR(__xludf.DUMMYFUNCTION("""COMPUTED_VALUE"""),7610)</f>
        <v>7610</v>
      </c>
      <c r="C139" s="624" t="str">
        <f ca="1">IFERROR(__xludf.DUMMYFUNCTION("""COMPUTED_VALUE"""),"聯友金屬-創")</f>
        <v>聯友金屬-創</v>
      </c>
      <c r="D139" s="630">
        <f ca="1">IFERROR(__xludf.DUMMYFUNCTION("""COMPUTED_VALUE"""),0.000515)</f>
        <v>5.1500000000000005E-4</v>
      </c>
      <c r="E139" s="623">
        <f ca="1">IFERROR(__xludf.DUMMYFUNCTION("""COMPUTED_VALUE"""),672)</f>
        <v>672</v>
      </c>
      <c r="F139" s="624">
        <f ca="1">IFERROR(__xludf.DUMMYFUNCTION("""COMPUTED_VALUE"""),8045)</f>
        <v>8045</v>
      </c>
      <c r="G139" s="624" t="str">
        <f ca="1">IFERROR(__xludf.DUMMYFUNCTION("""COMPUTED_VALUE"""),"達運光電")</f>
        <v>達運光電</v>
      </c>
      <c r="H139" s="632">
        <f ca="1">IFERROR(__xludf.DUMMYFUNCTION("""COMPUTED_VALUE"""),0.000038)</f>
        <v>3.8000000000000002E-5</v>
      </c>
      <c r="I139" s="62"/>
      <c r="J139" s="62"/>
      <c r="K139" s="63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</row>
    <row r="140" spans="1:41" ht="15.5">
      <c r="A140" s="623">
        <f ca="1">IFERROR(__xludf.DUMMYFUNCTION("""COMPUTED_VALUE"""),139)</f>
        <v>139</v>
      </c>
      <c r="B140" s="624">
        <f ca="1">IFERROR(__xludf.DUMMYFUNCTION("""COMPUTED_VALUE"""),6944)</f>
        <v>6944</v>
      </c>
      <c r="C140" s="624" t="str">
        <f ca="1">IFERROR(__xludf.DUMMYFUNCTION("""COMPUTED_VALUE"""),"兆聯實業")</f>
        <v>兆聯實業</v>
      </c>
      <c r="D140" s="630">
        <f ca="1">IFERROR(__xludf.DUMMYFUNCTION("""COMPUTED_VALUE"""),0.000512)</f>
        <v>5.1199999999999998E-4</v>
      </c>
      <c r="E140" s="623">
        <f ca="1">IFERROR(__xludf.DUMMYFUNCTION("""COMPUTED_VALUE"""),673)</f>
        <v>673</v>
      </c>
      <c r="F140" s="624">
        <f ca="1">IFERROR(__xludf.DUMMYFUNCTION("""COMPUTED_VALUE"""),7736)</f>
        <v>7736</v>
      </c>
      <c r="G140" s="624" t="str">
        <f ca="1">IFERROR(__xludf.DUMMYFUNCTION("""COMPUTED_VALUE"""),"虎山")</f>
        <v>虎山</v>
      </c>
      <c r="H140" s="632">
        <f ca="1">IFERROR(__xludf.DUMMYFUNCTION("""COMPUTED_VALUE"""),0.000038)</f>
        <v>3.8000000000000002E-5</v>
      </c>
      <c r="I140" s="62"/>
      <c r="J140" s="62"/>
      <c r="K140" s="63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</row>
    <row r="141" spans="1:41" ht="15.5">
      <c r="A141" s="623">
        <f ca="1">IFERROR(__xludf.DUMMYFUNCTION("""COMPUTED_VALUE"""),140)</f>
        <v>140</v>
      </c>
      <c r="B141" s="624">
        <f ca="1">IFERROR(__xludf.DUMMYFUNCTION("""COMPUTED_VALUE"""),3005)</f>
        <v>3005</v>
      </c>
      <c r="C141" s="624" t="str">
        <f ca="1">IFERROR(__xludf.DUMMYFUNCTION("""COMPUTED_VALUE"""),"神基")</f>
        <v>神基</v>
      </c>
      <c r="D141" s="630">
        <f ca="1">IFERROR(__xludf.DUMMYFUNCTION("""COMPUTED_VALUE"""),0.000507)</f>
        <v>5.0699999999999996E-4</v>
      </c>
      <c r="E141" s="623">
        <f ca="1">IFERROR(__xludf.DUMMYFUNCTION("""COMPUTED_VALUE"""),674)</f>
        <v>674</v>
      </c>
      <c r="F141" s="624">
        <f ca="1">IFERROR(__xludf.DUMMYFUNCTION("""COMPUTED_VALUE"""),2453)</f>
        <v>2453</v>
      </c>
      <c r="G141" s="624" t="str">
        <f ca="1">IFERROR(__xludf.DUMMYFUNCTION("""COMPUTED_VALUE"""),"凌群")</f>
        <v>凌群</v>
      </c>
      <c r="H141" s="632">
        <f ca="1">IFERROR(__xludf.DUMMYFUNCTION("""COMPUTED_VALUE"""),0.000038)</f>
        <v>3.8000000000000002E-5</v>
      </c>
      <c r="I141" s="62"/>
      <c r="J141" s="62"/>
      <c r="K141" s="63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</row>
    <row r="142" spans="1:41" ht="15.5">
      <c r="A142" s="623">
        <f ca="1">IFERROR(__xludf.DUMMYFUNCTION("""COMPUTED_VALUE"""),141)</f>
        <v>141</v>
      </c>
      <c r="B142" s="624">
        <f ca="1">IFERROR(__xludf.DUMMYFUNCTION("""COMPUTED_VALUE"""),3023)</f>
        <v>3023</v>
      </c>
      <c r="C142" s="624" t="str">
        <f ca="1">IFERROR(__xludf.DUMMYFUNCTION("""COMPUTED_VALUE"""),"信邦")</f>
        <v>信邦</v>
      </c>
      <c r="D142" s="630">
        <f ca="1">IFERROR(__xludf.DUMMYFUNCTION("""COMPUTED_VALUE"""),0.000506)</f>
        <v>5.0600000000000005E-4</v>
      </c>
      <c r="E142" s="623">
        <f ca="1">IFERROR(__xludf.DUMMYFUNCTION("""COMPUTED_VALUE"""),675)</f>
        <v>675</v>
      </c>
      <c r="F142" s="624">
        <f ca="1">IFERROR(__xludf.DUMMYFUNCTION("""COMPUTED_VALUE"""),2497)</f>
        <v>2497</v>
      </c>
      <c r="G142" s="624" t="str">
        <f ca="1">IFERROR(__xludf.DUMMYFUNCTION("""COMPUTED_VALUE"""),"怡利電")</f>
        <v>怡利電</v>
      </c>
      <c r="H142" s="632">
        <f ca="1">IFERROR(__xludf.DUMMYFUNCTION("""COMPUTED_VALUE"""),0.000038)</f>
        <v>3.8000000000000002E-5</v>
      </c>
      <c r="I142" s="62"/>
      <c r="J142" s="62"/>
      <c r="K142" s="63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</row>
    <row r="143" spans="1:41" ht="15.5">
      <c r="A143" s="623">
        <f ca="1">IFERROR(__xludf.DUMMYFUNCTION("""COMPUTED_VALUE"""),142)</f>
        <v>142</v>
      </c>
      <c r="B143" s="624">
        <f ca="1">IFERROR(__xludf.DUMMYFUNCTION("""COMPUTED_VALUE"""),1717)</f>
        <v>1717</v>
      </c>
      <c r="C143" s="624" t="str">
        <f ca="1">IFERROR(__xludf.DUMMYFUNCTION("""COMPUTED_VALUE"""),"長興")</f>
        <v>長興</v>
      </c>
      <c r="D143" s="630">
        <f ca="1">IFERROR(__xludf.DUMMYFUNCTION("""COMPUTED_VALUE"""),0.000505)</f>
        <v>5.0500000000000002E-4</v>
      </c>
      <c r="E143" s="623">
        <f ca="1">IFERROR(__xludf.DUMMYFUNCTION("""COMPUTED_VALUE"""),676)</f>
        <v>676</v>
      </c>
      <c r="F143" s="624">
        <f ca="1">IFERROR(__xludf.DUMMYFUNCTION("""COMPUTED_VALUE"""),1809)</f>
        <v>1809</v>
      </c>
      <c r="G143" s="624" t="str">
        <f ca="1">IFERROR(__xludf.DUMMYFUNCTION("""COMPUTED_VALUE"""),"中釉")</f>
        <v>中釉</v>
      </c>
      <c r="H143" s="632">
        <f ca="1">IFERROR(__xludf.DUMMYFUNCTION("""COMPUTED_VALUE"""),0.000038)</f>
        <v>3.8000000000000002E-5</v>
      </c>
      <c r="I143" s="62"/>
      <c r="J143" s="62"/>
      <c r="K143" s="63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</row>
    <row r="144" spans="1:41" ht="15.5">
      <c r="A144" s="623">
        <f ca="1">IFERROR(__xludf.DUMMYFUNCTION("""COMPUTED_VALUE"""),143)</f>
        <v>143</v>
      </c>
      <c r="B144" s="624">
        <f ca="1">IFERROR(__xludf.DUMMYFUNCTION("""COMPUTED_VALUE"""),9904)</f>
        <v>9904</v>
      </c>
      <c r="C144" s="624" t="str">
        <f ca="1">IFERROR(__xludf.DUMMYFUNCTION("""COMPUTED_VALUE"""),"寶成")</f>
        <v>寶成</v>
      </c>
      <c r="D144" s="630">
        <f ca="1">IFERROR(__xludf.DUMMYFUNCTION("""COMPUTED_VALUE"""),0.000503)</f>
        <v>5.0299999999999997E-4</v>
      </c>
      <c r="E144" s="623">
        <f ca="1">IFERROR(__xludf.DUMMYFUNCTION("""COMPUTED_VALUE"""),677)</f>
        <v>677</v>
      </c>
      <c r="F144" s="624">
        <f ca="1">IFERROR(__xludf.DUMMYFUNCTION("""COMPUTED_VALUE"""),1515)</f>
        <v>1515</v>
      </c>
      <c r="G144" s="624" t="str">
        <f ca="1">IFERROR(__xludf.DUMMYFUNCTION("""COMPUTED_VALUE"""),"力山")</f>
        <v>力山</v>
      </c>
      <c r="H144" s="632">
        <f ca="1">IFERROR(__xludf.DUMMYFUNCTION("""COMPUTED_VALUE"""),0.000037)</f>
        <v>3.6999999999999998E-5</v>
      </c>
      <c r="I144" s="62"/>
      <c r="J144" s="62"/>
      <c r="K144" s="63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</row>
    <row r="145" spans="1:41" ht="15.5">
      <c r="A145" s="623">
        <f ca="1">IFERROR(__xludf.DUMMYFUNCTION("""COMPUTED_VALUE"""),144)</f>
        <v>144</v>
      </c>
      <c r="B145" s="624">
        <f ca="1">IFERROR(__xludf.DUMMYFUNCTION("""COMPUTED_VALUE"""),2855)</f>
        <v>2855</v>
      </c>
      <c r="C145" s="624" t="str">
        <f ca="1">IFERROR(__xludf.DUMMYFUNCTION("""COMPUTED_VALUE"""),"統一證")</f>
        <v>統一證</v>
      </c>
      <c r="D145" s="630">
        <f ca="1">IFERROR(__xludf.DUMMYFUNCTION("""COMPUTED_VALUE"""),0.000494)</f>
        <v>4.9399999999999997E-4</v>
      </c>
      <c r="E145" s="623">
        <f ca="1">IFERROR(__xludf.DUMMYFUNCTION("""COMPUTED_VALUE"""),678)</f>
        <v>678</v>
      </c>
      <c r="F145" s="624">
        <f ca="1">IFERROR(__xludf.DUMMYFUNCTION("""COMPUTED_VALUE"""),2460)</f>
        <v>2460</v>
      </c>
      <c r="G145" s="624" t="str">
        <f ca="1">IFERROR(__xludf.DUMMYFUNCTION("""COMPUTED_VALUE"""),"建通")</f>
        <v>建通</v>
      </c>
      <c r="H145" s="632">
        <f ca="1">IFERROR(__xludf.DUMMYFUNCTION("""COMPUTED_VALUE"""),0.000037)</f>
        <v>3.6999999999999998E-5</v>
      </c>
      <c r="I145" s="62"/>
      <c r="J145" s="62"/>
      <c r="K145" s="63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</row>
    <row r="146" spans="1:41" ht="15.5">
      <c r="A146" s="623">
        <f ca="1">IFERROR(__xludf.DUMMYFUNCTION("""COMPUTED_VALUE"""),145)</f>
        <v>145</v>
      </c>
      <c r="B146" s="624">
        <f ca="1">IFERROR(__xludf.DUMMYFUNCTION("""COMPUTED_VALUE"""),2633)</f>
        <v>2633</v>
      </c>
      <c r="C146" s="624" t="str">
        <f ca="1">IFERROR(__xludf.DUMMYFUNCTION("""COMPUTED_VALUE"""),"台灣高鐵")</f>
        <v>台灣高鐵</v>
      </c>
      <c r="D146" s="630">
        <f ca="1">IFERROR(__xludf.DUMMYFUNCTION("""COMPUTED_VALUE"""),0.000488)</f>
        <v>4.8799999999999999E-4</v>
      </c>
      <c r="E146" s="623">
        <f ca="1">IFERROR(__xludf.DUMMYFUNCTION("""COMPUTED_VALUE"""),679)</f>
        <v>679</v>
      </c>
      <c r="F146" s="624">
        <f ca="1">IFERROR(__xludf.DUMMYFUNCTION("""COMPUTED_VALUE"""),6281)</f>
        <v>6281</v>
      </c>
      <c r="G146" s="624" t="str">
        <f ca="1">IFERROR(__xludf.DUMMYFUNCTION("""COMPUTED_VALUE"""),"全國電")</f>
        <v>全國電</v>
      </c>
      <c r="H146" s="632">
        <f ca="1">IFERROR(__xludf.DUMMYFUNCTION("""COMPUTED_VALUE"""),0.000037)</f>
        <v>3.6999999999999998E-5</v>
      </c>
      <c r="I146" s="62"/>
      <c r="J146" s="62"/>
      <c r="K146" s="63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</row>
    <row r="147" spans="1:41" ht="15.5">
      <c r="A147" s="623">
        <f ca="1">IFERROR(__xludf.DUMMYFUNCTION("""COMPUTED_VALUE"""),146)</f>
        <v>146</v>
      </c>
      <c r="B147" s="624">
        <f ca="1">IFERROR(__xludf.DUMMYFUNCTION("""COMPUTED_VALUE"""),2645)</f>
        <v>2645</v>
      </c>
      <c r="C147" s="624" t="str">
        <f ca="1">IFERROR(__xludf.DUMMYFUNCTION("""COMPUTED_VALUE"""),"長榮航太")</f>
        <v>長榮航太</v>
      </c>
      <c r="D147" s="630">
        <f ca="1">IFERROR(__xludf.DUMMYFUNCTION("""COMPUTED_VALUE"""),0.000488)</f>
        <v>4.8799999999999999E-4</v>
      </c>
      <c r="E147" s="623">
        <f ca="1">IFERROR(__xludf.DUMMYFUNCTION("""COMPUTED_VALUE"""),680)</f>
        <v>680</v>
      </c>
      <c r="F147" s="624">
        <f ca="1">IFERROR(__xludf.DUMMYFUNCTION("""COMPUTED_VALUE"""),4952)</f>
        <v>4952</v>
      </c>
      <c r="G147" s="624" t="str">
        <f ca="1">IFERROR(__xludf.DUMMYFUNCTION("""COMPUTED_VALUE"""),"凌通")</f>
        <v>凌通</v>
      </c>
      <c r="H147" s="632">
        <f ca="1">IFERROR(__xludf.DUMMYFUNCTION("""COMPUTED_VALUE"""),0.000037)</f>
        <v>3.6999999999999998E-5</v>
      </c>
      <c r="I147" s="62"/>
      <c r="J147" s="62"/>
      <c r="K147" s="63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</row>
    <row r="148" spans="1:41" ht="15.5">
      <c r="A148" s="623">
        <f ca="1">IFERROR(__xludf.DUMMYFUNCTION("""COMPUTED_VALUE"""),147)</f>
        <v>147</v>
      </c>
      <c r="B148" s="624">
        <f ca="1">IFERROR(__xludf.DUMMYFUNCTION("""COMPUTED_VALUE"""),9910)</f>
        <v>9910</v>
      </c>
      <c r="C148" s="624" t="str">
        <f ca="1">IFERROR(__xludf.DUMMYFUNCTION("""COMPUTED_VALUE"""),"豐泰")</f>
        <v>豐泰</v>
      </c>
      <c r="D148" s="630">
        <f ca="1">IFERROR(__xludf.DUMMYFUNCTION("""COMPUTED_VALUE"""),0.000481)</f>
        <v>4.8099999999999998E-4</v>
      </c>
      <c r="E148" s="623">
        <f ca="1">IFERROR(__xludf.DUMMYFUNCTION("""COMPUTED_VALUE"""),681)</f>
        <v>681</v>
      </c>
      <c r="F148" s="624">
        <f ca="1">IFERROR(__xludf.DUMMYFUNCTION("""COMPUTED_VALUE"""),4540)</f>
        <v>4540</v>
      </c>
      <c r="G148" s="624" t="str">
        <f ca="1">IFERROR(__xludf.DUMMYFUNCTION("""COMPUTED_VALUE"""),"全球傳動")</f>
        <v>全球傳動</v>
      </c>
      <c r="H148" s="632">
        <f ca="1">IFERROR(__xludf.DUMMYFUNCTION("""COMPUTED_VALUE"""),0.000037)</f>
        <v>3.6999999999999998E-5</v>
      </c>
      <c r="I148" s="62"/>
      <c r="J148" s="62"/>
      <c r="K148" s="63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</row>
    <row r="149" spans="1:41" ht="15.5">
      <c r="A149" s="623">
        <f ca="1">IFERROR(__xludf.DUMMYFUNCTION("""COMPUTED_VALUE"""),148)</f>
        <v>148</v>
      </c>
      <c r="B149" s="624">
        <f ca="1">IFERROR(__xludf.DUMMYFUNCTION("""COMPUTED_VALUE"""),2845)</f>
        <v>2845</v>
      </c>
      <c r="C149" s="624" t="str">
        <f ca="1">IFERROR(__xludf.DUMMYFUNCTION("""COMPUTED_VALUE"""),"遠東銀")</f>
        <v>遠東銀</v>
      </c>
      <c r="D149" s="630">
        <f ca="1">IFERROR(__xludf.DUMMYFUNCTION("""COMPUTED_VALUE"""),0.000468)</f>
        <v>4.6799999999999999E-4</v>
      </c>
      <c r="E149" s="623">
        <f ca="1">IFERROR(__xludf.DUMMYFUNCTION("""COMPUTED_VALUE"""),682)</f>
        <v>682</v>
      </c>
      <c r="F149" s="624">
        <f ca="1">IFERROR(__xludf.DUMMYFUNCTION("""COMPUTED_VALUE"""),3338)</f>
        <v>3338</v>
      </c>
      <c r="G149" s="624" t="str">
        <f ca="1">IFERROR(__xludf.DUMMYFUNCTION("""COMPUTED_VALUE"""),"泰碩")</f>
        <v>泰碩</v>
      </c>
      <c r="H149" s="632">
        <f ca="1">IFERROR(__xludf.DUMMYFUNCTION("""COMPUTED_VALUE"""),0.000036)</f>
        <v>3.6000000000000001E-5</v>
      </c>
      <c r="I149" s="62"/>
      <c r="J149" s="62"/>
      <c r="K149" s="63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</row>
    <row r="150" spans="1:41" ht="15.5">
      <c r="A150" s="623">
        <f ca="1">IFERROR(__xludf.DUMMYFUNCTION("""COMPUTED_VALUE"""),149)</f>
        <v>149</v>
      </c>
      <c r="B150" s="624">
        <f ca="1">IFERROR(__xludf.DUMMYFUNCTION("""COMPUTED_VALUE"""),2646)</f>
        <v>2646</v>
      </c>
      <c r="C150" s="624" t="str">
        <f ca="1">IFERROR(__xludf.DUMMYFUNCTION("""COMPUTED_VALUE"""),"星宇航空")</f>
        <v>星宇航空</v>
      </c>
      <c r="D150" s="630">
        <f ca="1">IFERROR(__xludf.DUMMYFUNCTION("""COMPUTED_VALUE"""),0.000464)</f>
        <v>4.64E-4</v>
      </c>
      <c r="E150" s="623">
        <f ca="1">IFERROR(__xludf.DUMMYFUNCTION("""COMPUTED_VALUE"""),683)</f>
        <v>683</v>
      </c>
      <c r="F150" s="624">
        <f ca="1">IFERROR(__xludf.DUMMYFUNCTION("""COMPUTED_VALUE"""),5203)</f>
        <v>5203</v>
      </c>
      <c r="G150" s="624" t="str">
        <f ca="1">IFERROR(__xludf.DUMMYFUNCTION("""COMPUTED_VALUE"""),"訊連")</f>
        <v>訊連</v>
      </c>
      <c r="H150" s="632">
        <f ca="1">IFERROR(__xludf.DUMMYFUNCTION("""COMPUTED_VALUE"""),0.000036)</f>
        <v>3.6000000000000001E-5</v>
      </c>
      <c r="I150" s="62"/>
      <c r="J150" s="62"/>
      <c r="K150" s="63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</row>
    <row r="151" spans="1:41" ht="15.5">
      <c r="A151" s="623">
        <f ca="1">IFERROR(__xludf.DUMMYFUNCTION("""COMPUTED_VALUE"""),150)</f>
        <v>150</v>
      </c>
      <c r="B151" s="624">
        <f ca="1">IFERROR(__xludf.DUMMYFUNCTION("""COMPUTED_VALUE"""),8454)</f>
        <v>8454</v>
      </c>
      <c r="C151" s="624" t="str">
        <f ca="1">IFERROR(__xludf.DUMMYFUNCTION("""COMPUTED_VALUE"""),"富邦媒")</f>
        <v>富邦媒</v>
      </c>
      <c r="D151" s="630">
        <f ca="1">IFERROR(__xludf.DUMMYFUNCTION("""COMPUTED_VALUE"""),0.000463)</f>
        <v>4.6299999999999998E-4</v>
      </c>
      <c r="E151" s="623">
        <f ca="1">IFERROR(__xludf.DUMMYFUNCTION("""COMPUTED_VALUE"""),684)</f>
        <v>684</v>
      </c>
      <c r="F151" s="624">
        <f ca="1">IFERROR(__xludf.DUMMYFUNCTION("""COMPUTED_VALUE"""),5608)</f>
        <v>5608</v>
      </c>
      <c r="G151" s="624" t="str">
        <f ca="1">IFERROR(__xludf.DUMMYFUNCTION("""COMPUTED_VALUE"""),"四維航")</f>
        <v>四維航</v>
      </c>
      <c r="H151" s="632">
        <f ca="1">IFERROR(__xludf.DUMMYFUNCTION("""COMPUTED_VALUE"""),0.000036)</f>
        <v>3.6000000000000001E-5</v>
      </c>
      <c r="I151" s="62"/>
      <c r="J151" s="62"/>
      <c r="K151" s="63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</row>
    <row r="152" spans="1:41" ht="15.5">
      <c r="A152" s="623">
        <f ca="1">IFERROR(__xludf.DUMMYFUNCTION("""COMPUTED_VALUE"""),151)</f>
        <v>151</v>
      </c>
      <c r="B152" s="624">
        <f ca="1">IFERROR(__xludf.DUMMYFUNCTION("""COMPUTED_VALUE"""),3030)</f>
        <v>3030</v>
      </c>
      <c r="C152" s="624" t="str">
        <f ca="1">IFERROR(__xludf.DUMMYFUNCTION("""COMPUTED_VALUE"""),"德律")</f>
        <v>德律</v>
      </c>
      <c r="D152" s="630">
        <f ca="1">IFERROR(__xludf.DUMMYFUNCTION("""COMPUTED_VALUE"""),0.000452)</f>
        <v>4.5199999999999998E-4</v>
      </c>
      <c r="E152" s="623">
        <f ca="1">IFERROR(__xludf.DUMMYFUNCTION("""COMPUTED_VALUE"""),685)</f>
        <v>685</v>
      </c>
      <c r="F152" s="624">
        <f ca="1">IFERROR(__xludf.DUMMYFUNCTION("""COMPUTED_VALUE"""),6776)</f>
        <v>6776</v>
      </c>
      <c r="G152" s="624" t="str">
        <f ca="1">IFERROR(__xludf.DUMMYFUNCTION("""COMPUTED_VALUE"""),"展碁國際")</f>
        <v>展碁國際</v>
      </c>
      <c r="H152" s="632">
        <f ca="1">IFERROR(__xludf.DUMMYFUNCTION("""COMPUTED_VALUE"""),0.000036)</f>
        <v>3.6000000000000001E-5</v>
      </c>
      <c r="I152" s="62"/>
      <c r="J152" s="62"/>
      <c r="K152" s="63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</row>
    <row r="153" spans="1:41" ht="15.5">
      <c r="A153" s="623">
        <f ca="1">IFERROR(__xludf.DUMMYFUNCTION("""COMPUTED_VALUE"""),152)</f>
        <v>152</v>
      </c>
      <c r="B153" s="624">
        <f ca="1">IFERROR(__xludf.DUMMYFUNCTION("""COMPUTED_VALUE"""),2923)</f>
        <v>2923</v>
      </c>
      <c r="C153" s="624" t="str">
        <f ca="1">IFERROR(__xludf.DUMMYFUNCTION("""COMPUTED_VALUE"""),"鼎固-KY")</f>
        <v>鼎固-KY</v>
      </c>
      <c r="D153" s="630">
        <f ca="1">IFERROR(__xludf.DUMMYFUNCTION("""COMPUTED_VALUE"""),0.000435)</f>
        <v>4.35E-4</v>
      </c>
      <c r="E153" s="623">
        <f ca="1">IFERROR(__xludf.DUMMYFUNCTION("""COMPUTED_VALUE"""),686)</f>
        <v>686</v>
      </c>
      <c r="F153" s="624">
        <f ca="1">IFERROR(__xludf.DUMMYFUNCTION("""COMPUTED_VALUE"""),6658)</f>
        <v>6658</v>
      </c>
      <c r="G153" s="624" t="str">
        <f ca="1">IFERROR(__xludf.DUMMYFUNCTION("""COMPUTED_VALUE"""),"聯策")</f>
        <v>聯策</v>
      </c>
      <c r="H153" s="632">
        <f ca="1">IFERROR(__xludf.DUMMYFUNCTION("""COMPUTED_VALUE"""),0.000036)</f>
        <v>3.6000000000000001E-5</v>
      </c>
      <c r="I153" s="62"/>
      <c r="J153" s="62"/>
      <c r="K153" s="63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</row>
    <row r="154" spans="1:41" ht="15.5">
      <c r="A154" s="623">
        <f ca="1">IFERROR(__xludf.DUMMYFUNCTION("""COMPUTED_VALUE"""),153)</f>
        <v>153</v>
      </c>
      <c r="B154" s="624">
        <f ca="1">IFERROR(__xludf.DUMMYFUNCTION("""COMPUTED_VALUE"""),6414)</f>
        <v>6414</v>
      </c>
      <c r="C154" s="624" t="str">
        <f ca="1">IFERROR(__xludf.DUMMYFUNCTION("""COMPUTED_VALUE"""),"樺漢")</f>
        <v>樺漢</v>
      </c>
      <c r="D154" s="630">
        <f ca="1">IFERROR(__xludf.DUMMYFUNCTION("""COMPUTED_VALUE"""),0.000421)</f>
        <v>4.2099999999999999E-4</v>
      </c>
      <c r="E154" s="623">
        <f ca="1">IFERROR(__xludf.DUMMYFUNCTION("""COMPUTED_VALUE"""),687)</f>
        <v>687</v>
      </c>
      <c r="F154" s="624">
        <f ca="1">IFERROR(__xludf.DUMMYFUNCTION("""COMPUTED_VALUE"""),2514)</f>
        <v>2514</v>
      </c>
      <c r="G154" s="624" t="str">
        <f ca="1">IFERROR(__xludf.DUMMYFUNCTION("""COMPUTED_VALUE"""),"龍邦")</f>
        <v>龍邦</v>
      </c>
      <c r="H154" s="632">
        <f ca="1">IFERROR(__xludf.DUMMYFUNCTION("""COMPUTED_VALUE"""),0.000036)</f>
        <v>3.6000000000000001E-5</v>
      </c>
      <c r="I154" s="62"/>
      <c r="J154" s="62"/>
      <c r="K154" s="63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</row>
    <row r="155" spans="1:41" ht="15.5">
      <c r="A155" s="623">
        <f ca="1">IFERROR(__xludf.DUMMYFUNCTION("""COMPUTED_VALUE"""),154)</f>
        <v>154</v>
      </c>
      <c r="B155" s="624">
        <f ca="1">IFERROR(__xludf.DUMMYFUNCTION("""COMPUTED_VALUE"""),2867)</f>
        <v>2867</v>
      </c>
      <c r="C155" s="624" t="str">
        <f ca="1">IFERROR(__xludf.DUMMYFUNCTION("""COMPUTED_VALUE"""),"三商壽")</f>
        <v>三商壽</v>
      </c>
      <c r="D155" s="630">
        <f ca="1">IFERROR(__xludf.DUMMYFUNCTION("""COMPUTED_VALUE"""),0.000416)</f>
        <v>4.1599999999999997E-4</v>
      </c>
      <c r="E155" s="623">
        <f ca="1">IFERROR(__xludf.DUMMYFUNCTION("""COMPUTED_VALUE"""),688)</f>
        <v>688</v>
      </c>
      <c r="F155" s="624">
        <f ca="1">IFERROR(__xludf.DUMMYFUNCTION("""COMPUTED_VALUE"""),2601)</f>
        <v>2601</v>
      </c>
      <c r="G155" s="624" t="str">
        <f ca="1">IFERROR(__xludf.DUMMYFUNCTION("""COMPUTED_VALUE"""),"益航")</f>
        <v>益航</v>
      </c>
      <c r="H155" s="632">
        <f ca="1">IFERROR(__xludf.DUMMYFUNCTION("""COMPUTED_VALUE"""),0.000036)</f>
        <v>3.6000000000000001E-5</v>
      </c>
      <c r="I155" s="62"/>
      <c r="J155" s="62"/>
      <c r="K155" s="63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</row>
    <row r="156" spans="1:41" ht="15.5">
      <c r="A156" s="623">
        <f ca="1">IFERROR(__xludf.DUMMYFUNCTION("""COMPUTED_VALUE"""),155)</f>
        <v>155</v>
      </c>
      <c r="B156" s="624">
        <f ca="1">IFERROR(__xludf.DUMMYFUNCTION("""COMPUTED_VALUE"""),2637)</f>
        <v>2637</v>
      </c>
      <c r="C156" s="624" t="str">
        <f ca="1">IFERROR(__xludf.DUMMYFUNCTION("""COMPUTED_VALUE"""),"慧洋-KY")</f>
        <v>慧洋-KY</v>
      </c>
      <c r="D156" s="630">
        <f ca="1">IFERROR(__xludf.DUMMYFUNCTION("""COMPUTED_VALUE"""),0.000416)</f>
        <v>4.1599999999999997E-4</v>
      </c>
      <c r="E156" s="623">
        <f ca="1">IFERROR(__xludf.DUMMYFUNCTION("""COMPUTED_VALUE"""),689)</f>
        <v>689</v>
      </c>
      <c r="F156" s="624">
        <f ca="1">IFERROR(__xludf.DUMMYFUNCTION("""COMPUTED_VALUE"""),1525)</f>
        <v>1525</v>
      </c>
      <c r="G156" s="624" t="str">
        <f ca="1">IFERROR(__xludf.DUMMYFUNCTION("""COMPUTED_VALUE"""),"江申")</f>
        <v>江申</v>
      </c>
      <c r="H156" s="632">
        <f ca="1">IFERROR(__xludf.DUMMYFUNCTION("""COMPUTED_VALUE"""),0.000036)</f>
        <v>3.6000000000000001E-5</v>
      </c>
      <c r="I156" s="62"/>
      <c r="J156" s="62"/>
      <c r="K156" s="63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</row>
    <row r="157" spans="1:41" ht="15.5">
      <c r="A157" s="623">
        <f ca="1">IFERROR(__xludf.DUMMYFUNCTION("""COMPUTED_VALUE"""),156)</f>
        <v>156</v>
      </c>
      <c r="B157" s="624">
        <f ca="1">IFERROR(__xludf.DUMMYFUNCTION("""COMPUTED_VALUE"""),2634)</f>
        <v>2634</v>
      </c>
      <c r="C157" s="624" t="str">
        <f ca="1">IFERROR(__xludf.DUMMYFUNCTION("""COMPUTED_VALUE"""),"漢翔")</f>
        <v>漢翔</v>
      </c>
      <c r="D157" s="630">
        <f ca="1">IFERROR(__xludf.DUMMYFUNCTION("""COMPUTED_VALUE"""),0.000415)</f>
        <v>4.15E-4</v>
      </c>
      <c r="E157" s="623">
        <f ca="1">IFERROR(__xludf.DUMMYFUNCTION("""COMPUTED_VALUE"""),690)</f>
        <v>690</v>
      </c>
      <c r="F157" s="624">
        <f ca="1">IFERROR(__xludf.DUMMYFUNCTION("""COMPUTED_VALUE"""),2028)</f>
        <v>2028</v>
      </c>
      <c r="G157" s="624" t="str">
        <f ca="1">IFERROR(__xludf.DUMMYFUNCTION("""COMPUTED_VALUE"""),"威致")</f>
        <v>威致</v>
      </c>
      <c r="H157" s="632">
        <f ca="1">IFERROR(__xludf.DUMMYFUNCTION("""COMPUTED_VALUE"""),0.000036)</f>
        <v>3.6000000000000001E-5</v>
      </c>
      <c r="I157" s="62"/>
      <c r="J157" s="62"/>
      <c r="K157" s="63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</row>
    <row r="158" spans="1:41" ht="15.5">
      <c r="A158" s="623">
        <f ca="1">IFERROR(__xludf.DUMMYFUNCTION("""COMPUTED_VALUE"""),157)</f>
        <v>157</v>
      </c>
      <c r="B158" s="624">
        <f ca="1">IFERROR(__xludf.DUMMYFUNCTION("""COMPUTED_VALUE"""),2915)</f>
        <v>2915</v>
      </c>
      <c r="C158" s="624" t="str">
        <f ca="1">IFERROR(__xludf.DUMMYFUNCTION("""COMPUTED_VALUE"""),"潤泰全")</f>
        <v>潤泰全</v>
      </c>
      <c r="D158" s="630">
        <f ca="1">IFERROR(__xludf.DUMMYFUNCTION("""COMPUTED_VALUE"""),0.00041)</f>
        <v>4.0999999999999999E-4</v>
      </c>
      <c r="E158" s="623">
        <f ca="1">IFERROR(__xludf.DUMMYFUNCTION("""COMPUTED_VALUE"""),691)</f>
        <v>691</v>
      </c>
      <c r="F158" s="624">
        <f ca="1">IFERROR(__xludf.DUMMYFUNCTION("""COMPUTED_VALUE"""),1760)</f>
        <v>1760</v>
      </c>
      <c r="G158" s="624" t="str">
        <f ca="1">IFERROR(__xludf.DUMMYFUNCTION("""COMPUTED_VALUE"""),"寶齡富錦")</f>
        <v>寶齡富錦</v>
      </c>
      <c r="H158" s="632">
        <f ca="1">IFERROR(__xludf.DUMMYFUNCTION("""COMPUTED_VALUE"""),0.000036)</f>
        <v>3.6000000000000001E-5</v>
      </c>
      <c r="I158" s="62"/>
      <c r="J158" s="62"/>
      <c r="K158" s="63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</row>
    <row r="159" spans="1:41" ht="15.5">
      <c r="A159" s="623">
        <f ca="1">IFERROR(__xludf.DUMMYFUNCTION("""COMPUTED_VALUE"""),158)</f>
        <v>158</v>
      </c>
      <c r="B159" s="624">
        <f ca="1">IFERROR(__xludf.DUMMYFUNCTION("""COMPUTED_VALUE"""),2540)</f>
        <v>2540</v>
      </c>
      <c r="C159" s="624" t="str">
        <f ca="1">IFERROR(__xludf.DUMMYFUNCTION("""COMPUTED_VALUE"""),"愛山林")</f>
        <v>愛山林</v>
      </c>
      <c r="D159" s="630">
        <f ca="1">IFERROR(__xludf.DUMMYFUNCTION("""COMPUTED_VALUE"""),0.00041)</f>
        <v>4.0999999999999999E-4</v>
      </c>
      <c r="E159" s="623">
        <f ca="1">IFERROR(__xludf.DUMMYFUNCTION("""COMPUTED_VALUE"""),692)</f>
        <v>692</v>
      </c>
      <c r="F159" s="624">
        <f ca="1">IFERROR(__xludf.DUMMYFUNCTION("""COMPUTED_VALUE"""),2342)</f>
        <v>2342</v>
      </c>
      <c r="G159" s="624" t="str">
        <f ca="1">IFERROR(__xludf.DUMMYFUNCTION("""COMPUTED_VALUE"""),"茂矽")</f>
        <v>茂矽</v>
      </c>
      <c r="H159" s="632">
        <f ca="1">IFERROR(__xludf.DUMMYFUNCTION("""COMPUTED_VALUE"""),0.000036)</f>
        <v>3.6000000000000001E-5</v>
      </c>
      <c r="I159" s="62"/>
      <c r="J159" s="62"/>
      <c r="K159" s="63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</row>
    <row r="160" spans="1:41" ht="15.5">
      <c r="A160" s="623">
        <f ca="1">IFERROR(__xludf.DUMMYFUNCTION("""COMPUTED_VALUE"""),159)</f>
        <v>159</v>
      </c>
      <c r="B160" s="624">
        <f ca="1">IFERROR(__xludf.DUMMYFUNCTION("""COMPUTED_VALUE"""),2441)</f>
        <v>2441</v>
      </c>
      <c r="C160" s="624" t="str">
        <f ca="1">IFERROR(__xludf.DUMMYFUNCTION("""COMPUTED_VALUE"""),"超豐")</f>
        <v>超豐</v>
      </c>
      <c r="D160" s="630">
        <f ca="1">IFERROR(__xludf.DUMMYFUNCTION("""COMPUTED_VALUE"""),0.000407)</f>
        <v>4.0700000000000003E-4</v>
      </c>
      <c r="E160" s="623">
        <f ca="1">IFERROR(__xludf.DUMMYFUNCTION("""COMPUTED_VALUE"""),693)</f>
        <v>693</v>
      </c>
      <c r="F160" s="624">
        <f ca="1">IFERROR(__xludf.DUMMYFUNCTION("""COMPUTED_VALUE"""),1217)</f>
        <v>1217</v>
      </c>
      <c r="G160" s="624" t="str">
        <f ca="1">IFERROR(__xludf.DUMMYFUNCTION("""COMPUTED_VALUE"""),"愛之味")</f>
        <v>愛之味</v>
      </c>
      <c r="H160" s="632">
        <f ca="1">IFERROR(__xludf.DUMMYFUNCTION("""COMPUTED_VALUE"""),0.000035)</f>
        <v>3.4999999999999997E-5</v>
      </c>
      <c r="I160" s="62"/>
      <c r="J160" s="62"/>
      <c r="K160" s="63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</row>
    <row r="161" spans="1:41" ht="15.5">
      <c r="A161" s="623">
        <f ca="1">IFERROR(__xludf.DUMMYFUNCTION("""COMPUTED_VALUE"""),160)</f>
        <v>160</v>
      </c>
      <c r="B161" s="624">
        <f ca="1">IFERROR(__xludf.DUMMYFUNCTION("""COMPUTED_VALUE"""),2889)</f>
        <v>2889</v>
      </c>
      <c r="C161" s="624" t="str">
        <f ca="1">IFERROR(__xludf.DUMMYFUNCTION("""COMPUTED_VALUE"""),"國票金")</f>
        <v>國票金</v>
      </c>
      <c r="D161" s="630">
        <f ca="1">IFERROR(__xludf.DUMMYFUNCTION("""COMPUTED_VALUE"""),0.000404)</f>
        <v>4.0400000000000001E-4</v>
      </c>
      <c r="E161" s="623">
        <f ca="1">IFERROR(__xludf.DUMMYFUNCTION("""COMPUTED_VALUE"""),694)</f>
        <v>694</v>
      </c>
      <c r="F161" s="624">
        <f ca="1">IFERROR(__xludf.DUMMYFUNCTION("""COMPUTED_VALUE"""),1309)</f>
        <v>1309</v>
      </c>
      <c r="G161" s="624" t="str">
        <f ca="1">IFERROR(__xludf.DUMMYFUNCTION("""COMPUTED_VALUE"""),"台達化")</f>
        <v>台達化</v>
      </c>
      <c r="H161" s="632">
        <f ca="1">IFERROR(__xludf.DUMMYFUNCTION("""COMPUTED_VALUE"""),0.000035)</f>
        <v>3.4999999999999997E-5</v>
      </c>
      <c r="I161" s="62"/>
      <c r="J161" s="62"/>
      <c r="K161" s="63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</row>
    <row r="162" spans="1:41" ht="15.5">
      <c r="A162" s="623">
        <f ca="1">IFERROR(__xludf.DUMMYFUNCTION("""COMPUTED_VALUE"""),161)</f>
        <v>161</v>
      </c>
      <c r="B162" s="624">
        <f ca="1">IFERROR(__xludf.DUMMYFUNCTION("""COMPUTED_VALUE"""),2258)</f>
        <v>2258</v>
      </c>
      <c r="C162" s="624" t="str">
        <f ca="1">IFERROR(__xludf.DUMMYFUNCTION("""COMPUTED_VALUE"""),"鴻華先進-創")</f>
        <v>鴻華先進-創</v>
      </c>
      <c r="D162" s="630">
        <f ca="1">IFERROR(__xludf.DUMMYFUNCTION("""COMPUTED_VALUE"""),0.000399)</f>
        <v>3.9899999999999999E-4</v>
      </c>
      <c r="E162" s="623">
        <f ca="1">IFERROR(__xludf.DUMMYFUNCTION("""COMPUTED_VALUE"""),695)</f>
        <v>695</v>
      </c>
      <c r="F162" s="624">
        <f ca="1">IFERROR(__xludf.DUMMYFUNCTION("""COMPUTED_VALUE"""),7821)</f>
        <v>7821</v>
      </c>
      <c r="G162" s="624" t="str">
        <f ca="1">IFERROR(__xludf.DUMMYFUNCTION("""COMPUTED_VALUE"""),"神數")</f>
        <v>神數</v>
      </c>
      <c r="H162" s="632">
        <f ca="1">IFERROR(__xludf.DUMMYFUNCTION("""COMPUTED_VALUE"""),0.000035)</f>
        <v>3.4999999999999997E-5</v>
      </c>
      <c r="I162" s="62"/>
      <c r="J162" s="62"/>
      <c r="K162" s="63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</row>
    <row r="163" spans="1:41" ht="15.5">
      <c r="A163" s="623">
        <f ca="1">IFERROR(__xludf.DUMMYFUNCTION("""COMPUTED_VALUE"""),162)</f>
        <v>162</v>
      </c>
      <c r="B163" s="624">
        <f ca="1">IFERROR(__xludf.DUMMYFUNCTION("""COMPUTED_VALUE"""),7799)</f>
        <v>7799</v>
      </c>
      <c r="C163" s="624" t="str">
        <f ca="1">IFERROR(__xludf.DUMMYFUNCTION("""COMPUTED_VALUE"""),"禾榮科")</f>
        <v>禾榮科</v>
      </c>
      <c r="D163" s="630">
        <f ca="1">IFERROR(__xludf.DUMMYFUNCTION("""COMPUTED_VALUE"""),0.000392)</f>
        <v>3.9199999999999999E-4</v>
      </c>
      <c r="E163" s="623">
        <f ca="1">IFERROR(__xludf.DUMMYFUNCTION("""COMPUTED_VALUE"""),696)</f>
        <v>696</v>
      </c>
      <c r="F163" s="624">
        <f ca="1">IFERROR(__xludf.DUMMYFUNCTION("""COMPUTED_VALUE"""),3266)</f>
        <v>3266</v>
      </c>
      <c r="G163" s="624" t="str">
        <f ca="1">IFERROR(__xludf.DUMMYFUNCTION("""COMPUTED_VALUE"""),"昇陽")</f>
        <v>昇陽</v>
      </c>
      <c r="H163" s="632">
        <f ca="1">IFERROR(__xludf.DUMMYFUNCTION("""COMPUTED_VALUE"""),0.000035)</f>
        <v>3.4999999999999997E-5</v>
      </c>
      <c r="I163" s="62"/>
      <c r="J163" s="62"/>
      <c r="K163" s="63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</row>
    <row r="164" spans="1:41" ht="15.5">
      <c r="A164" s="623">
        <f ca="1">IFERROR(__xludf.DUMMYFUNCTION("""COMPUTED_VALUE"""),163)</f>
        <v>163</v>
      </c>
      <c r="B164" s="624">
        <f ca="1">IFERROR(__xludf.DUMMYFUNCTION("""COMPUTED_VALUE"""),2006)</f>
        <v>2006</v>
      </c>
      <c r="C164" s="624" t="str">
        <f ca="1">IFERROR(__xludf.DUMMYFUNCTION("""COMPUTED_VALUE"""),"東和鋼鐵")</f>
        <v>東和鋼鐵</v>
      </c>
      <c r="D164" s="630">
        <f ca="1">IFERROR(__xludf.DUMMYFUNCTION("""COMPUTED_VALUE"""),0.000388)</f>
        <v>3.88E-4</v>
      </c>
      <c r="E164" s="623">
        <f ca="1">IFERROR(__xludf.DUMMYFUNCTION("""COMPUTED_VALUE"""),697)</f>
        <v>697</v>
      </c>
      <c r="F164" s="624">
        <f ca="1">IFERROR(__xludf.DUMMYFUNCTION("""COMPUTED_VALUE"""),3716)</f>
        <v>3716</v>
      </c>
      <c r="G164" s="624" t="str">
        <f ca="1">IFERROR(__xludf.DUMMYFUNCTION("""COMPUTED_VALUE"""),"中化控股")</f>
        <v>中化控股</v>
      </c>
      <c r="H164" s="632">
        <f ca="1">IFERROR(__xludf.DUMMYFUNCTION("""COMPUTED_VALUE"""),0.000035)</f>
        <v>3.4999999999999997E-5</v>
      </c>
      <c r="I164" s="62"/>
      <c r="J164" s="62"/>
      <c r="K164" s="63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</row>
    <row r="165" spans="1:41" ht="15.5">
      <c r="A165" s="623">
        <f ca="1">IFERROR(__xludf.DUMMYFUNCTION("""COMPUTED_VALUE"""),164)</f>
        <v>164</v>
      </c>
      <c r="B165" s="624">
        <f ca="1">IFERROR(__xludf.DUMMYFUNCTION("""COMPUTED_VALUE"""),1477)</f>
        <v>1477</v>
      </c>
      <c r="C165" s="624" t="str">
        <f ca="1">IFERROR(__xludf.DUMMYFUNCTION("""COMPUTED_VALUE"""),"聚陽")</f>
        <v>聚陽</v>
      </c>
      <c r="D165" s="630">
        <f ca="1">IFERROR(__xludf.DUMMYFUNCTION("""COMPUTED_VALUE"""),0.000386)</f>
        <v>3.86E-4</v>
      </c>
      <c r="E165" s="623">
        <f ca="1">IFERROR(__xludf.DUMMYFUNCTION("""COMPUTED_VALUE"""),698)</f>
        <v>698</v>
      </c>
      <c r="F165" s="624">
        <f ca="1">IFERROR(__xludf.DUMMYFUNCTION("""COMPUTED_VALUE"""),4164)</f>
        <v>4164</v>
      </c>
      <c r="G165" s="624" t="str">
        <f ca="1">IFERROR(__xludf.DUMMYFUNCTION("""COMPUTED_VALUE"""),"承業醫")</f>
        <v>承業醫</v>
      </c>
      <c r="H165" s="632">
        <f ca="1">IFERROR(__xludf.DUMMYFUNCTION("""COMPUTED_VALUE"""),0.000035)</f>
        <v>3.4999999999999997E-5</v>
      </c>
      <c r="I165" s="62"/>
      <c r="J165" s="62"/>
      <c r="K165" s="63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</row>
    <row r="166" spans="1:41" ht="15.5">
      <c r="A166" s="623">
        <f ca="1">IFERROR(__xludf.DUMMYFUNCTION("""COMPUTED_VALUE"""),165)</f>
        <v>165</v>
      </c>
      <c r="B166" s="624">
        <f ca="1">IFERROR(__xludf.DUMMYFUNCTION("""COMPUTED_VALUE"""),3450)</f>
        <v>3450</v>
      </c>
      <c r="C166" s="624" t="str">
        <f ca="1">IFERROR(__xludf.DUMMYFUNCTION("""COMPUTED_VALUE"""),"聯鈞")</f>
        <v>聯鈞</v>
      </c>
      <c r="D166" s="630">
        <f ca="1">IFERROR(__xludf.DUMMYFUNCTION("""COMPUTED_VALUE"""),0.000386)</f>
        <v>3.86E-4</v>
      </c>
      <c r="E166" s="623">
        <f ca="1">IFERROR(__xludf.DUMMYFUNCTION("""COMPUTED_VALUE"""),699)</f>
        <v>699</v>
      </c>
      <c r="F166" s="624">
        <f ca="1">IFERROR(__xludf.DUMMYFUNCTION("""COMPUTED_VALUE"""),4942)</f>
        <v>4942</v>
      </c>
      <c r="G166" s="624" t="str">
        <f ca="1">IFERROR(__xludf.DUMMYFUNCTION("""COMPUTED_VALUE"""),"嘉彰")</f>
        <v>嘉彰</v>
      </c>
      <c r="H166" s="632">
        <f ca="1">IFERROR(__xludf.DUMMYFUNCTION("""COMPUTED_VALUE"""),0.000035)</f>
        <v>3.4999999999999997E-5</v>
      </c>
      <c r="I166" s="62"/>
      <c r="J166" s="62"/>
      <c r="K166" s="63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</row>
    <row r="167" spans="1:41" ht="15.5">
      <c r="A167" s="623">
        <f ca="1">IFERROR(__xludf.DUMMYFUNCTION("""COMPUTED_VALUE"""),166)</f>
        <v>166</v>
      </c>
      <c r="B167" s="624">
        <f ca="1">IFERROR(__xludf.DUMMYFUNCTION("""COMPUTED_VALUE"""),3406)</f>
        <v>3406</v>
      </c>
      <c r="C167" s="624" t="str">
        <f ca="1">IFERROR(__xludf.DUMMYFUNCTION("""COMPUTED_VALUE"""),"玉晶光")</f>
        <v>玉晶光</v>
      </c>
      <c r="D167" s="630">
        <f ca="1">IFERROR(__xludf.DUMMYFUNCTION("""COMPUTED_VALUE"""),0.000386)</f>
        <v>3.86E-4</v>
      </c>
      <c r="E167" s="623">
        <f ca="1">IFERROR(__xludf.DUMMYFUNCTION("""COMPUTED_VALUE"""),700)</f>
        <v>700</v>
      </c>
      <c r="F167" s="624">
        <f ca="1">IFERROR(__xludf.DUMMYFUNCTION("""COMPUTED_VALUE"""),4569)</f>
        <v>4569</v>
      </c>
      <c r="G167" s="624" t="str">
        <f ca="1">IFERROR(__xludf.DUMMYFUNCTION("""COMPUTED_VALUE"""),"六方科-KY")</f>
        <v>六方科-KY</v>
      </c>
      <c r="H167" s="632">
        <f ca="1">IFERROR(__xludf.DUMMYFUNCTION("""COMPUTED_VALUE"""),0.000034)</f>
        <v>3.4E-5</v>
      </c>
      <c r="I167" s="62"/>
      <c r="J167" s="62"/>
      <c r="K167" s="63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</row>
    <row r="168" spans="1:41" ht="15.5">
      <c r="A168" s="623">
        <f ca="1">IFERROR(__xludf.DUMMYFUNCTION("""COMPUTED_VALUE"""),167)</f>
        <v>167</v>
      </c>
      <c r="B168" s="624">
        <f ca="1">IFERROR(__xludf.DUMMYFUNCTION("""COMPUTED_VALUE"""),2455)</f>
        <v>2455</v>
      </c>
      <c r="C168" s="624" t="str">
        <f ca="1">IFERROR(__xludf.DUMMYFUNCTION("""COMPUTED_VALUE"""),"全新")</f>
        <v>全新</v>
      </c>
      <c r="D168" s="630">
        <f ca="1">IFERROR(__xludf.DUMMYFUNCTION("""COMPUTED_VALUE"""),0.000384)</f>
        <v>3.8400000000000001E-4</v>
      </c>
      <c r="E168" s="623">
        <f ca="1">IFERROR(__xludf.DUMMYFUNCTION("""COMPUTED_VALUE"""),701)</f>
        <v>701</v>
      </c>
      <c r="F168" s="624">
        <f ca="1">IFERROR(__xludf.DUMMYFUNCTION("""COMPUTED_VALUE"""),3501)</f>
        <v>3501</v>
      </c>
      <c r="G168" s="624" t="str">
        <f ca="1">IFERROR(__xludf.DUMMYFUNCTION("""COMPUTED_VALUE"""),"維熹")</f>
        <v>維熹</v>
      </c>
      <c r="H168" s="632">
        <f ca="1">IFERROR(__xludf.DUMMYFUNCTION("""COMPUTED_VALUE"""),0.000034)</f>
        <v>3.4E-5</v>
      </c>
      <c r="I168" s="62"/>
      <c r="J168" s="62"/>
      <c r="K168" s="63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</row>
    <row r="169" spans="1:41" ht="15.5">
      <c r="A169" s="623">
        <f ca="1">IFERROR(__xludf.DUMMYFUNCTION("""COMPUTED_VALUE"""),168)</f>
        <v>168</v>
      </c>
      <c r="B169" s="624">
        <f ca="1">IFERROR(__xludf.DUMMYFUNCTION("""COMPUTED_VALUE"""),3006)</f>
        <v>3006</v>
      </c>
      <c r="C169" s="624" t="str">
        <f ca="1">IFERROR(__xludf.DUMMYFUNCTION("""COMPUTED_VALUE"""),"晶豪科")</f>
        <v>晶豪科</v>
      </c>
      <c r="D169" s="630">
        <f ca="1">IFERROR(__xludf.DUMMYFUNCTION("""COMPUTED_VALUE"""),0.000382)</f>
        <v>3.8200000000000002E-4</v>
      </c>
      <c r="E169" s="623">
        <f ca="1">IFERROR(__xludf.DUMMYFUNCTION("""COMPUTED_VALUE"""),702)</f>
        <v>702</v>
      </c>
      <c r="F169" s="624">
        <f ca="1">IFERROR(__xludf.DUMMYFUNCTION("""COMPUTED_VALUE"""),6112)</f>
        <v>6112</v>
      </c>
      <c r="G169" s="624" t="str">
        <f ca="1">IFERROR(__xludf.DUMMYFUNCTION("""COMPUTED_VALUE"""),"邁達特")</f>
        <v>邁達特</v>
      </c>
      <c r="H169" s="632">
        <f ca="1">IFERROR(__xludf.DUMMYFUNCTION("""COMPUTED_VALUE"""),0.000034)</f>
        <v>3.4E-5</v>
      </c>
      <c r="I169" s="62"/>
      <c r="J169" s="62"/>
      <c r="K169" s="63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</row>
    <row r="170" spans="1:41" ht="15.5">
      <c r="A170" s="623">
        <f ca="1">IFERROR(__xludf.DUMMYFUNCTION("""COMPUTED_VALUE"""),169)</f>
        <v>169</v>
      </c>
      <c r="B170" s="624">
        <f ca="1">IFERROR(__xludf.DUMMYFUNCTION("""COMPUTED_VALUE"""),2606)</f>
        <v>2606</v>
      </c>
      <c r="C170" s="624" t="str">
        <f ca="1">IFERROR(__xludf.DUMMYFUNCTION("""COMPUTED_VALUE"""),"裕民")</f>
        <v>裕民</v>
      </c>
      <c r="D170" s="630">
        <f ca="1">IFERROR(__xludf.DUMMYFUNCTION("""COMPUTED_VALUE"""),0.000377)</f>
        <v>3.77E-4</v>
      </c>
      <c r="E170" s="623">
        <f ca="1">IFERROR(__xludf.DUMMYFUNCTION("""COMPUTED_VALUE"""),703)</f>
        <v>703</v>
      </c>
      <c r="F170" s="624">
        <f ca="1">IFERROR(__xludf.DUMMYFUNCTION("""COMPUTED_VALUE"""),5283)</f>
        <v>5283</v>
      </c>
      <c r="G170" s="624" t="str">
        <f ca="1">IFERROR(__xludf.DUMMYFUNCTION("""COMPUTED_VALUE"""),"禾聯碩")</f>
        <v>禾聯碩</v>
      </c>
      <c r="H170" s="632">
        <f ca="1">IFERROR(__xludf.DUMMYFUNCTION("""COMPUTED_VALUE"""),0.000034)</f>
        <v>3.4E-5</v>
      </c>
      <c r="I170" s="62"/>
      <c r="J170" s="62"/>
      <c r="K170" s="63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</row>
    <row r="171" spans="1:41" ht="15.5">
      <c r="A171" s="623">
        <f ca="1">IFERROR(__xludf.DUMMYFUNCTION("""COMPUTED_VALUE"""),170)</f>
        <v>170</v>
      </c>
      <c r="B171" s="624">
        <f ca="1">IFERROR(__xludf.DUMMYFUNCTION("""COMPUTED_VALUE"""),2371)</f>
        <v>2371</v>
      </c>
      <c r="C171" s="624" t="str">
        <f ca="1">IFERROR(__xludf.DUMMYFUNCTION("""COMPUTED_VALUE"""),"大同")</f>
        <v>大同</v>
      </c>
      <c r="D171" s="630">
        <f ca="1">IFERROR(__xludf.DUMMYFUNCTION("""COMPUTED_VALUE"""),0.000372)</f>
        <v>3.7199999999999999E-4</v>
      </c>
      <c r="E171" s="623">
        <f ca="1">IFERROR(__xludf.DUMMYFUNCTION("""COMPUTED_VALUE"""),704)</f>
        <v>704</v>
      </c>
      <c r="F171" s="624">
        <f ca="1">IFERROR(__xludf.DUMMYFUNCTION("""COMPUTED_VALUE"""),5521)</f>
        <v>5521</v>
      </c>
      <c r="G171" s="624" t="str">
        <f ca="1">IFERROR(__xludf.DUMMYFUNCTION("""COMPUTED_VALUE"""),"工信")</f>
        <v>工信</v>
      </c>
      <c r="H171" s="632">
        <f ca="1">IFERROR(__xludf.DUMMYFUNCTION("""COMPUTED_VALUE"""),0.000034)</f>
        <v>3.4E-5</v>
      </c>
      <c r="I171" s="62"/>
      <c r="J171" s="62"/>
      <c r="K171" s="63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</row>
    <row r="172" spans="1:41" ht="15.5">
      <c r="A172" s="623">
        <f ca="1">IFERROR(__xludf.DUMMYFUNCTION("""COMPUTED_VALUE"""),171)</f>
        <v>171</v>
      </c>
      <c r="B172" s="624">
        <f ca="1">IFERROR(__xludf.DUMMYFUNCTION("""COMPUTED_VALUE"""),3583)</f>
        <v>3583</v>
      </c>
      <c r="C172" s="624" t="str">
        <f ca="1">IFERROR(__xludf.DUMMYFUNCTION("""COMPUTED_VALUE"""),"辛耘")</f>
        <v>辛耘</v>
      </c>
      <c r="D172" s="630">
        <f ca="1">IFERROR(__xludf.DUMMYFUNCTION("""COMPUTED_VALUE"""),0.000372)</f>
        <v>3.7199999999999999E-4</v>
      </c>
      <c r="E172" s="623">
        <f ca="1">IFERROR(__xludf.DUMMYFUNCTION("""COMPUTED_VALUE"""),705)</f>
        <v>705</v>
      </c>
      <c r="F172" s="624">
        <f ca="1">IFERROR(__xludf.DUMMYFUNCTION("""COMPUTED_VALUE"""),7791)</f>
        <v>7791</v>
      </c>
      <c r="G172" s="624" t="str">
        <f ca="1">IFERROR(__xludf.DUMMYFUNCTION("""COMPUTED_VALUE"""),"皇家可口")</f>
        <v>皇家可口</v>
      </c>
      <c r="H172" s="632">
        <f ca="1">IFERROR(__xludf.DUMMYFUNCTION("""COMPUTED_VALUE"""),0.000034)</f>
        <v>3.4E-5</v>
      </c>
      <c r="I172" s="62"/>
      <c r="J172" s="62"/>
      <c r="K172" s="63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</row>
    <row r="173" spans="1:41" ht="15.5">
      <c r="A173" s="623">
        <f ca="1">IFERROR(__xludf.DUMMYFUNCTION("""COMPUTED_VALUE"""),172)</f>
        <v>172</v>
      </c>
      <c r="B173" s="624">
        <f ca="1">IFERROR(__xludf.DUMMYFUNCTION("""COMPUTED_VALUE"""),6949)</f>
        <v>6949</v>
      </c>
      <c r="C173" s="624" t="str">
        <f ca="1">IFERROR(__xludf.DUMMYFUNCTION("""COMPUTED_VALUE"""),"沛爾生醫-創")</f>
        <v>沛爾生醫-創</v>
      </c>
      <c r="D173" s="630">
        <f ca="1">IFERROR(__xludf.DUMMYFUNCTION("""COMPUTED_VALUE"""),0.000372)</f>
        <v>3.7199999999999999E-4</v>
      </c>
      <c r="E173" s="623">
        <f ca="1">IFERROR(__xludf.DUMMYFUNCTION("""COMPUTED_VALUE"""),706)</f>
        <v>706</v>
      </c>
      <c r="F173" s="624">
        <f ca="1">IFERROR(__xludf.DUMMYFUNCTION("""COMPUTED_VALUE"""),8467)</f>
        <v>8467</v>
      </c>
      <c r="G173" s="624" t="str">
        <f ca="1">IFERROR(__xludf.DUMMYFUNCTION("""COMPUTED_VALUE"""),"波力-KY")</f>
        <v>波力-KY</v>
      </c>
      <c r="H173" s="632">
        <f ca="1">IFERROR(__xludf.DUMMYFUNCTION("""COMPUTED_VALUE"""),0.000034)</f>
        <v>3.4E-5</v>
      </c>
      <c r="I173" s="62"/>
      <c r="J173" s="62"/>
      <c r="K173" s="63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</row>
    <row r="174" spans="1:41" ht="15.5">
      <c r="A174" s="623">
        <f ca="1">IFERROR(__xludf.DUMMYFUNCTION("""COMPUTED_VALUE"""),173)</f>
        <v>173</v>
      </c>
      <c r="B174" s="624">
        <f ca="1">IFERROR(__xludf.DUMMYFUNCTION("""COMPUTED_VALUE"""),8150)</f>
        <v>8150</v>
      </c>
      <c r="C174" s="624" t="str">
        <f ca="1">IFERROR(__xludf.DUMMYFUNCTION("""COMPUTED_VALUE"""),"南茂")</f>
        <v>南茂</v>
      </c>
      <c r="D174" s="630">
        <f ca="1">IFERROR(__xludf.DUMMYFUNCTION("""COMPUTED_VALUE"""),0.000364)</f>
        <v>3.6400000000000001E-4</v>
      </c>
      <c r="E174" s="623">
        <f ca="1">IFERROR(__xludf.DUMMYFUNCTION("""COMPUTED_VALUE"""),707)</f>
        <v>707</v>
      </c>
      <c r="F174" s="624">
        <f ca="1">IFERROR(__xludf.DUMMYFUNCTION("""COMPUTED_VALUE"""),1108)</f>
        <v>1108</v>
      </c>
      <c r="G174" s="624" t="str">
        <f ca="1">IFERROR(__xludf.DUMMYFUNCTION("""COMPUTED_VALUE"""),"幸福")</f>
        <v>幸福</v>
      </c>
      <c r="H174" s="632">
        <f ca="1">IFERROR(__xludf.DUMMYFUNCTION("""COMPUTED_VALUE"""),0.000034)</f>
        <v>3.4E-5</v>
      </c>
      <c r="I174" s="62"/>
      <c r="J174" s="62"/>
      <c r="K174" s="63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</row>
    <row r="175" spans="1:41" ht="15.5">
      <c r="A175" s="623">
        <f ca="1">IFERROR(__xludf.DUMMYFUNCTION("""COMPUTED_VALUE"""),174)</f>
        <v>174</v>
      </c>
      <c r="B175" s="624">
        <f ca="1">IFERROR(__xludf.DUMMYFUNCTION("""COMPUTED_VALUE"""),2539)</f>
        <v>2539</v>
      </c>
      <c r="C175" s="624" t="str">
        <f ca="1">IFERROR(__xludf.DUMMYFUNCTION("""COMPUTED_VALUE"""),"櫻花建")</f>
        <v>櫻花建</v>
      </c>
      <c r="D175" s="630">
        <f ca="1">IFERROR(__xludf.DUMMYFUNCTION("""COMPUTED_VALUE"""),0.000362)</f>
        <v>3.6200000000000002E-4</v>
      </c>
      <c r="E175" s="623">
        <f ca="1">IFERROR(__xludf.DUMMYFUNCTION("""COMPUTED_VALUE"""),708)</f>
        <v>708</v>
      </c>
      <c r="F175" s="624">
        <f ca="1">IFERROR(__xludf.DUMMYFUNCTION("""COMPUTED_VALUE"""),1109)</f>
        <v>1109</v>
      </c>
      <c r="G175" s="624" t="str">
        <f ca="1">IFERROR(__xludf.DUMMYFUNCTION("""COMPUTED_VALUE"""),"信大")</f>
        <v>信大</v>
      </c>
      <c r="H175" s="632">
        <f ca="1">IFERROR(__xludf.DUMMYFUNCTION("""COMPUTED_VALUE"""),0.000034)</f>
        <v>3.4E-5</v>
      </c>
      <c r="I175" s="62"/>
      <c r="J175" s="62"/>
      <c r="K175" s="63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</row>
    <row r="176" spans="1:41" ht="15.5">
      <c r="A176" s="623">
        <f ca="1">IFERROR(__xludf.DUMMYFUNCTION("""COMPUTED_VALUE"""),175)</f>
        <v>175</v>
      </c>
      <c r="B176" s="624">
        <f ca="1">IFERROR(__xludf.DUMMYFUNCTION("""COMPUTED_VALUE"""),2597)</f>
        <v>2597</v>
      </c>
      <c r="C176" s="624" t="str">
        <f ca="1">IFERROR(__xludf.DUMMYFUNCTION("""COMPUTED_VALUE"""),"潤弘")</f>
        <v>潤弘</v>
      </c>
      <c r="D176" s="630">
        <f ca="1">IFERROR(__xludf.DUMMYFUNCTION("""COMPUTED_VALUE"""),0.000362)</f>
        <v>3.6200000000000002E-4</v>
      </c>
      <c r="E176" s="623">
        <f ca="1">IFERROR(__xludf.DUMMYFUNCTION("""COMPUTED_VALUE"""),709)</f>
        <v>709</v>
      </c>
      <c r="F176" s="624">
        <f ca="1">IFERROR(__xludf.DUMMYFUNCTION("""COMPUTED_VALUE"""),2030)</f>
        <v>2030</v>
      </c>
      <c r="G176" s="624" t="str">
        <f ca="1">IFERROR(__xludf.DUMMYFUNCTION("""COMPUTED_VALUE"""),"彰源")</f>
        <v>彰源</v>
      </c>
      <c r="H176" s="632">
        <f ca="1">IFERROR(__xludf.DUMMYFUNCTION("""COMPUTED_VALUE"""),0.000034)</f>
        <v>3.4E-5</v>
      </c>
      <c r="I176" s="62"/>
      <c r="J176" s="62"/>
      <c r="K176" s="63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</row>
    <row r="177" spans="1:41" ht="15.5">
      <c r="A177" s="623">
        <f ca="1">IFERROR(__xludf.DUMMYFUNCTION("""COMPUTED_VALUE"""),176)</f>
        <v>176</v>
      </c>
      <c r="B177" s="624">
        <f ca="1">IFERROR(__xludf.DUMMYFUNCTION("""COMPUTED_VALUE"""),2850)</f>
        <v>2850</v>
      </c>
      <c r="C177" s="624" t="str">
        <f ca="1">IFERROR(__xludf.DUMMYFUNCTION("""COMPUTED_VALUE"""),"新產")</f>
        <v>新產</v>
      </c>
      <c r="D177" s="630">
        <f ca="1">IFERROR(__xludf.DUMMYFUNCTION("""COMPUTED_VALUE"""),0.000362)</f>
        <v>3.6200000000000002E-4</v>
      </c>
      <c r="E177" s="623">
        <f ca="1">IFERROR(__xludf.DUMMYFUNCTION("""COMPUTED_VALUE"""),710)</f>
        <v>710</v>
      </c>
      <c r="F177" s="624">
        <f ca="1">IFERROR(__xludf.DUMMYFUNCTION("""COMPUTED_VALUE"""),2012)</f>
        <v>2012</v>
      </c>
      <c r="G177" s="624" t="str">
        <f ca="1">IFERROR(__xludf.DUMMYFUNCTION("""COMPUTED_VALUE"""),"春雨")</f>
        <v>春雨</v>
      </c>
      <c r="H177" s="632">
        <f ca="1">IFERROR(__xludf.DUMMYFUNCTION("""COMPUTED_VALUE"""),0.000034)</f>
        <v>3.4E-5</v>
      </c>
      <c r="I177" s="62"/>
      <c r="J177" s="62"/>
      <c r="K177" s="63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</row>
    <row r="178" spans="1:41" ht="15.5">
      <c r="A178" s="623">
        <f ca="1">IFERROR(__xludf.DUMMYFUNCTION("""COMPUTED_VALUE"""),177)</f>
        <v>177</v>
      </c>
      <c r="B178" s="624">
        <f ca="1">IFERROR(__xludf.DUMMYFUNCTION("""COMPUTED_VALUE"""),5522)</f>
        <v>5522</v>
      </c>
      <c r="C178" s="624" t="str">
        <f ca="1">IFERROR(__xludf.DUMMYFUNCTION("""COMPUTED_VALUE"""),"遠雄")</f>
        <v>遠雄</v>
      </c>
      <c r="D178" s="630">
        <f ca="1">IFERROR(__xludf.DUMMYFUNCTION("""COMPUTED_VALUE"""),0.000361)</f>
        <v>3.6099999999999999E-4</v>
      </c>
      <c r="E178" s="623">
        <f ca="1">IFERROR(__xludf.DUMMYFUNCTION("""COMPUTED_VALUE"""),711)</f>
        <v>711</v>
      </c>
      <c r="F178" s="624">
        <f ca="1">IFERROR(__xludf.DUMMYFUNCTION("""COMPUTED_VALUE"""),2413)</f>
        <v>2413</v>
      </c>
      <c r="G178" s="624" t="str">
        <f ca="1">IFERROR(__xludf.DUMMYFUNCTION("""COMPUTED_VALUE"""),"環科")</f>
        <v>環科</v>
      </c>
      <c r="H178" s="632">
        <f ca="1">IFERROR(__xludf.DUMMYFUNCTION("""COMPUTED_VALUE"""),0.000034)</f>
        <v>3.4E-5</v>
      </c>
      <c r="I178" s="62"/>
      <c r="J178" s="62"/>
      <c r="K178" s="63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</row>
    <row r="179" spans="1:41" ht="15.5">
      <c r="A179" s="623">
        <f ca="1">IFERROR(__xludf.DUMMYFUNCTION("""COMPUTED_VALUE"""),178)</f>
        <v>178</v>
      </c>
      <c r="B179" s="624">
        <f ca="1">IFERROR(__xludf.DUMMYFUNCTION("""COMPUTED_VALUE"""),1210)</f>
        <v>1210</v>
      </c>
      <c r="C179" s="624" t="str">
        <f ca="1">IFERROR(__xludf.DUMMYFUNCTION("""COMPUTED_VALUE"""),"大成")</f>
        <v>大成</v>
      </c>
      <c r="D179" s="630">
        <f ca="1">IFERROR(__xludf.DUMMYFUNCTION("""COMPUTED_VALUE"""),0.000357)</f>
        <v>3.57E-4</v>
      </c>
      <c r="E179" s="623">
        <f ca="1">IFERROR(__xludf.DUMMYFUNCTION("""COMPUTED_VALUE"""),712)</f>
        <v>712</v>
      </c>
      <c r="F179" s="624">
        <f ca="1">IFERROR(__xludf.DUMMYFUNCTION("""COMPUTED_VALUE"""),2701)</f>
        <v>2701</v>
      </c>
      <c r="G179" s="624" t="str">
        <f ca="1">IFERROR(__xludf.DUMMYFUNCTION("""COMPUTED_VALUE"""),"萬企")</f>
        <v>萬企</v>
      </c>
      <c r="H179" s="632">
        <f ca="1">IFERROR(__xludf.DUMMYFUNCTION("""COMPUTED_VALUE"""),0.000034)</f>
        <v>3.4E-5</v>
      </c>
      <c r="I179" s="62"/>
      <c r="J179" s="62"/>
      <c r="K179" s="63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</row>
    <row r="180" spans="1:41" ht="15.5">
      <c r="A180" s="623">
        <f ca="1">IFERROR(__xludf.DUMMYFUNCTION("""COMPUTED_VALUE"""),179)</f>
        <v>179</v>
      </c>
      <c r="B180" s="624">
        <f ca="1">IFERROR(__xludf.DUMMYFUNCTION("""COMPUTED_VALUE"""),2206)</f>
        <v>2206</v>
      </c>
      <c r="C180" s="624" t="str">
        <f ca="1">IFERROR(__xludf.DUMMYFUNCTION("""COMPUTED_VALUE"""),"三陽工業")</f>
        <v>三陽工業</v>
      </c>
      <c r="D180" s="630">
        <f ca="1">IFERROR(__xludf.DUMMYFUNCTION("""COMPUTED_VALUE"""),0.000357)</f>
        <v>3.57E-4</v>
      </c>
      <c r="E180" s="623">
        <f ca="1">IFERROR(__xludf.DUMMYFUNCTION("""COMPUTED_VALUE"""),713)</f>
        <v>713</v>
      </c>
      <c r="F180" s="624">
        <f ca="1">IFERROR(__xludf.DUMMYFUNCTION("""COMPUTED_VALUE"""),1527)</f>
        <v>1527</v>
      </c>
      <c r="G180" s="624" t="str">
        <f ca="1">IFERROR(__xludf.DUMMYFUNCTION("""COMPUTED_VALUE"""),"鑽全")</f>
        <v>鑽全</v>
      </c>
      <c r="H180" s="632">
        <f ca="1">IFERROR(__xludf.DUMMYFUNCTION("""COMPUTED_VALUE"""),0.000033)</f>
        <v>3.3000000000000003E-5</v>
      </c>
      <c r="I180" s="62"/>
      <c r="J180" s="62"/>
      <c r="K180" s="63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</row>
    <row r="181" spans="1:41" ht="15.5">
      <c r="A181" s="623">
        <f ca="1">IFERROR(__xludf.DUMMYFUNCTION("""COMPUTED_VALUE"""),180)</f>
        <v>180</v>
      </c>
      <c r="B181" s="624">
        <f ca="1">IFERROR(__xludf.DUMMYFUNCTION("""COMPUTED_VALUE"""),4919)</f>
        <v>4919</v>
      </c>
      <c r="C181" s="624" t="str">
        <f ca="1">IFERROR(__xludf.DUMMYFUNCTION("""COMPUTED_VALUE"""),"新唐")</f>
        <v>新唐</v>
      </c>
      <c r="D181" s="630">
        <f ca="1">IFERROR(__xludf.DUMMYFUNCTION("""COMPUTED_VALUE"""),0.00035)</f>
        <v>3.5E-4</v>
      </c>
      <c r="E181" s="623">
        <f ca="1">IFERROR(__xludf.DUMMYFUNCTION("""COMPUTED_VALUE"""),714)</f>
        <v>714</v>
      </c>
      <c r="F181" s="624">
        <f ca="1">IFERROR(__xludf.DUMMYFUNCTION("""COMPUTED_VALUE"""),1472)</f>
        <v>1472</v>
      </c>
      <c r="G181" s="624" t="str">
        <f ca="1">IFERROR(__xludf.DUMMYFUNCTION("""COMPUTED_VALUE"""),"三洋實業")</f>
        <v>三洋實業</v>
      </c>
      <c r="H181" s="632">
        <f ca="1">IFERROR(__xludf.DUMMYFUNCTION("""COMPUTED_VALUE"""),0.000033)</f>
        <v>3.3000000000000003E-5</v>
      </c>
      <c r="I181" s="62"/>
      <c r="J181" s="62"/>
      <c r="K181" s="63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</row>
    <row r="182" spans="1:41" ht="15.5">
      <c r="A182" s="623">
        <f ca="1">IFERROR(__xludf.DUMMYFUNCTION("""COMPUTED_VALUE"""),181)</f>
        <v>181</v>
      </c>
      <c r="B182" s="624">
        <f ca="1">IFERROR(__xludf.DUMMYFUNCTION("""COMPUTED_VALUE"""),9917)</f>
        <v>9917</v>
      </c>
      <c r="C182" s="624" t="str">
        <f ca="1">IFERROR(__xludf.DUMMYFUNCTION("""COMPUTED_VALUE"""),"中保科")</f>
        <v>中保科</v>
      </c>
      <c r="D182" s="630">
        <f ca="1">IFERROR(__xludf.DUMMYFUNCTION("""COMPUTED_VALUE"""),0.00035)</f>
        <v>3.5E-4</v>
      </c>
      <c r="E182" s="623">
        <f ca="1">IFERROR(__xludf.DUMMYFUNCTION("""COMPUTED_VALUE"""),715)</f>
        <v>715</v>
      </c>
      <c r="F182" s="624">
        <f ca="1">IFERROR(__xludf.DUMMYFUNCTION("""COMPUTED_VALUE"""),1460)</f>
        <v>1460</v>
      </c>
      <c r="G182" s="624" t="str">
        <f ca="1">IFERROR(__xludf.DUMMYFUNCTION("""COMPUTED_VALUE"""),"宏遠")</f>
        <v>宏遠</v>
      </c>
      <c r="H182" s="632">
        <f ca="1">IFERROR(__xludf.DUMMYFUNCTION("""COMPUTED_VALUE"""),0.000033)</f>
        <v>3.3000000000000003E-5</v>
      </c>
      <c r="I182" s="62"/>
      <c r="J182" s="62"/>
      <c r="K182" s="63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</row>
    <row r="183" spans="1:41" ht="15.5">
      <c r="A183" s="623">
        <f ca="1">IFERROR(__xludf.DUMMYFUNCTION("""COMPUTED_VALUE"""),182)</f>
        <v>182</v>
      </c>
      <c r="B183" s="624">
        <f ca="1">IFERROR(__xludf.DUMMYFUNCTION("""COMPUTED_VALUE"""),8926)</f>
        <v>8926</v>
      </c>
      <c r="C183" s="624" t="str">
        <f ca="1">IFERROR(__xludf.DUMMYFUNCTION("""COMPUTED_VALUE"""),"台汽電")</f>
        <v>台汽電</v>
      </c>
      <c r="D183" s="630">
        <f ca="1">IFERROR(__xludf.DUMMYFUNCTION("""COMPUTED_VALUE"""),0.000349)</f>
        <v>3.4900000000000003E-4</v>
      </c>
      <c r="E183" s="623">
        <f ca="1">IFERROR(__xludf.DUMMYFUNCTION("""COMPUTED_VALUE"""),716)</f>
        <v>716</v>
      </c>
      <c r="F183" s="624">
        <f ca="1">IFERROR(__xludf.DUMMYFUNCTION("""COMPUTED_VALUE"""),3356)</f>
        <v>3356</v>
      </c>
      <c r="G183" s="624" t="str">
        <f ca="1">IFERROR(__xludf.DUMMYFUNCTION("""COMPUTED_VALUE"""),"奇偶")</f>
        <v>奇偶</v>
      </c>
      <c r="H183" s="632">
        <f ca="1">IFERROR(__xludf.DUMMYFUNCTION("""COMPUTED_VALUE"""),0.000033)</f>
        <v>3.3000000000000003E-5</v>
      </c>
      <c r="I183" s="62"/>
      <c r="J183" s="62"/>
      <c r="K183" s="63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</row>
    <row r="184" spans="1:41" ht="15.5">
      <c r="A184" s="623">
        <f ca="1">IFERROR(__xludf.DUMMYFUNCTION("""COMPUTED_VALUE"""),183)</f>
        <v>183</v>
      </c>
      <c r="B184" s="624">
        <f ca="1">IFERROR(__xludf.DUMMYFUNCTION("""COMPUTED_VALUE"""),6472)</f>
        <v>6472</v>
      </c>
      <c r="C184" s="624" t="str">
        <f ca="1">IFERROR(__xludf.DUMMYFUNCTION("""COMPUTED_VALUE"""),"保瑞")</f>
        <v>保瑞</v>
      </c>
      <c r="D184" s="630">
        <f ca="1">IFERROR(__xludf.DUMMYFUNCTION("""COMPUTED_VALUE"""),0.000348)</f>
        <v>3.48E-4</v>
      </c>
      <c r="E184" s="623">
        <f ca="1">IFERROR(__xludf.DUMMYFUNCTION("""COMPUTED_VALUE"""),717)</f>
        <v>717</v>
      </c>
      <c r="F184" s="624">
        <f ca="1">IFERROR(__xludf.DUMMYFUNCTION("""COMPUTED_VALUE"""),3717)</f>
        <v>3717</v>
      </c>
      <c r="G184" s="624" t="str">
        <f ca="1">IFERROR(__xludf.DUMMYFUNCTION("""COMPUTED_VALUE"""),"聯嘉投控")</f>
        <v>聯嘉投控</v>
      </c>
      <c r="H184" s="632">
        <f ca="1">IFERROR(__xludf.DUMMYFUNCTION("""COMPUTED_VALUE"""),0.000033)</f>
        <v>3.3000000000000003E-5</v>
      </c>
      <c r="I184" s="62"/>
      <c r="J184" s="62"/>
      <c r="K184" s="63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</row>
    <row r="185" spans="1:41" ht="15.5">
      <c r="A185" s="623">
        <f ca="1">IFERROR(__xludf.DUMMYFUNCTION("""COMPUTED_VALUE"""),184)</f>
        <v>184</v>
      </c>
      <c r="B185" s="624">
        <f ca="1">IFERROR(__xludf.DUMMYFUNCTION("""COMPUTED_VALUE"""),1907)</f>
        <v>1907</v>
      </c>
      <c r="C185" s="624" t="str">
        <f ca="1">IFERROR(__xludf.DUMMYFUNCTION("""COMPUTED_VALUE"""),"永豐餘")</f>
        <v>永豐餘</v>
      </c>
      <c r="D185" s="630">
        <f ca="1">IFERROR(__xludf.DUMMYFUNCTION("""COMPUTED_VALUE"""),0.000343)</f>
        <v>3.4299999999999999E-4</v>
      </c>
      <c r="E185" s="623">
        <f ca="1">IFERROR(__xludf.DUMMYFUNCTION("""COMPUTED_VALUE"""),718)</f>
        <v>718</v>
      </c>
      <c r="F185" s="624">
        <f ca="1">IFERROR(__xludf.DUMMYFUNCTION("""COMPUTED_VALUE"""),3712)</f>
        <v>3712</v>
      </c>
      <c r="G185" s="624" t="str">
        <f ca="1">IFERROR(__xludf.DUMMYFUNCTION("""COMPUTED_VALUE"""),"永崴投控")</f>
        <v>永崴投控</v>
      </c>
      <c r="H185" s="632">
        <f ca="1">IFERROR(__xludf.DUMMYFUNCTION("""COMPUTED_VALUE"""),0.000032)</f>
        <v>3.1999999999999999E-5</v>
      </c>
      <c r="I185" s="62"/>
      <c r="J185" s="62"/>
      <c r="K185" s="63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</row>
    <row r="186" spans="1:41" ht="15.5">
      <c r="A186" s="623">
        <f ca="1">IFERROR(__xludf.DUMMYFUNCTION("""COMPUTED_VALUE"""),185)</f>
        <v>185</v>
      </c>
      <c r="B186" s="624">
        <f ca="1">IFERROR(__xludf.DUMMYFUNCTION("""COMPUTED_VALUE"""),4763)</f>
        <v>4763</v>
      </c>
      <c r="C186" s="624" t="str">
        <f ca="1">IFERROR(__xludf.DUMMYFUNCTION("""COMPUTED_VALUE"""),"材料*-KY")</f>
        <v>材料*-KY</v>
      </c>
      <c r="D186" s="630">
        <f ca="1">IFERROR(__xludf.DUMMYFUNCTION("""COMPUTED_VALUE"""),0.00034)</f>
        <v>3.4000000000000002E-4</v>
      </c>
      <c r="E186" s="623">
        <f ca="1">IFERROR(__xludf.DUMMYFUNCTION("""COMPUTED_VALUE"""),719)</f>
        <v>719</v>
      </c>
      <c r="F186" s="624">
        <f ca="1">IFERROR(__xludf.DUMMYFUNCTION("""COMPUTED_VALUE"""),4935)</f>
        <v>4935</v>
      </c>
      <c r="G186" s="624" t="str">
        <f ca="1">IFERROR(__xludf.DUMMYFUNCTION("""COMPUTED_VALUE"""),"茂林-KY")</f>
        <v>茂林-KY</v>
      </c>
      <c r="H186" s="632">
        <f ca="1">IFERROR(__xludf.DUMMYFUNCTION("""COMPUTED_VALUE"""),0.000032)</f>
        <v>3.1999999999999999E-5</v>
      </c>
      <c r="I186" s="62"/>
      <c r="J186" s="62"/>
      <c r="K186" s="63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</row>
    <row r="187" spans="1:41" ht="15.5">
      <c r="A187" s="623">
        <f ca="1">IFERROR(__xludf.DUMMYFUNCTION("""COMPUTED_VALUE"""),186)</f>
        <v>186</v>
      </c>
      <c r="B187" s="624">
        <f ca="1">IFERROR(__xludf.DUMMYFUNCTION("""COMPUTED_VALUE"""),3042)</f>
        <v>3042</v>
      </c>
      <c r="C187" s="624" t="str">
        <f ca="1">IFERROR(__xludf.DUMMYFUNCTION("""COMPUTED_VALUE"""),"晶技")</f>
        <v>晶技</v>
      </c>
      <c r="D187" s="630">
        <f ca="1">IFERROR(__xludf.DUMMYFUNCTION("""COMPUTED_VALUE"""),0.000338)</f>
        <v>3.3799999999999998E-4</v>
      </c>
      <c r="E187" s="623">
        <f ca="1">IFERROR(__xludf.DUMMYFUNCTION("""COMPUTED_VALUE"""),720)</f>
        <v>720</v>
      </c>
      <c r="F187" s="624">
        <f ca="1">IFERROR(__xludf.DUMMYFUNCTION("""COMPUTED_VALUE"""),6155)</f>
        <v>6155</v>
      </c>
      <c r="G187" s="624" t="str">
        <f ca="1">IFERROR(__xludf.DUMMYFUNCTION("""COMPUTED_VALUE"""),"鈞寶")</f>
        <v>鈞寶</v>
      </c>
      <c r="H187" s="632">
        <f ca="1">IFERROR(__xludf.DUMMYFUNCTION("""COMPUTED_VALUE"""),0.000032)</f>
        <v>3.1999999999999999E-5</v>
      </c>
      <c r="I187" s="62"/>
      <c r="J187" s="62"/>
      <c r="K187" s="63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</row>
    <row r="188" spans="1:41" ht="15.5">
      <c r="A188" s="623">
        <f ca="1">IFERROR(__xludf.DUMMYFUNCTION("""COMPUTED_VALUE"""),187)</f>
        <v>187</v>
      </c>
      <c r="B188" s="624">
        <f ca="1">IFERROR(__xludf.DUMMYFUNCTION("""COMPUTED_VALUE"""),9941)</f>
        <v>9941</v>
      </c>
      <c r="C188" s="624" t="str">
        <f ca="1">IFERROR(__xludf.DUMMYFUNCTION("""COMPUTED_VALUE"""),"裕融")</f>
        <v>裕融</v>
      </c>
      <c r="D188" s="630">
        <f ca="1">IFERROR(__xludf.DUMMYFUNCTION("""COMPUTED_VALUE"""),0.000336)</f>
        <v>3.3599999999999998E-4</v>
      </c>
      <c r="E188" s="623">
        <f ca="1">IFERROR(__xludf.DUMMYFUNCTION("""COMPUTED_VALUE"""),721)</f>
        <v>721</v>
      </c>
      <c r="F188" s="624">
        <f ca="1">IFERROR(__xludf.DUMMYFUNCTION("""COMPUTED_VALUE"""),6224)</f>
        <v>6224</v>
      </c>
      <c r="G188" s="624" t="str">
        <f ca="1">IFERROR(__xludf.DUMMYFUNCTION("""COMPUTED_VALUE"""),"聚鼎")</f>
        <v>聚鼎</v>
      </c>
      <c r="H188" s="632">
        <f ca="1">IFERROR(__xludf.DUMMYFUNCTION("""COMPUTED_VALUE"""),0.000032)</f>
        <v>3.1999999999999999E-5</v>
      </c>
      <c r="I188" s="62"/>
      <c r="J188" s="62"/>
      <c r="K188" s="63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</row>
    <row r="189" spans="1:41" ht="15.5">
      <c r="A189" s="623">
        <f ca="1">IFERROR(__xludf.DUMMYFUNCTION("""COMPUTED_VALUE"""),188)</f>
        <v>188</v>
      </c>
      <c r="B189" s="624">
        <f ca="1">IFERROR(__xludf.DUMMYFUNCTION("""COMPUTED_VALUE"""),8021)</f>
        <v>8021</v>
      </c>
      <c r="C189" s="624" t="str">
        <f ca="1">IFERROR(__xludf.DUMMYFUNCTION("""COMPUTED_VALUE"""),"尖點")</f>
        <v>尖點</v>
      </c>
      <c r="D189" s="630">
        <f ca="1">IFERROR(__xludf.DUMMYFUNCTION("""COMPUTED_VALUE"""),0.000334)</f>
        <v>3.3399999999999999E-4</v>
      </c>
      <c r="E189" s="623">
        <f ca="1">IFERROR(__xludf.DUMMYFUNCTION("""COMPUTED_VALUE"""),722)</f>
        <v>722</v>
      </c>
      <c r="F189" s="624">
        <f ca="1">IFERROR(__xludf.DUMMYFUNCTION("""COMPUTED_VALUE"""),6205)</f>
        <v>6205</v>
      </c>
      <c r="G189" s="624" t="str">
        <f ca="1">IFERROR(__xludf.DUMMYFUNCTION("""COMPUTED_VALUE"""),"詮欣")</f>
        <v>詮欣</v>
      </c>
      <c r="H189" s="632">
        <f ca="1">IFERROR(__xludf.DUMMYFUNCTION("""COMPUTED_VALUE"""),0.000032)</f>
        <v>3.1999999999999999E-5</v>
      </c>
      <c r="I189" s="62"/>
      <c r="J189" s="62"/>
      <c r="K189" s="63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</row>
    <row r="190" spans="1:41" ht="15.5">
      <c r="A190" s="623">
        <f ca="1">IFERROR(__xludf.DUMMYFUNCTION("""COMPUTED_VALUE"""),189)</f>
        <v>189</v>
      </c>
      <c r="B190" s="624">
        <f ca="1">IFERROR(__xludf.DUMMYFUNCTION("""COMPUTED_VALUE"""),1795)</f>
        <v>1795</v>
      </c>
      <c r="C190" s="624" t="str">
        <f ca="1">IFERROR(__xludf.DUMMYFUNCTION("""COMPUTED_VALUE"""),"美時")</f>
        <v>美時</v>
      </c>
      <c r="D190" s="630">
        <f ca="1">IFERROR(__xludf.DUMMYFUNCTION("""COMPUTED_VALUE"""),0.000333)</f>
        <v>3.3300000000000002E-4</v>
      </c>
      <c r="E190" s="623">
        <f ca="1">IFERROR(__xludf.DUMMYFUNCTION("""COMPUTED_VALUE"""),723)</f>
        <v>723</v>
      </c>
      <c r="F190" s="624">
        <f ca="1">IFERROR(__xludf.DUMMYFUNCTION("""COMPUTED_VALUE"""),6477)</f>
        <v>6477</v>
      </c>
      <c r="G190" s="624" t="str">
        <f ca="1">IFERROR(__xludf.DUMMYFUNCTION("""COMPUTED_VALUE"""),"安集")</f>
        <v>安集</v>
      </c>
      <c r="H190" s="632">
        <f ca="1">IFERROR(__xludf.DUMMYFUNCTION("""COMPUTED_VALUE"""),0.000032)</f>
        <v>3.1999999999999999E-5</v>
      </c>
      <c r="I190" s="62"/>
      <c r="J190" s="62"/>
      <c r="K190" s="63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</row>
    <row r="191" spans="1:41" ht="15.5">
      <c r="A191" s="623">
        <f ca="1">IFERROR(__xludf.DUMMYFUNCTION("""COMPUTED_VALUE"""),190)</f>
        <v>190</v>
      </c>
      <c r="B191" s="624">
        <f ca="1">IFERROR(__xludf.DUMMYFUNCTION("""COMPUTED_VALUE"""),2458)</f>
        <v>2458</v>
      </c>
      <c r="C191" s="624" t="str">
        <f ca="1">IFERROR(__xludf.DUMMYFUNCTION("""COMPUTED_VALUE"""),"義隆")</f>
        <v>義隆</v>
      </c>
      <c r="D191" s="630">
        <f ca="1">IFERROR(__xludf.DUMMYFUNCTION("""COMPUTED_VALUE"""),0.000327)</f>
        <v>3.2699999999999998E-4</v>
      </c>
      <c r="E191" s="623">
        <f ca="1">IFERROR(__xludf.DUMMYFUNCTION("""COMPUTED_VALUE"""),724)</f>
        <v>724</v>
      </c>
      <c r="F191" s="624">
        <f ca="1">IFERROR(__xludf.DUMMYFUNCTION("""COMPUTED_VALUE"""),6743)</f>
        <v>6743</v>
      </c>
      <c r="G191" s="624" t="str">
        <f ca="1">IFERROR(__xludf.DUMMYFUNCTION("""COMPUTED_VALUE"""),"安普新")</f>
        <v>安普新</v>
      </c>
      <c r="H191" s="632">
        <f ca="1">IFERROR(__xludf.DUMMYFUNCTION("""COMPUTED_VALUE"""),0.000032)</f>
        <v>3.1999999999999999E-5</v>
      </c>
      <c r="I191" s="62"/>
      <c r="J191" s="62"/>
      <c r="K191" s="63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</row>
    <row r="192" spans="1:41" ht="15.5">
      <c r="A192" s="623">
        <f ca="1">IFERROR(__xludf.DUMMYFUNCTION("""COMPUTED_VALUE"""),191)</f>
        <v>191</v>
      </c>
      <c r="B192" s="624">
        <f ca="1">IFERROR(__xludf.DUMMYFUNCTION("""COMPUTED_VALUE"""),8039)</f>
        <v>8039</v>
      </c>
      <c r="C192" s="624" t="str">
        <f ca="1">IFERROR(__xludf.DUMMYFUNCTION("""COMPUTED_VALUE"""),"台虹")</f>
        <v>台虹</v>
      </c>
      <c r="D192" s="630">
        <f ca="1">IFERROR(__xludf.DUMMYFUNCTION("""COMPUTED_VALUE"""),0.000326)</f>
        <v>3.2600000000000001E-4</v>
      </c>
      <c r="E192" s="623">
        <f ca="1">IFERROR(__xludf.DUMMYFUNCTION("""COMPUTED_VALUE"""),725)</f>
        <v>725</v>
      </c>
      <c r="F192" s="624">
        <f ca="1">IFERROR(__xludf.DUMMYFUNCTION("""COMPUTED_VALUE"""),1457)</f>
        <v>1457</v>
      </c>
      <c r="G192" s="624" t="str">
        <f ca="1">IFERROR(__xludf.DUMMYFUNCTION("""COMPUTED_VALUE"""),"宜進")</f>
        <v>宜進</v>
      </c>
      <c r="H192" s="632">
        <f ca="1">IFERROR(__xludf.DUMMYFUNCTION("""COMPUTED_VALUE"""),0.000032)</f>
        <v>3.1999999999999999E-5</v>
      </c>
      <c r="I192" s="62"/>
      <c r="J192" s="62"/>
      <c r="K192" s="63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</row>
    <row r="193" spans="1:41" ht="15.5">
      <c r="A193" s="623">
        <f ca="1">IFERROR(__xludf.DUMMYFUNCTION("""COMPUTED_VALUE"""),192)</f>
        <v>192</v>
      </c>
      <c r="B193" s="624">
        <f ca="1">IFERROR(__xludf.DUMMYFUNCTION("""COMPUTED_VALUE"""),8112)</f>
        <v>8112</v>
      </c>
      <c r="C193" s="624" t="str">
        <f ca="1">IFERROR(__xludf.DUMMYFUNCTION("""COMPUTED_VALUE"""),"至上")</f>
        <v>至上</v>
      </c>
      <c r="D193" s="630">
        <f ca="1">IFERROR(__xludf.DUMMYFUNCTION("""COMPUTED_VALUE"""),0.000323)</f>
        <v>3.2299999999999999E-4</v>
      </c>
      <c r="E193" s="623">
        <f ca="1">IFERROR(__xludf.DUMMYFUNCTION("""COMPUTED_VALUE"""),726)</f>
        <v>726</v>
      </c>
      <c r="F193" s="624">
        <f ca="1">IFERROR(__xludf.DUMMYFUNCTION("""COMPUTED_VALUE"""),1455)</f>
        <v>1455</v>
      </c>
      <c r="G193" s="624" t="str">
        <f ca="1">IFERROR(__xludf.DUMMYFUNCTION("""COMPUTED_VALUE"""),"集盛")</f>
        <v>集盛</v>
      </c>
      <c r="H193" s="632">
        <f ca="1">IFERROR(__xludf.DUMMYFUNCTION("""COMPUTED_VALUE"""),0.000032)</f>
        <v>3.1999999999999999E-5</v>
      </c>
      <c r="I193" s="62"/>
      <c r="J193" s="62"/>
      <c r="K193" s="63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</row>
    <row r="194" spans="1:41" ht="15.5">
      <c r="A194" s="623">
        <f ca="1">IFERROR(__xludf.DUMMYFUNCTION("""COMPUTED_VALUE"""),193)</f>
        <v>193</v>
      </c>
      <c r="B194" s="624">
        <f ca="1">IFERROR(__xludf.DUMMYFUNCTION("""COMPUTED_VALUE"""),2312)</f>
        <v>2312</v>
      </c>
      <c r="C194" s="624" t="str">
        <f ca="1">IFERROR(__xludf.DUMMYFUNCTION("""COMPUTED_VALUE"""),"金寶")</f>
        <v>金寶</v>
      </c>
      <c r="D194" s="630">
        <f ca="1">IFERROR(__xludf.DUMMYFUNCTION("""COMPUTED_VALUE"""),0.000322)</f>
        <v>3.2200000000000002E-4</v>
      </c>
      <c r="E194" s="623">
        <f ca="1">IFERROR(__xludf.DUMMYFUNCTION("""COMPUTED_VALUE"""),727)</f>
        <v>727</v>
      </c>
      <c r="F194" s="624">
        <f ca="1">IFERROR(__xludf.DUMMYFUNCTION("""COMPUTED_VALUE"""),2910)</f>
        <v>2910</v>
      </c>
      <c r="G194" s="624" t="str">
        <f ca="1">IFERROR(__xludf.DUMMYFUNCTION("""COMPUTED_VALUE"""),"統領")</f>
        <v>統領</v>
      </c>
      <c r="H194" s="632">
        <f ca="1">IFERROR(__xludf.DUMMYFUNCTION("""COMPUTED_VALUE"""),0.000032)</f>
        <v>3.1999999999999999E-5</v>
      </c>
      <c r="I194" s="62"/>
      <c r="J194" s="62"/>
      <c r="K194" s="63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</row>
    <row r="195" spans="1:41" ht="15.5">
      <c r="A195" s="623">
        <f ca="1">IFERROR(__xludf.DUMMYFUNCTION("""COMPUTED_VALUE"""),194)</f>
        <v>194</v>
      </c>
      <c r="B195" s="624">
        <f ca="1">IFERROR(__xludf.DUMMYFUNCTION("""COMPUTED_VALUE"""),1773)</f>
        <v>1773</v>
      </c>
      <c r="C195" s="624" t="str">
        <f ca="1">IFERROR(__xludf.DUMMYFUNCTION("""COMPUTED_VALUE"""),"勝一")</f>
        <v>勝一</v>
      </c>
      <c r="D195" s="630">
        <f ca="1">IFERROR(__xludf.DUMMYFUNCTION("""COMPUTED_VALUE"""),0.000321)</f>
        <v>3.21E-4</v>
      </c>
      <c r="E195" s="623">
        <f ca="1">IFERROR(__xludf.DUMMYFUNCTION("""COMPUTED_VALUE"""),728)</f>
        <v>728</v>
      </c>
      <c r="F195" s="624">
        <f ca="1">IFERROR(__xludf.DUMMYFUNCTION("""COMPUTED_VALUE"""),3138)</f>
        <v>3138</v>
      </c>
      <c r="G195" s="624" t="str">
        <f ca="1">IFERROR(__xludf.DUMMYFUNCTION("""COMPUTED_VALUE"""),"耀登")</f>
        <v>耀登</v>
      </c>
      <c r="H195" s="632">
        <f ca="1">IFERROR(__xludf.DUMMYFUNCTION("""COMPUTED_VALUE"""),0.000032)</f>
        <v>3.1999999999999999E-5</v>
      </c>
      <c r="I195" s="62"/>
      <c r="J195" s="62"/>
      <c r="K195" s="63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</row>
    <row r="196" spans="1:41" ht="15.5">
      <c r="A196" s="623">
        <f ca="1">IFERROR(__xludf.DUMMYFUNCTION("""COMPUTED_VALUE"""),195)</f>
        <v>195</v>
      </c>
      <c r="B196" s="624">
        <f ca="1">IFERROR(__xludf.DUMMYFUNCTION("""COMPUTED_VALUE"""),1722)</f>
        <v>1722</v>
      </c>
      <c r="C196" s="624" t="str">
        <f ca="1">IFERROR(__xludf.DUMMYFUNCTION("""COMPUTED_VALUE"""),"台肥")</f>
        <v>台肥</v>
      </c>
      <c r="D196" s="630">
        <f ca="1">IFERROR(__xludf.DUMMYFUNCTION("""COMPUTED_VALUE"""),0.00032)</f>
        <v>3.2000000000000003E-4</v>
      </c>
      <c r="E196" s="623">
        <f ca="1">IFERROR(__xludf.DUMMYFUNCTION("""COMPUTED_VALUE"""),729)</f>
        <v>729</v>
      </c>
      <c r="F196" s="624">
        <f ca="1">IFERROR(__xludf.DUMMYFUNCTION("""COMPUTED_VALUE"""),2425)</f>
        <v>2425</v>
      </c>
      <c r="G196" s="624" t="str">
        <f ca="1">IFERROR(__xludf.DUMMYFUNCTION("""COMPUTED_VALUE"""),"承啟")</f>
        <v>承啟</v>
      </c>
      <c r="H196" s="632">
        <f ca="1">IFERROR(__xludf.DUMMYFUNCTION("""COMPUTED_VALUE"""),0.000032)</f>
        <v>3.1999999999999999E-5</v>
      </c>
      <c r="I196" s="62"/>
      <c r="J196" s="62"/>
      <c r="K196" s="63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</row>
    <row r="197" spans="1:41" ht="15.5">
      <c r="A197" s="623">
        <f ca="1">IFERROR(__xludf.DUMMYFUNCTION("""COMPUTED_VALUE"""),196)</f>
        <v>196</v>
      </c>
      <c r="B197" s="624">
        <f ca="1">IFERROR(__xludf.DUMMYFUNCTION("""COMPUTED_VALUE"""),2481)</f>
        <v>2481</v>
      </c>
      <c r="C197" s="624" t="str">
        <f ca="1">IFERROR(__xludf.DUMMYFUNCTION("""COMPUTED_VALUE"""),"強茂")</f>
        <v>強茂</v>
      </c>
      <c r="D197" s="630">
        <f ca="1">IFERROR(__xludf.DUMMYFUNCTION("""COMPUTED_VALUE"""),0.00032)</f>
        <v>3.2000000000000003E-4</v>
      </c>
      <c r="E197" s="623">
        <f ca="1">IFERROR(__xludf.DUMMYFUNCTION("""COMPUTED_VALUE"""),730)</f>
        <v>730</v>
      </c>
      <c r="F197" s="624">
        <f ca="1">IFERROR(__xludf.DUMMYFUNCTION("""COMPUTED_VALUE"""),2427)</f>
        <v>2427</v>
      </c>
      <c r="G197" s="624" t="str">
        <f ca="1">IFERROR(__xludf.DUMMYFUNCTION("""COMPUTED_VALUE"""),"三商電")</f>
        <v>三商電</v>
      </c>
      <c r="H197" s="632">
        <f ca="1">IFERROR(__xludf.DUMMYFUNCTION("""COMPUTED_VALUE"""),0.000032)</f>
        <v>3.1999999999999999E-5</v>
      </c>
      <c r="I197" s="62"/>
      <c r="J197" s="62"/>
      <c r="K197" s="63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</row>
    <row r="198" spans="1:41" ht="15.5">
      <c r="A198" s="623">
        <f ca="1">IFERROR(__xludf.DUMMYFUNCTION("""COMPUTED_VALUE"""),197)</f>
        <v>197</v>
      </c>
      <c r="B198" s="624">
        <f ca="1">IFERROR(__xludf.DUMMYFUNCTION("""COMPUTED_VALUE"""),2486)</f>
        <v>2486</v>
      </c>
      <c r="C198" s="624" t="str">
        <f ca="1">IFERROR(__xludf.DUMMYFUNCTION("""COMPUTED_VALUE"""),"一詮")</f>
        <v>一詮</v>
      </c>
      <c r="D198" s="630">
        <f ca="1">IFERROR(__xludf.DUMMYFUNCTION("""COMPUTED_VALUE"""),0.000313)</f>
        <v>3.1300000000000002E-4</v>
      </c>
      <c r="E198" s="623">
        <f ca="1">IFERROR(__xludf.DUMMYFUNCTION("""COMPUTED_VALUE"""),731)</f>
        <v>731</v>
      </c>
      <c r="F198" s="624">
        <f ca="1">IFERROR(__xludf.DUMMYFUNCTION("""COMPUTED_VALUE"""),1464)</f>
        <v>1464</v>
      </c>
      <c r="G198" s="624" t="str">
        <f ca="1">IFERROR(__xludf.DUMMYFUNCTION("""COMPUTED_VALUE"""),"得力")</f>
        <v>得力</v>
      </c>
      <c r="H198" s="632">
        <f ca="1">IFERROR(__xludf.DUMMYFUNCTION("""COMPUTED_VALUE"""),0.000031)</f>
        <v>3.1000000000000001E-5</v>
      </c>
      <c r="I198" s="62"/>
      <c r="J198" s="62"/>
      <c r="K198" s="63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</row>
    <row r="199" spans="1:41" ht="15.5">
      <c r="A199" s="623">
        <f ca="1">IFERROR(__xludf.DUMMYFUNCTION("""COMPUTED_VALUE"""),198)</f>
        <v>198</v>
      </c>
      <c r="B199" s="624">
        <f ca="1">IFERROR(__xludf.DUMMYFUNCTION("""COMPUTED_VALUE"""),8028)</f>
        <v>8028</v>
      </c>
      <c r="C199" s="624" t="str">
        <f ca="1">IFERROR(__xludf.DUMMYFUNCTION("""COMPUTED_VALUE"""),"昇陽半導體")</f>
        <v>昇陽半導體</v>
      </c>
      <c r="D199" s="630">
        <f ca="1">IFERROR(__xludf.DUMMYFUNCTION("""COMPUTED_VALUE"""),0.000313)</f>
        <v>3.1300000000000002E-4</v>
      </c>
      <c r="E199" s="623">
        <f ca="1">IFERROR(__xludf.DUMMYFUNCTION("""COMPUTED_VALUE"""),732)</f>
        <v>732</v>
      </c>
      <c r="F199" s="624">
        <f ca="1">IFERROR(__xludf.DUMMYFUNCTION("""COMPUTED_VALUE"""),1524)</f>
        <v>1524</v>
      </c>
      <c r="G199" s="624" t="str">
        <f ca="1">IFERROR(__xludf.DUMMYFUNCTION("""COMPUTED_VALUE"""),"耿鼎")</f>
        <v>耿鼎</v>
      </c>
      <c r="H199" s="632">
        <f ca="1">IFERROR(__xludf.DUMMYFUNCTION("""COMPUTED_VALUE"""),0.000031)</f>
        <v>3.1000000000000001E-5</v>
      </c>
      <c r="I199" s="62"/>
      <c r="J199" s="62"/>
      <c r="K199" s="63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</row>
    <row r="200" spans="1:41" ht="15.5">
      <c r="A200" s="623">
        <f ca="1">IFERROR(__xludf.DUMMYFUNCTION("""COMPUTED_VALUE"""),199)</f>
        <v>199</v>
      </c>
      <c r="B200" s="624">
        <f ca="1">IFERROR(__xludf.DUMMYFUNCTION("""COMPUTED_VALUE"""),2352)</f>
        <v>2352</v>
      </c>
      <c r="C200" s="624" t="str">
        <f ca="1">IFERROR(__xludf.DUMMYFUNCTION("""COMPUTED_VALUE"""),"佳世達")</f>
        <v>佳世達</v>
      </c>
      <c r="D200" s="630">
        <f ca="1">IFERROR(__xludf.DUMMYFUNCTION("""COMPUTED_VALUE"""),0.000308)</f>
        <v>3.0800000000000001E-4</v>
      </c>
      <c r="E200" s="623">
        <f ca="1">IFERROR(__xludf.DUMMYFUNCTION("""COMPUTED_VALUE"""),733)</f>
        <v>733</v>
      </c>
      <c r="F200" s="624">
        <f ca="1">IFERROR(__xludf.DUMMYFUNCTION("""COMPUTED_VALUE"""),6625)</f>
        <v>6625</v>
      </c>
      <c r="G200" s="624" t="str">
        <f ca="1">IFERROR(__xludf.DUMMYFUNCTION("""COMPUTED_VALUE"""),"必應")</f>
        <v>必應</v>
      </c>
      <c r="H200" s="632">
        <f ca="1">IFERROR(__xludf.DUMMYFUNCTION("""COMPUTED_VALUE"""),0.000031)</f>
        <v>3.1000000000000001E-5</v>
      </c>
      <c r="I200" s="62"/>
      <c r="J200" s="62"/>
      <c r="K200" s="63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</row>
    <row r="201" spans="1:41" ht="15.5">
      <c r="A201" s="623">
        <f ca="1">IFERROR(__xludf.DUMMYFUNCTION("""COMPUTED_VALUE"""),200)</f>
        <v>200</v>
      </c>
      <c r="B201" s="624">
        <f ca="1">IFERROR(__xludf.DUMMYFUNCTION("""COMPUTED_VALUE"""),3167)</f>
        <v>3167</v>
      </c>
      <c r="C201" s="624" t="str">
        <f ca="1">IFERROR(__xludf.DUMMYFUNCTION("""COMPUTED_VALUE"""),"大量")</f>
        <v>大量</v>
      </c>
      <c r="D201" s="630">
        <f ca="1">IFERROR(__xludf.DUMMYFUNCTION("""COMPUTED_VALUE"""),0.000306)</f>
        <v>3.0600000000000001E-4</v>
      </c>
      <c r="E201" s="623">
        <f ca="1">IFERROR(__xludf.DUMMYFUNCTION("""COMPUTED_VALUE"""),734)</f>
        <v>734</v>
      </c>
      <c r="F201" s="624">
        <f ca="1">IFERROR(__xludf.DUMMYFUNCTION("""COMPUTED_VALUE"""),6695)</f>
        <v>6695</v>
      </c>
      <c r="G201" s="624" t="str">
        <f ca="1">IFERROR(__xludf.DUMMYFUNCTION("""COMPUTED_VALUE"""),"芯鼎")</f>
        <v>芯鼎</v>
      </c>
      <c r="H201" s="632">
        <f ca="1">IFERROR(__xludf.DUMMYFUNCTION("""COMPUTED_VALUE"""),0.000031)</f>
        <v>3.1000000000000001E-5</v>
      </c>
      <c r="I201" s="62"/>
      <c r="J201" s="62"/>
      <c r="K201" s="63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</row>
    <row r="202" spans="1:41" ht="15.5">
      <c r="A202" s="623">
        <f ca="1">IFERROR(__xludf.DUMMYFUNCTION("""COMPUTED_VALUE"""),201)</f>
        <v>201</v>
      </c>
      <c r="B202" s="624">
        <f ca="1">IFERROR(__xludf.DUMMYFUNCTION("""COMPUTED_VALUE"""),1319)</f>
        <v>1319</v>
      </c>
      <c r="C202" s="624" t="str">
        <f ca="1">IFERROR(__xludf.DUMMYFUNCTION("""COMPUTED_VALUE"""),"東陽")</f>
        <v>東陽</v>
      </c>
      <c r="D202" s="630">
        <f ca="1">IFERROR(__xludf.DUMMYFUNCTION("""COMPUTED_VALUE"""),0.0003)</f>
        <v>2.9999999999999997E-4</v>
      </c>
      <c r="E202" s="623">
        <f ca="1">IFERROR(__xludf.DUMMYFUNCTION("""COMPUTED_VALUE"""),735)</f>
        <v>735</v>
      </c>
      <c r="F202" s="624">
        <f ca="1">IFERROR(__xludf.DUMMYFUNCTION("""COMPUTED_VALUE"""),6902)</f>
        <v>6902</v>
      </c>
      <c r="G202" s="624" t="str">
        <f ca="1">IFERROR(__xludf.DUMMYFUNCTION("""COMPUTED_VALUE"""),"GOGOLOOK")</f>
        <v>GOGOLOOK</v>
      </c>
      <c r="H202" s="632">
        <f ca="1">IFERROR(__xludf.DUMMYFUNCTION("""COMPUTED_VALUE"""),0.000031)</f>
        <v>3.1000000000000001E-5</v>
      </c>
      <c r="I202" s="62"/>
      <c r="J202" s="62"/>
      <c r="K202" s="63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</row>
    <row r="203" spans="1:41" ht="15.5">
      <c r="A203" s="623">
        <f ca="1">IFERROR(__xludf.DUMMYFUNCTION("""COMPUTED_VALUE"""),202)</f>
        <v>202</v>
      </c>
      <c r="B203" s="624">
        <f ca="1">IFERROR(__xludf.DUMMYFUNCTION("""COMPUTED_VALUE"""),6214)</f>
        <v>6214</v>
      </c>
      <c r="C203" s="624" t="str">
        <f ca="1">IFERROR(__xludf.DUMMYFUNCTION("""COMPUTED_VALUE"""),"精誠")</f>
        <v>精誠</v>
      </c>
      <c r="D203" s="630">
        <f ca="1">IFERROR(__xludf.DUMMYFUNCTION("""COMPUTED_VALUE"""),0.000299)</f>
        <v>2.99E-4</v>
      </c>
      <c r="E203" s="623">
        <f ca="1">IFERROR(__xludf.DUMMYFUNCTION("""COMPUTED_VALUE"""),736)</f>
        <v>736</v>
      </c>
      <c r="F203" s="624">
        <f ca="1">IFERROR(__xludf.DUMMYFUNCTION("""COMPUTED_VALUE"""),9934)</f>
        <v>9934</v>
      </c>
      <c r="G203" s="624" t="str">
        <f ca="1">IFERROR(__xludf.DUMMYFUNCTION("""COMPUTED_VALUE"""),"成霖")</f>
        <v>成霖</v>
      </c>
      <c r="H203" s="632">
        <f ca="1">IFERROR(__xludf.DUMMYFUNCTION("""COMPUTED_VALUE"""),0.000031)</f>
        <v>3.1000000000000001E-5</v>
      </c>
      <c r="I203" s="62"/>
      <c r="J203" s="62"/>
      <c r="K203" s="63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</row>
    <row r="204" spans="1:41" ht="15.5">
      <c r="A204" s="623">
        <f ca="1">IFERROR(__xludf.DUMMYFUNCTION("""COMPUTED_VALUE"""),203)</f>
        <v>203</v>
      </c>
      <c r="B204" s="624">
        <f ca="1">IFERROR(__xludf.DUMMYFUNCTION("""COMPUTED_VALUE"""),6890)</f>
        <v>6890</v>
      </c>
      <c r="C204" s="624" t="str">
        <f ca="1">IFERROR(__xludf.DUMMYFUNCTION("""COMPUTED_VALUE"""),"來億-KY")</f>
        <v>來億-KY</v>
      </c>
      <c r="D204" s="630">
        <f ca="1">IFERROR(__xludf.DUMMYFUNCTION("""COMPUTED_VALUE"""),0.000298)</f>
        <v>2.9799999999999998E-4</v>
      </c>
      <c r="E204" s="623">
        <f ca="1">IFERROR(__xludf.DUMMYFUNCTION("""COMPUTED_VALUE"""),737)</f>
        <v>737</v>
      </c>
      <c r="F204" s="624">
        <f ca="1">IFERROR(__xludf.DUMMYFUNCTION("""COMPUTED_VALUE"""),6201)</f>
        <v>6201</v>
      </c>
      <c r="G204" s="624" t="str">
        <f ca="1">IFERROR(__xludf.DUMMYFUNCTION("""COMPUTED_VALUE"""),"亞弘電")</f>
        <v>亞弘電</v>
      </c>
      <c r="H204" s="632">
        <f ca="1">IFERROR(__xludf.DUMMYFUNCTION("""COMPUTED_VALUE"""),0.000031)</f>
        <v>3.1000000000000001E-5</v>
      </c>
      <c r="I204" s="62"/>
      <c r="J204" s="62"/>
      <c r="K204" s="63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</row>
    <row r="205" spans="1:41" ht="15.5">
      <c r="A205" s="623">
        <f ca="1">IFERROR(__xludf.DUMMYFUNCTION("""COMPUTED_VALUE"""),204)</f>
        <v>204</v>
      </c>
      <c r="B205" s="624">
        <f ca="1">IFERROR(__xludf.DUMMYFUNCTION("""COMPUTED_VALUE"""),6278)</f>
        <v>6278</v>
      </c>
      <c r="C205" s="624" t="str">
        <f ca="1">IFERROR(__xludf.DUMMYFUNCTION("""COMPUTED_VALUE"""),"台表科")</f>
        <v>台表科</v>
      </c>
      <c r="D205" s="630">
        <f ca="1">IFERROR(__xludf.DUMMYFUNCTION("""COMPUTED_VALUE"""),0.000291)</f>
        <v>2.9100000000000003E-4</v>
      </c>
      <c r="E205" s="623">
        <f ca="1">IFERROR(__xludf.DUMMYFUNCTION("""COMPUTED_VALUE"""),738)</f>
        <v>738</v>
      </c>
      <c r="F205" s="624">
        <f ca="1">IFERROR(__xludf.DUMMYFUNCTION("""COMPUTED_VALUE"""),6168)</f>
        <v>6168</v>
      </c>
      <c r="G205" s="624" t="str">
        <f ca="1">IFERROR(__xludf.DUMMYFUNCTION("""COMPUTED_VALUE"""),"宏齊")</f>
        <v>宏齊</v>
      </c>
      <c r="H205" s="632">
        <f ca="1">IFERROR(__xludf.DUMMYFUNCTION("""COMPUTED_VALUE"""),0.000031)</f>
        <v>3.1000000000000001E-5</v>
      </c>
      <c r="I205" s="62"/>
      <c r="J205" s="62"/>
      <c r="K205" s="63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</row>
    <row r="206" spans="1:41" ht="15.5">
      <c r="A206" s="623">
        <f ca="1">IFERROR(__xludf.DUMMYFUNCTION("""COMPUTED_VALUE"""),205)</f>
        <v>205</v>
      </c>
      <c r="B206" s="624">
        <f ca="1">IFERROR(__xludf.DUMMYFUNCTION("""COMPUTED_VALUE"""),6191)</f>
        <v>6191</v>
      </c>
      <c r="C206" s="624" t="str">
        <f ca="1">IFERROR(__xludf.DUMMYFUNCTION("""COMPUTED_VALUE"""),"精成科")</f>
        <v>精成科</v>
      </c>
      <c r="D206" s="630">
        <f ca="1">IFERROR(__xludf.DUMMYFUNCTION("""COMPUTED_VALUE"""),0.00029)</f>
        <v>2.9E-4</v>
      </c>
      <c r="E206" s="623">
        <f ca="1">IFERROR(__xludf.DUMMYFUNCTION("""COMPUTED_VALUE"""),739)</f>
        <v>739</v>
      </c>
      <c r="F206" s="624">
        <f ca="1">IFERROR(__xludf.DUMMYFUNCTION("""COMPUTED_VALUE"""),4737)</f>
        <v>4737</v>
      </c>
      <c r="G206" s="624" t="str">
        <f ca="1">IFERROR(__xludf.DUMMYFUNCTION("""COMPUTED_VALUE"""),"華廣")</f>
        <v>華廣</v>
      </c>
      <c r="H206" s="632">
        <f ca="1">IFERROR(__xludf.DUMMYFUNCTION("""COMPUTED_VALUE"""),0.000031)</f>
        <v>3.1000000000000001E-5</v>
      </c>
      <c r="I206" s="62"/>
      <c r="J206" s="62"/>
      <c r="K206" s="63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</row>
    <row r="207" spans="1:41" ht="15.5">
      <c r="A207" s="623">
        <f ca="1">IFERROR(__xludf.DUMMYFUNCTION("""COMPUTED_VALUE"""),206)</f>
        <v>206</v>
      </c>
      <c r="B207" s="624">
        <f ca="1">IFERROR(__xludf.DUMMYFUNCTION("""COMPUTED_VALUE"""),6592)</f>
        <v>6592</v>
      </c>
      <c r="C207" s="624" t="str">
        <f ca="1">IFERROR(__xludf.DUMMYFUNCTION("""COMPUTED_VALUE"""),"和潤企業")</f>
        <v>和潤企業</v>
      </c>
      <c r="D207" s="630">
        <f ca="1">IFERROR(__xludf.DUMMYFUNCTION("""COMPUTED_VALUE"""),0.000281)</f>
        <v>2.81E-4</v>
      </c>
      <c r="E207" s="623">
        <f ca="1">IFERROR(__xludf.DUMMYFUNCTION("""COMPUTED_VALUE"""),740)</f>
        <v>740</v>
      </c>
      <c r="F207" s="624">
        <f ca="1">IFERROR(__xludf.DUMMYFUNCTION("""COMPUTED_VALUE"""),4590)</f>
        <v>4590</v>
      </c>
      <c r="G207" s="624" t="str">
        <f ca="1">IFERROR(__xludf.DUMMYFUNCTION("""COMPUTED_VALUE"""),"富田-創")</f>
        <v>富田-創</v>
      </c>
      <c r="H207" s="632">
        <f ca="1">IFERROR(__xludf.DUMMYFUNCTION("""COMPUTED_VALUE"""),0.000031)</f>
        <v>3.1000000000000001E-5</v>
      </c>
      <c r="I207" s="62"/>
      <c r="J207" s="62"/>
      <c r="K207" s="63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</row>
    <row r="208" spans="1:41" ht="15.5">
      <c r="A208" s="623">
        <f ca="1">IFERROR(__xludf.DUMMYFUNCTION("""COMPUTED_VALUE"""),207)</f>
        <v>207</v>
      </c>
      <c r="B208" s="624">
        <f ca="1">IFERROR(__xludf.DUMMYFUNCTION("""COMPUTED_VALUE"""),3563)</f>
        <v>3563</v>
      </c>
      <c r="C208" s="624" t="str">
        <f ca="1">IFERROR(__xludf.DUMMYFUNCTION("""COMPUTED_VALUE"""),"牧德")</f>
        <v>牧德</v>
      </c>
      <c r="D208" s="630">
        <f ca="1">IFERROR(__xludf.DUMMYFUNCTION("""COMPUTED_VALUE"""),0.00028)</f>
        <v>2.7999999999999998E-4</v>
      </c>
      <c r="E208" s="623">
        <f ca="1">IFERROR(__xludf.DUMMYFUNCTION("""COMPUTED_VALUE"""),741)</f>
        <v>741</v>
      </c>
      <c r="F208" s="624">
        <f ca="1">IFERROR(__xludf.DUMMYFUNCTION("""COMPUTED_VALUE"""),1459)</f>
        <v>1459</v>
      </c>
      <c r="G208" s="624" t="str">
        <f ca="1">IFERROR(__xludf.DUMMYFUNCTION("""COMPUTED_VALUE"""),"聯發")</f>
        <v>聯發</v>
      </c>
      <c r="H208" s="632">
        <f ca="1">IFERROR(__xludf.DUMMYFUNCTION("""COMPUTED_VALUE"""),0.00003)</f>
        <v>3.0000000000000001E-5</v>
      </c>
      <c r="I208" s="62"/>
      <c r="J208" s="62"/>
      <c r="K208" s="63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</row>
    <row r="209" spans="1:41" ht="15.5">
      <c r="A209" s="623">
        <f ca="1">IFERROR(__xludf.DUMMYFUNCTION("""COMPUTED_VALUE"""),208)</f>
        <v>208</v>
      </c>
      <c r="B209" s="624">
        <f ca="1">IFERROR(__xludf.DUMMYFUNCTION("""COMPUTED_VALUE"""),2388)</f>
        <v>2388</v>
      </c>
      <c r="C209" s="624" t="str">
        <f ca="1">IFERROR(__xludf.DUMMYFUNCTION("""COMPUTED_VALUE"""),"威盛")</f>
        <v>威盛</v>
      </c>
      <c r="D209" s="630">
        <f ca="1">IFERROR(__xludf.DUMMYFUNCTION("""COMPUTED_VALUE"""),0.000279)</f>
        <v>2.7900000000000001E-4</v>
      </c>
      <c r="E209" s="623">
        <f ca="1">IFERROR(__xludf.DUMMYFUNCTION("""COMPUTED_VALUE"""),742)</f>
        <v>742</v>
      </c>
      <c r="F209" s="624">
        <f ca="1">IFERROR(__xludf.DUMMYFUNCTION("""COMPUTED_VALUE"""),2538)</f>
        <v>2538</v>
      </c>
      <c r="G209" s="624" t="str">
        <f ca="1">IFERROR(__xludf.DUMMYFUNCTION("""COMPUTED_VALUE"""),"基泰")</f>
        <v>基泰</v>
      </c>
      <c r="H209" s="632">
        <f ca="1">IFERROR(__xludf.DUMMYFUNCTION("""COMPUTED_VALUE"""),0.00003)</f>
        <v>3.0000000000000001E-5</v>
      </c>
      <c r="I209" s="62"/>
      <c r="J209" s="62"/>
      <c r="K209" s="63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</row>
    <row r="210" spans="1:41" ht="15.5">
      <c r="A210" s="623">
        <f ca="1">IFERROR(__xludf.DUMMYFUNCTION("""COMPUTED_VALUE"""),209)</f>
        <v>209</v>
      </c>
      <c r="B210" s="624">
        <f ca="1">IFERROR(__xludf.DUMMYFUNCTION("""COMPUTED_VALUE"""),3035)</f>
        <v>3035</v>
      </c>
      <c r="C210" s="624" t="str">
        <f ca="1">IFERROR(__xludf.DUMMYFUNCTION("""COMPUTED_VALUE"""),"智原")</f>
        <v>智原</v>
      </c>
      <c r="D210" s="630">
        <f ca="1">IFERROR(__xludf.DUMMYFUNCTION("""COMPUTED_VALUE"""),0.000277)</f>
        <v>2.7700000000000001E-4</v>
      </c>
      <c r="E210" s="623">
        <f ca="1">IFERROR(__xludf.DUMMYFUNCTION("""COMPUTED_VALUE"""),743)</f>
        <v>743</v>
      </c>
      <c r="F210" s="624">
        <f ca="1">IFERROR(__xludf.DUMMYFUNCTION("""COMPUTED_VALUE"""),2488)</f>
        <v>2488</v>
      </c>
      <c r="G210" s="624" t="str">
        <f ca="1">IFERROR(__xludf.DUMMYFUNCTION("""COMPUTED_VALUE"""),"漢平")</f>
        <v>漢平</v>
      </c>
      <c r="H210" s="632">
        <f ca="1">IFERROR(__xludf.DUMMYFUNCTION("""COMPUTED_VALUE"""),0.000029)</f>
        <v>2.9E-5</v>
      </c>
      <c r="I210" s="62"/>
      <c r="J210" s="62"/>
      <c r="K210" s="63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</row>
    <row r="211" spans="1:41" ht="15.5">
      <c r="A211" s="623">
        <f ca="1">IFERROR(__xludf.DUMMYFUNCTION("""COMPUTED_VALUE"""),210)</f>
        <v>210</v>
      </c>
      <c r="B211" s="624">
        <f ca="1">IFERROR(__xludf.DUMMYFUNCTION("""COMPUTED_VALUE"""),6176)</f>
        <v>6176</v>
      </c>
      <c r="C211" s="624" t="str">
        <f ca="1">IFERROR(__xludf.DUMMYFUNCTION("""COMPUTED_VALUE"""),"瑞儀")</f>
        <v>瑞儀</v>
      </c>
      <c r="D211" s="630">
        <f ca="1">IFERROR(__xludf.DUMMYFUNCTION("""COMPUTED_VALUE"""),0.000273)</f>
        <v>2.7300000000000002E-4</v>
      </c>
      <c r="E211" s="623">
        <f ca="1">IFERROR(__xludf.DUMMYFUNCTION("""COMPUTED_VALUE"""),744)</f>
        <v>744</v>
      </c>
      <c r="F211" s="624">
        <f ca="1">IFERROR(__xludf.DUMMYFUNCTION("""COMPUTED_VALUE"""),3257)</f>
        <v>3257</v>
      </c>
      <c r="G211" s="624" t="str">
        <f ca="1">IFERROR(__xludf.DUMMYFUNCTION("""COMPUTED_VALUE"""),"虹冠電")</f>
        <v>虹冠電</v>
      </c>
      <c r="H211" s="632">
        <f ca="1">IFERROR(__xludf.DUMMYFUNCTION("""COMPUTED_VALUE"""),0.000029)</f>
        <v>2.9E-5</v>
      </c>
      <c r="I211" s="62"/>
      <c r="J211" s="62"/>
      <c r="K211" s="63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</row>
    <row r="212" spans="1:41" ht="15.5">
      <c r="A212" s="623">
        <f ca="1">IFERROR(__xludf.DUMMYFUNCTION("""COMPUTED_VALUE"""),211)</f>
        <v>211</v>
      </c>
      <c r="B212" s="624">
        <f ca="1">IFERROR(__xludf.DUMMYFUNCTION("""COMPUTED_VALUE"""),3596)</f>
        <v>3596</v>
      </c>
      <c r="C212" s="624" t="str">
        <f ca="1">IFERROR(__xludf.DUMMYFUNCTION("""COMPUTED_VALUE"""),"智易")</f>
        <v>智易</v>
      </c>
      <c r="D212" s="630">
        <f ca="1">IFERROR(__xludf.DUMMYFUNCTION("""COMPUTED_VALUE"""),0.000271)</f>
        <v>2.7099999999999997E-4</v>
      </c>
      <c r="E212" s="623">
        <f ca="1">IFERROR(__xludf.DUMMYFUNCTION("""COMPUTED_VALUE"""),745)</f>
        <v>745</v>
      </c>
      <c r="F212" s="624">
        <f ca="1">IFERROR(__xludf.DUMMYFUNCTION("""COMPUTED_VALUE"""),3046)</f>
        <v>3046</v>
      </c>
      <c r="G212" s="624" t="str">
        <f ca="1">IFERROR(__xludf.DUMMYFUNCTION("""COMPUTED_VALUE"""),"建碁")</f>
        <v>建碁</v>
      </c>
      <c r="H212" s="632">
        <f ca="1">IFERROR(__xludf.DUMMYFUNCTION("""COMPUTED_VALUE"""),0.000029)</f>
        <v>2.9E-5</v>
      </c>
      <c r="I212" s="62"/>
      <c r="J212" s="62"/>
      <c r="K212" s="63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</row>
    <row r="213" spans="1:41" ht="15.5">
      <c r="A213" s="623">
        <f ca="1">IFERROR(__xludf.DUMMYFUNCTION("""COMPUTED_VALUE"""),212)</f>
        <v>212</v>
      </c>
      <c r="B213" s="624">
        <f ca="1">IFERROR(__xludf.DUMMYFUNCTION("""COMPUTED_VALUE"""),9939)</f>
        <v>9939</v>
      </c>
      <c r="C213" s="624" t="str">
        <f ca="1">IFERROR(__xludf.DUMMYFUNCTION("""COMPUTED_VALUE"""),"宏全")</f>
        <v>宏全</v>
      </c>
      <c r="D213" s="630">
        <f ca="1">IFERROR(__xludf.DUMMYFUNCTION("""COMPUTED_VALUE"""),0.00027)</f>
        <v>2.7E-4</v>
      </c>
      <c r="E213" s="623">
        <f ca="1">IFERROR(__xludf.DUMMYFUNCTION("""COMPUTED_VALUE"""),746)</f>
        <v>746</v>
      </c>
      <c r="F213" s="624">
        <f ca="1">IFERROR(__xludf.DUMMYFUNCTION("""COMPUTED_VALUE"""),2748)</f>
        <v>2748</v>
      </c>
      <c r="G213" s="624" t="str">
        <f ca="1">IFERROR(__xludf.DUMMYFUNCTION("""COMPUTED_VALUE"""),"雲品")</f>
        <v>雲品</v>
      </c>
      <c r="H213" s="632">
        <f ca="1">IFERROR(__xludf.DUMMYFUNCTION("""COMPUTED_VALUE"""),0.000029)</f>
        <v>2.9E-5</v>
      </c>
      <c r="I213" s="62"/>
      <c r="J213" s="62"/>
      <c r="K213" s="63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</row>
    <row r="214" spans="1:41" ht="15.5">
      <c r="A214" s="623">
        <f ca="1">IFERROR(__xludf.DUMMYFUNCTION("""COMPUTED_VALUE"""),213)</f>
        <v>213</v>
      </c>
      <c r="B214" s="624">
        <f ca="1">IFERROR(__xludf.DUMMYFUNCTION("""COMPUTED_VALUE"""),2015)</f>
        <v>2015</v>
      </c>
      <c r="C214" s="624" t="str">
        <f ca="1">IFERROR(__xludf.DUMMYFUNCTION("""COMPUTED_VALUE"""),"豐興")</f>
        <v>豐興</v>
      </c>
      <c r="D214" s="630">
        <f ca="1">IFERROR(__xludf.DUMMYFUNCTION("""COMPUTED_VALUE"""),0.00027)</f>
        <v>2.7E-4</v>
      </c>
      <c r="E214" s="623">
        <f ca="1">IFERROR(__xludf.DUMMYFUNCTION("""COMPUTED_VALUE"""),747)</f>
        <v>747</v>
      </c>
      <c r="F214" s="624">
        <f ca="1">IFERROR(__xludf.DUMMYFUNCTION("""COMPUTED_VALUE"""),2109)</f>
        <v>2109</v>
      </c>
      <c r="G214" s="624" t="str">
        <f ca="1">IFERROR(__xludf.DUMMYFUNCTION("""COMPUTED_VALUE"""),"華豐")</f>
        <v>華豐</v>
      </c>
      <c r="H214" s="632">
        <f ca="1">IFERROR(__xludf.DUMMYFUNCTION("""COMPUTED_VALUE"""),0.000029)</f>
        <v>2.9E-5</v>
      </c>
      <c r="I214" s="62"/>
      <c r="J214" s="62"/>
      <c r="K214" s="63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</row>
    <row r="215" spans="1:41" ht="15.5">
      <c r="A215" s="623">
        <f ca="1">IFERROR(__xludf.DUMMYFUNCTION("""COMPUTED_VALUE"""),214)</f>
        <v>214</v>
      </c>
      <c r="B215" s="624">
        <f ca="1">IFERROR(__xludf.DUMMYFUNCTION("""COMPUTED_VALUE"""),2421)</f>
        <v>2421</v>
      </c>
      <c r="C215" s="624" t="str">
        <f ca="1">IFERROR(__xludf.DUMMYFUNCTION("""COMPUTED_VALUE"""),"建準")</f>
        <v>建準</v>
      </c>
      <c r="D215" s="630">
        <f ca="1">IFERROR(__xludf.DUMMYFUNCTION("""COMPUTED_VALUE"""),0.000268)</f>
        <v>2.6800000000000001E-4</v>
      </c>
      <c r="E215" s="623">
        <f ca="1">IFERROR(__xludf.DUMMYFUNCTION("""COMPUTED_VALUE"""),748)</f>
        <v>748</v>
      </c>
      <c r="F215" s="624">
        <f ca="1">IFERROR(__xludf.DUMMYFUNCTION("""COMPUTED_VALUE"""),4949)</f>
        <v>4949</v>
      </c>
      <c r="G215" s="624" t="str">
        <f ca="1">IFERROR(__xludf.DUMMYFUNCTION("""COMPUTED_VALUE"""),"有成精密")</f>
        <v>有成精密</v>
      </c>
      <c r="H215" s="632">
        <f ca="1">IFERROR(__xludf.DUMMYFUNCTION("""COMPUTED_VALUE"""),0.000029)</f>
        <v>2.9E-5</v>
      </c>
      <c r="I215" s="62"/>
      <c r="J215" s="62"/>
      <c r="K215" s="63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</row>
    <row r="216" spans="1:41" ht="15.5">
      <c r="A216" s="623">
        <f ca="1">IFERROR(__xludf.DUMMYFUNCTION("""COMPUTED_VALUE"""),215)</f>
        <v>215</v>
      </c>
      <c r="B216" s="624">
        <f ca="1">IFERROR(__xludf.DUMMYFUNCTION("""COMPUTED_VALUE"""),1736)</f>
        <v>1736</v>
      </c>
      <c r="C216" s="624" t="str">
        <f ca="1">IFERROR(__xludf.DUMMYFUNCTION("""COMPUTED_VALUE"""),"喬山")</f>
        <v>喬山</v>
      </c>
      <c r="D216" s="630">
        <f ca="1">IFERROR(__xludf.DUMMYFUNCTION("""COMPUTED_VALUE"""),0.000266)</f>
        <v>2.6600000000000001E-4</v>
      </c>
      <c r="E216" s="623">
        <f ca="1">IFERROR(__xludf.DUMMYFUNCTION("""COMPUTED_VALUE"""),749)</f>
        <v>749</v>
      </c>
      <c r="F216" s="624">
        <f ca="1">IFERROR(__xludf.DUMMYFUNCTION("""COMPUTED_VALUE"""),3530)</f>
        <v>3530</v>
      </c>
      <c r="G216" s="624" t="str">
        <f ca="1">IFERROR(__xludf.DUMMYFUNCTION("""COMPUTED_VALUE"""),"晶相光")</f>
        <v>晶相光</v>
      </c>
      <c r="H216" s="632">
        <f ca="1">IFERROR(__xludf.DUMMYFUNCTION("""COMPUTED_VALUE"""),0.000029)</f>
        <v>2.9E-5</v>
      </c>
      <c r="I216" s="62"/>
      <c r="J216" s="62"/>
      <c r="K216" s="63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</row>
    <row r="217" spans="1:41" ht="15.5">
      <c r="A217" s="623">
        <f ca="1">IFERROR(__xludf.DUMMYFUNCTION("""COMPUTED_VALUE"""),216)</f>
        <v>216</v>
      </c>
      <c r="B217" s="624">
        <f ca="1">IFERROR(__xludf.DUMMYFUNCTION("""COMPUTED_VALUE"""),4766)</f>
        <v>4766</v>
      </c>
      <c r="C217" s="624" t="str">
        <f ca="1">IFERROR(__xludf.DUMMYFUNCTION("""COMPUTED_VALUE"""),"南寶")</f>
        <v>南寶</v>
      </c>
      <c r="D217" s="630">
        <f ca="1">IFERROR(__xludf.DUMMYFUNCTION("""COMPUTED_VALUE"""),0.000265)</f>
        <v>2.6499999999999999E-4</v>
      </c>
      <c r="E217" s="623">
        <f ca="1">IFERROR(__xludf.DUMMYFUNCTION("""COMPUTED_VALUE"""),750)</f>
        <v>750</v>
      </c>
      <c r="F217" s="624">
        <f ca="1">IFERROR(__xludf.DUMMYFUNCTION("""COMPUTED_VALUE"""),5533)</f>
        <v>5533</v>
      </c>
      <c r="G217" s="624" t="str">
        <f ca="1">IFERROR(__xludf.DUMMYFUNCTION("""COMPUTED_VALUE"""),"皇鼎")</f>
        <v>皇鼎</v>
      </c>
      <c r="H217" s="632">
        <f ca="1">IFERROR(__xludf.DUMMYFUNCTION("""COMPUTED_VALUE"""),0.000029)</f>
        <v>2.9E-5</v>
      </c>
      <c r="I217" s="62"/>
      <c r="J217" s="62"/>
      <c r="K217" s="63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</row>
    <row r="218" spans="1:41" ht="15.5">
      <c r="A218" s="623">
        <f ca="1">IFERROR(__xludf.DUMMYFUNCTION("""COMPUTED_VALUE"""),217)</f>
        <v>217</v>
      </c>
      <c r="B218" s="624">
        <f ca="1">IFERROR(__xludf.DUMMYFUNCTION("""COMPUTED_VALUE"""),6451)</f>
        <v>6451</v>
      </c>
      <c r="C218" s="624" t="str">
        <f ca="1">IFERROR(__xludf.DUMMYFUNCTION("""COMPUTED_VALUE"""),"訊芯-KY")</f>
        <v>訊芯-KY</v>
      </c>
      <c r="D218" s="630">
        <f ca="1">IFERROR(__xludf.DUMMYFUNCTION("""COMPUTED_VALUE"""),0.000264)</f>
        <v>2.6400000000000002E-4</v>
      </c>
      <c r="E218" s="623">
        <f ca="1">IFERROR(__xludf.DUMMYFUNCTION("""COMPUTED_VALUE"""),751)</f>
        <v>751</v>
      </c>
      <c r="F218" s="624">
        <f ca="1">IFERROR(__xludf.DUMMYFUNCTION("""COMPUTED_VALUE"""),9931)</f>
        <v>9931</v>
      </c>
      <c r="G218" s="624" t="str">
        <f ca="1">IFERROR(__xludf.DUMMYFUNCTION("""COMPUTED_VALUE"""),"欣高")</f>
        <v>欣高</v>
      </c>
      <c r="H218" s="632">
        <f ca="1">IFERROR(__xludf.DUMMYFUNCTION("""COMPUTED_VALUE"""),0.000029)</f>
        <v>2.9E-5</v>
      </c>
      <c r="I218" s="62"/>
      <c r="J218" s="62"/>
      <c r="K218" s="63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</row>
    <row r="219" spans="1:41" ht="15.5">
      <c r="A219" s="623">
        <f ca="1">IFERROR(__xludf.DUMMYFUNCTION("""COMPUTED_VALUE"""),218)</f>
        <v>218</v>
      </c>
      <c r="B219" s="624">
        <f ca="1">IFERROR(__xludf.DUMMYFUNCTION("""COMPUTED_VALUE"""),2504)</f>
        <v>2504</v>
      </c>
      <c r="C219" s="624" t="str">
        <f ca="1">IFERROR(__xludf.DUMMYFUNCTION("""COMPUTED_VALUE"""),"國產")</f>
        <v>國產</v>
      </c>
      <c r="D219" s="630">
        <f ca="1">IFERROR(__xludf.DUMMYFUNCTION("""COMPUTED_VALUE"""),0.000262)</f>
        <v>2.6200000000000003E-4</v>
      </c>
      <c r="E219" s="623">
        <f ca="1">IFERROR(__xludf.DUMMYFUNCTION("""COMPUTED_VALUE"""),752)</f>
        <v>752</v>
      </c>
      <c r="F219" s="624">
        <f ca="1">IFERROR(__xludf.DUMMYFUNCTION("""COMPUTED_VALUE"""),8438)</f>
        <v>8438</v>
      </c>
      <c r="G219" s="624" t="str">
        <f ca="1">IFERROR(__xludf.DUMMYFUNCTION("""COMPUTED_VALUE"""),"昶昕")</f>
        <v>昶昕</v>
      </c>
      <c r="H219" s="632">
        <f ca="1">IFERROR(__xludf.DUMMYFUNCTION("""COMPUTED_VALUE"""),0.000029)</f>
        <v>2.9E-5</v>
      </c>
      <c r="I219" s="62"/>
      <c r="J219" s="62"/>
      <c r="K219" s="63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</row>
    <row r="220" spans="1:41" ht="15.5">
      <c r="A220" s="623">
        <f ca="1">IFERROR(__xludf.DUMMYFUNCTION("""COMPUTED_VALUE"""),219)</f>
        <v>219</v>
      </c>
      <c r="B220" s="624">
        <f ca="1">IFERROR(__xludf.DUMMYFUNCTION("""COMPUTED_VALUE"""),2472)</f>
        <v>2472</v>
      </c>
      <c r="C220" s="624" t="str">
        <f ca="1">IFERROR(__xludf.DUMMYFUNCTION("""COMPUTED_VALUE"""),"立隆電")</f>
        <v>立隆電</v>
      </c>
      <c r="D220" s="630">
        <f ca="1">IFERROR(__xludf.DUMMYFUNCTION("""COMPUTED_VALUE"""),0.000258)</f>
        <v>2.5799999999999998E-4</v>
      </c>
      <c r="E220" s="623">
        <f ca="1">IFERROR(__xludf.DUMMYFUNCTION("""COMPUTED_VALUE"""),753)</f>
        <v>753</v>
      </c>
      <c r="F220" s="624">
        <f ca="1">IFERROR(__xludf.DUMMYFUNCTION("""COMPUTED_VALUE"""),6928)</f>
        <v>6928</v>
      </c>
      <c r="G220" s="624" t="str">
        <f ca="1">IFERROR(__xludf.DUMMYFUNCTION("""COMPUTED_VALUE"""),"攸泰科技")</f>
        <v>攸泰科技</v>
      </c>
      <c r="H220" s="632">
        <f ca="1">IFERROR(__xludf.DUMMYFUNCTION("""COMPUTED_VALUE"""),0.000029)</f>
        <v>2.9E-5</v>
      </c>
      <c r="I220" s="62"/>
      <c r="J220" s="62"/>
      <c r="K220" s="63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</row>
    <row r="221" spans="1:41" ht="15.5">
      <c r="A221" s="623">
        <f ca="1">IFERROR(__xludf.DUMMYFUNCTION("""COMPUTED_VALUE"""),220)</f>
        <v>220</v>
      </c>
      <c r="B221" s="624">
        <f ca="1">IFERROR(__xludf.DUMMYFUNCTION("""COMPUTED_VALUE"""),2211)</f>
        <v>2211</v>
      </c>
      <c r="C221" s="624" t="str">
        <f ca="1">IFERROR(__xludf.DUMMYFUNCTION("""COMPUTED_VALUE"""),"長榮鋼")</f>
        <v>長榮鋼</v>
      </c>
      <c r="D221" s="630">
        <f ca="1">IFERROR(__xludf.DUMMYFUNCTION("""COMPUTED_VALUE"""),0.000258)</f>
        <v>2.5799999999999998E-4</v>
      </c>
      <c r="E221" s="623">
        <f ca="1">IFERROR(__xludf.DUMMYFUNCTION("""COMPUTED_VALUE"""),754)</f>
        <v>754</v>
      </c>
      <c r="F221" s="624">
        <f ca="1">IFERROR(__xludf.DUMMYFUNCTION("""COMPUTED_VALUE"""),4439)</f>
        <v>4439</v>
      </c>
      <c r="G221" s="624" t="str">
        <f ca="1">IFERROR(__xludf.DUMMYFUNCTION("""COMPUTED_VALUE"""),"冠星-KY")</f>
        <v>冠星-KY</v>
      </c>
      <c r="H221" s="632">
        <f ca="1">IFERROR(__xludf.DUMMYFUNCTION("""COMPUTED_VALUE"""),0.000028)</f>
        <v>2.8E-5</v>
      </c>
      <c r="I221" s="62"/>
      <c r="J221" s="62"/>
      <c r="K221" s="63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</row>
    <row r="222" spans="1:41" ht="15.5">
      <c r="A222" s="623">
        <f ca="1">IFERROR(__xludf.DUMMYFUNCTION("""COMPUTED_VALUE"""),221)</f>
        <v>221</v>
      </c>
      <c r="B222" s="624">
        <f ca="1">IFERROR(__xludf.DUMMYFUNCTION("""COMPUTED_VALUE"""),6282)</f>
        <v>6282</v>
      </c>
      <c r="C222" s="624" t="str">
        <f ca="1">IFERROR(__xludf.DUMMYFUNCTION("""COMPUTED_VALUE"""),"康舒")</f>
        <v>康舒</v>
      </c>
      <c r="D222" s="630">
        <f ca="1">IFERROR(__xludf.DUMMYFUNCTION("""COMPUTED_VALUE"""),0.000258)</f>
        <v>2.5799999999999998E-4</v>
      </c>
      <c r="E222" s="623">
        <f ca="1">IFERROR(__xludf.DUMMYFUNCTION("""COMPUTED_VALUE"""),755)</f>
        <v>755</v>
      </c>
      <c r="F222" s="624">
        <f ca="1">IFERROR(__xludf.DUMMYFUNCTION("""COMPUTED_VALUE"""),2254)</f>
        <v>2254</v>
      </c>
      <c r="G222" s="624" t="str">
        <f ca="1">IFERROR(__xludf.DUMMYFUNCTION("""COMPUTED_VALUE"""),"巨鎧精密-創")</f>
        <v>巨鎧精密-創</v>
      </c>
      <c r="H222" s="632">
        <f ca="1">IFERROR(__xludf.DUMMYFUNCTION("""COMPUTED_VALUE"""),0.000028)</f>
        <v>2.8E-5</v>
      </c>
      <c r="I222" s="62"/>
      <c r="J222" s="62"/>
      <c r="K222" s="63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</row>
    <row r="223" spans="1:41" ht="15.5">
      <c r="A223" s="623">
        <f ca="1">IFERROR(__xludf.DUMMYFUNCTION("""COMPUTED_VALUE"""),222)</f>
        <v>222</v>
      </c>
      <c r="B223" s="624">
        <f ca="1">IFERROR(__xludf.DUMMYFUNCTION("""COMPUTED_VALUE"""),3090)</f>
        <v>3090</v>
      </c>
      <c r="C223" s="624" t="str">
        <f ca="1">IFERROR(__xludf.DUMMYFUNCTION("""COMPUTED_VALUE"""),"日電貿")</f>
        <v>日電貿</v>
      </c>
      <c r="D223" s="630">
        <f ca="1">IFERROR(__xludf.DUMMYFUNCTION("""COMPUTED_VALUE"""),0.000256)</f>
        <v>2.5599999999999999E-4</v>
      </c>
      <c r="E223" s="623">
        <f ca="1">IFERROR(__xludf.DUMMYFUNCTION("""COMPUTED_VALUE"""),756)</f>
        <v>756</v>
      </c>
      <c r="F223" s="624">
        <f ca="1">IFERROR(__xludf.DUMMYFUNCTION("""COMPUTED_VALUE"""),2017)</f>
        <v>2017</v>
      </c>
      <c r="G223" s="624" t="str">
        <f ca="1">IFERROR(__xludf.DUMMYFUNCTION("""COMPUTED_VALUE"""),"官田鋼")</f>
        <v>官田鋼</v>
      </c>
      <c r="H223" s="632">
        <f ca="1">IFERROR(__xludf.DUMMYFUNCTION("""COMPUTED_VALUE"""),0.000028)</f>
        <v>2.8E-5</v>
      </c>
      <c r="I223" s="62"/>
      <c r="J223" s="62"/>
      <c r="K223" s="63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</row>
    <row r="224" spans="1:41" ht="15.5">
      <c r="A224" s="623">
        <f ca="1">IFERROR(__xludf.DUMMYFUNCTION("""COMPUTED_VALUE"""),223)</f>
        <v>223</v>
      </c>
      <c r="B224" s="624">
        <f ca="1">IFERROR(__xludf.DUMMYFUNCTION("""COMPUTED_VALUE"""),3019)</f>
        <v>3019</v>
      </c>
      <c r="C224" s="624" t="str">
        <f ca="1">IFERROR(__xludf.DUMMYFUNCTION("""COMPUTED_VALUE"""),"亞光")</f>
        <v>亞光</v>
      </c>
      <c r="D224" s="630">
        <f ca="1">IFERROR(__xludf.DUMMYFUNCTION("""COMPUTED_VALUE"""),0.000254)</f>
        <v>2.5399999999999999E-4</v>
      </c>
      <c r="E224" s="623">
        <f ca="1">IFERROR(__xludf.DUMMYFUNCTION("""COMPUTED_VALUE"""),757)</f>
        <v>757</v>
      </c>
      <c r="F224" s="624">
        <f ca="1">IFERROR(__xludf.DUMMYFUNCTION("""COMPUTED_VALUE"""),1219)</f>
        <v>1219</v>
      </c>
      <c r="G224" s="624" t="str">
        <f ca="1">IFERROR(__xludf.DUMMYFUNCTION("""COMPUTED_VALUE"""),"福壽")</f>
        <v>福壽</v>
      </c>
      <c r="H224" s="632">
        <f ca="1">IFERROR(__xludf.DUMMYFUNCTION("""COMPUTED_VALUE"""),0.000028)</f>
        <v>2.8E-5</v>
      </c>
      <c r="I224" s="62"/>
      <c r="J224" s="62"/>
      <c r="K224" s="63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</row>
    <row r="225" spans="1:41" ht="15.5">
      <c r="A225" s="623">
        <f ca="1">IFERROR(__xludf.DUMMYFUNCTION("""COMPUTED_VALUE"""),224)</f>
        <v>224</v>
      </c>
      <c r="B225" s="624">
        <f ca="1">IFERROR(__xludf.DUMMYFUNCTION("""COMPUTED_VALUE"""),4583)</f>
        <v>4583</v>
      </c>
      <c r="C225" s="624" t="str">
        <f ca="1">IFERROR(__xludf.DUMMYFUNCTION("""COMPUTED_VALUE"""),"台灣精銳")</f>
        <v>台灣精銳</v>
      </c>
      <c r="D225" s="630">
        <f ca="1">IFERROR(__xludf.DUMMYFUNCTION("""COMPUTED_VALUE"""),0.000254)</f>
        <v>2.5399999999999999E-4</v>
      </c>
      <c r="E225" s="623">
        <f ca="1">IFERROR(__xludf.DUMMYFUNCTION("""COMPUTED_VALUE"""),758)</f>
        <v>758</v>
      </c>
      <c r="F225" s="624">
        <f ca="1">IFERROR(__xludf.DUMMYFUNCTION("""COMPUTED_VALUE"""),1310)</f>
        <v>1310</v>
      </c>
      <c r="G225" s="624" t="str">
        <f ca="1">IFERROR(__xludf.DUMMYFUNCTION("""COMPUTED_VALUE"""),"台苯")</f>
        <v>台苯</v>
      </c>
      <c r="H225" s="632">
        <f ca="1">IFERROR(__xludf.DUMMYFUNCTION("""COMPUTED_VALUE"""),0.000028)</f>
        <v>2.8E-5</v>
      </c>
      <c r="I225" s="62"/>
      <c r="J225" s="62"/>
      <c r="K225" s="63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</row>
    <row r="226" spans="1:41" ht="15.5">
      <c r="A226" s="623">
        <f ca="1">IFERROR(__xludf.DUMMYFUNCTION("""COMPUTED_VALUE"""),225)</f>
        <v>225</v>
      </c>
      <c r="B226" s="624">
        <f ca="1">IFERROR(__xludf.DUMMYFUNCTION("""COMPUTED_VALUE"""),6116)</f>
        <v>6116</v>
      </c>
      <c r="C226" s="624" t="str">
        <f ca="1">IFERROR(__xludf.DUMMYFUNCTION("""COMPUTED_VALUE"""),"彩晶")</f>
        <v>彩晶</v>
      </c>
      <c r="D226" s="630">
        <f ca="1">IFERROR(__xludf.DUMMYFUNCTION("""COMPUTED_VALUE"""),0.000253)</f>
        <v>2.5300000000000002E-4</v>
      </c>
      <c r="E226" s="623">
        <f ca="1">IFERROR(__xludf.DUMMYFUNCTION("""COMPUTED_VALUE"""),759)</f>
        <v>759</v>
      </c>
      <c r="F226" s="624">
        <f ca="1">IFERROR(__xludf.DUMMYFUNCTION("""COMPUTED_VALUE"""),3054)</f>
        <v>3054</v>
      </c>
      <c r="G226" s="624" t="str">
        <f ca="1">IFERROR(__xludf.DUMMYFUNCTION("""COMPUTED_VALUE"""),"立萬利")</f>
        <v>立萬利</v>
      </c>
      <c r="H226" s="632">
        <f ca="1">IFERROR(__xludf.DUMMYFUNCTION("""COMPUTED_VALUE"""),0.000028)</f>
        <v>2.8E-5</v>
      </c>
      <c r="I226" s="62"/>
      <c r="J226" s="62"/>
      <c r="K226" s="63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</row>
    <row r="227" spans="1:41" ht="15.5">
      <c r="A227" s="623">
        <f ca="1">IFERROR(__xludf.DUMMYFUNCTION("""COMPUTED_VALUE"""),226)</f>
        <v>226</v>
      </c>
      <c r="B227" s="624">
        <f ca="1">IFERROR(__xludf.DUMMYFUNCTION("""COMPUTED_VALUE"""),6831)</f>
        <v>6831</v>
      </c>
      <c r="C227" s="624" t="str">
        <f ca="1">IFERROR(__xludf.DUMMYFUNCTION("""COMPUTED_VALUE"""),"邁科")</f>
        <v>邁科</v>
      </c>
      <c r="D227" s="630">
        <f ca="1">IFERROR(__xludf.DUMMYFUNCTION("""COMPUTED_VALUE"""),0.000252)</f>
        <v>2.52E-4</v>
      </c>
      <c r="E227" s="623">
        <f ca="1">IFERROR(__xludf.DUMMYFUNCTION("""COMPUTED_VALUE"""),760)</f>
        <v>760</v>
      </c>
      <c r="F227" s="624">
        <f ca="1">IFERROR(__xludf.DUMMYFUNCTION("""COMPUTED_VALUE"""),3060)</f>
        <v>3060</v>
      </c>
      <c r="G227" s="624" t="str">
        <f ca="1">IFERROR(__xludf.DUMMYFUNCTION("""COMPUTED_VALUE"""),"銘異")</f>
        <v>銘異</v>
      </c>
      <c r="H227" s="632">
        <f ca="1">IFERROR(__xludf.DUMMYFUNCTION("""COMPUTED_VALUE"""),0.000027)</f>
        <v>2.6999999999999999E-5</v>
      </c>
      <c r="I227" s="62"/>
      <c r="J227" s="62"/>
      <c r="K227" s="63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</row>
    <row r="228" spans="1:41" ht="15.5">
      <c r="A228" s="623">
        <f ca="1">IFERROR(__xludf.DUMMYFUNCTION("""COMPUTED_VALUE"""),227)</f>
        <v>227</v>
      </c>
      <c r="B228" s="624">
        <f ca="1">IFERROR(__xludf.DUMMYFUNCTION("""COMPUTED_VALUE"""),6670)</f>
        <v>6670</v>
      </c>
      <c r="C228" s="624" t="str">
        <f ca="1">IFERROR(__xludf.DUMMYFUNCTION("""COMPUTED_VALUE"""),"復盛應用")</f>
        <v>復盛應用</v>
      </c>
      <c r="D228" s="630">
        <f ca="1">IFERROR(__xludf.DUMMYFUNCTION("""COMPUTED_VALUE"""),0.000252)</f>
        <v>2.52E-4</v>
      </c>
      <c r="E228" s="623">
        <f ca="1">IFERROR(__xludf.DUMMYFUNCTION("""COMPUTED_VALUE"""),761)</f>
        <v>761</v>
      </c>
      <c r="F228" s="624">
        <f ca="1">IFERROR(__xludf.DUMMYFUNCTION("""COMPUTED_VALUE"""),2483)</f>
        <v>2483</v>
      </c>
      <c r="G228" s="624" t="str">
        <f ca="1">IFERROR(__xludf.DUMMYFUNCTION("""COMPUTED_VALUE"""),"百容")</f>
        <v>百容</v>
      </c>
      <c r="H228" s="632">
        <f ca="1">IFERROR(__xludf.DUMMYFUNCTION("""COMPUTED_VALUE"""),0.000027)</f>
        <v>2.6999999999999999E-5</v>
      </c>
      <c r="I228" s="62"/>
      <c r="J228" s="62"/>
      <c r="K228" s="63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</row>
    <row r="229" spans="1:41" ht="15.5">
      <c r="A229" s="623">
        <f ca="1">IFERROR(__xludf.DUMMYFUNCTION("""COMPUTED_VALUE"""),228)</f>
        <v>228</v>
      </c>
      <c r="B229" s="624">
        <f ca="1">IFERROR(__xludf.DUMMYFUNCTION("""COMPUTED_VALUE"""),6197)</f>
        <v>6197</v>
      </c>
      <c r="C229" s="624" t="str">
        <f ca="1">IFERROR(__xludf.DUMMYFUNCTION("""COMPUTED_VALUE"""),"佳必琪")</f>
        <v>佳必琪</v>
      </c>
      <c r="D229" s="630">
        <f ca="1">IFERROR(__xludf.DUMMYFUNCTION("""COMPUTED_VALUE"""),0.000251)</f>
        <v>2.5099999999999998E-4</v>
      </c>
      <c r="E229" s="623">
        <f ca="1">IFERROR(__xludf.DUMMYFUNCTION("""COMPUTED_VALUE"""),762)</f>
        <v>762</v>
      </c>
      <c r="F229" s="624">
        <f ca="1">IFERROR(__xludf.DUMMYFUNCTION("""COMPUTED_VALUE"""),1316)</f>
        <v>1316</v>
      </c>
      <c r="G229" s="624" t="str">
        <f ca="1">IFERROR(__xludf.DUMMYFUNCTION("""COMPUTED_VALUE"""),"上曜")</f>
        <v>上曜</v>
      </c>
      <c r="H229" s="632">
        <f ca="1">IFERROR(__xludf.DUMMYFUNCTION("""COMPUTED_VALUE"""),0.000027)</f>
        <v>2.6999999999999999E-5</v>
      </c>
      <c r="I229" s="62"/>
      <c r="J229" s="62"/>
      <c r="K229" s="63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</row>
    <row r="230" spans="1:41" ht="15.5">
      <c r="A230" s="623">
        <f ca="1">IFERROR(__xludf.DUMMYFUNCTION("""COMPUTED_VALUE"""),229)</f>
        <v>229</v>
      </c>
      <c r="B230" s="624">
        <f ca="1">IFERROR(__xludf.DUMMYFUNCTION("""COMPUTED_VALUE"""),7822)</f>
        <v>7822</v>
      </c>
      <c r="C230" s="624" t="str">
        <f ca="1">IFERROR(__xludf.DUMMYFUNCTION("""COMPUTED_VALUE"""),"倍利科")</f>
        <v>倍利科</v>
      </c>
      <c r="D230" s="630">
        <f ca="1">IFERROR(__xludf.DUMMYFUNCTION("""COMPUTED_VALUE"""),0.00025)</f>
        <v>2.5000000000000001E-4</v>
      </c>
      <c r="E230" s="623">
        <f ca="1">IFERROR(__xludf.DUMMYFUNCTION("""COMPUTED_VALUE"""),763)</f>
        <v>763</v>
      </c>
      <c r="F230" s="624">
        <f ca="1">IFERROR(__xludf.DUMMYFUNCTION("""COMPUTED_VALUE"""),1414)</f>
        <v>1414</v>
      </c>
      <c r="G230" s="624" t="str">
        <f ca="1">IFERROR(__xludf.DUMMYFUNCTION("""COMPUTED_VALUE"""),"東和")</f>
        <v>東和</v>
      </c>
      <c r="H230" s="632">
        <f ca="1">IFERROR(__xludf.DUMMYFUNCTION("""COMPUTED_VALUE"""),0.000027)</f>
        <v>2.6999999999999999E-5</v>
      </c>
      <c r="I230" s="62"/>
      <c r="J230" s="62"/>
      <c r="K230" s="63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</row>
    <row r="231" spans="1:41" ht="15.5">
      <c r="A231" s="623">
        <f ca="1">IFERROR(__xludf.DUMMYFUNCTION("""COMPUTED_VALUE"""),230)</f>
        <v>230</v>
      </c>
      <c r="B231" s="624">
        <f ca="1">IFERROR(__xludf.DUMMYFUNCTION("""COMPUTED_VALUE"""),8422)</f>
        <v>8422</v>
      </c>
      <c r="C231" s="624" t="str">
        <f ca="1">IFERROR(__xludf.DUMMYFUNCTION("""COMPUTED_VALUE"""),"可寧衛*")</f>
        <v>可寧衛*</v>
      </c>
      <c r="D231" s="630">
        <f ca="1">IFERROR(__xludf.DUMMYFUNCTION("""COMPUTED_VALUE"""),0.000239)</f>
        <v>2.3900000000000001E-4</v>
      </c>
      <c r="E231" s="623">
        <f ca="1">IFERROR(__xludf.DUMMYFUNCTION("""COMPUTED_VALUE"""),764)</f>
        <v>764</v>
      </c>
      <c r="F231" s="624">
        <f ca="1">IFERROR(__xludf.DUMMYFUNCTION("""COMPUTED_VALUE"""),1611)</f>
        <v>1611</v>
      </c>
      <c r="G231" s="624" t="str">
        <f ca="1">IFERROR(__xludf.DUMMYFUNCTION("""COMPUTED_VALUE"""),"中電")</f>
        <v>中電</v>
      </c>
      <c r="H231" s="632">
        <f ca="1">IFERROR(__xludf.DUMMYFUNCTION("""COMPUTED_VALUE"""),0.000027)</f>
        <v>2.6999999999999999E-5</v>
      </c>
      <c r="I231" s="62"/>
      <c r="J231" s="62"/>
      <c r="K231" s="63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</row>
    <row r="232" spans="1:41" ht="15.5">
      <c r="A232" s="623">
        <f ca="1">IFERROR(__xludf.DUMMYFUNCTION("""COMPUTED_VALUE"""),231)</f>
        <v>231</v>
      </c>
      <c r="B232" s="624">
        <f ca="1">IFERROR(__xludf.DUMMYFUNCTION("""COMPUTED_VALUE"""),1409)</f>
        <v>1409</v>
      </c>
      <c r="C232" s="624" t="str">
        <f ca="1">IFERROR(__xludf.DUMMYFUNCTION("""COMPUTED_VALUE"""),"新纖")</f>
        <v>新纖</v>
      </c>
      <c r="D232" s="630">
        <f ca="1">IFERROR(__xludf.DUMMYFUNCTION("""COMPUTED_VALUE"""),0.000239)</f>
        <v>2.3900000000000001E-4</v>
      </c>
      <c r="E232" s="623">
        <f ca="1">IFERROR(__xludf.DUMMYFUNCTION("""COMPUTED_VALUE"""),765)</f>
        <v>765</v>
      </c>
      <c r="F232" s="624">
        <f ca="1">IFERROR(__xludf.DUMMYFUNCTION("""COMPUTED_VALUE"""),2007)</f>
        <v>2007</v>
      </c>
      <c r="G232" s="624" t="str">
        <f ca="1">IFERROR(__xludf.DUMMYFUNCTION("""COMPUTED_VALUE"""),"燁興")</f>
        <v>燁興</v>
      </c>
      <c r="H232" s="632">
        <f ca="1">IFERROR(__xludf.DUMMYFUNCTION("""COMPUTED_VALUE"""),0.000027)</f>
        <v>2.6999999999999999E-5</v>
      </c>
      <c r="I232" s="62"/>
      <c r="J232" s="62"/>
      <c r="K232" s="63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</row>
    <row r="233" spans="1:41" ht="15.5">
      <c r="A233" s="623">
        <f ca="1">IFERROR(__xludf.DUMMYFUNCTION("""COMPUTED_VALUE"""),232)</f>
        <v>232</v>
      </c>
      <c r="B233" s="624">
        <f ca="1">IFERROR(__xludf.DUMMYFUNCTION("""COMPUTED_VALUE"""),2498)</f>
        <v>2498</v>
      </c>
      <c r="C233" s="624" t="str">
        <f ca="1">IFERROR(__xludf.DUMMYFUNCTION("""COMPUTED_VALUE"""),"宏達電")</f>
        <v>宏達電</v>
      </c>
      <c r="D233" s="630">
        <f ca="1">IFERROR(__xludf.DUMMYFUNCTION("""COMPUTED_VALUE"""),0.000238)</f>
        <v>2.3800000000000001E-4</v>
      </c>
      <c r="E233" s="623">
        <f ca="1">IFERROR(__xludf.DUMMYFUNCTION("""COMPUTED_VALUE"""),766)</f>
        <v>766</v>
      </c>
      <c r="F233" s="624">
        <f ca="1">IFERROR(__xludf.DUMMYFUNCTION("""COMPUTED_VALUE"""),2062)</f>
        <v>2062</v>
      </c>
      <c r="G233" s="624" t="str">
        <f ca="1">IFERROR(__xludf.DUMMYFUNCTION("""COMPUTED_VALUE"""),"橋椿")</f>
        <v>橋椿</v>
      </c>
      <c r="H233" s="632">
        <f ca="1">IFERROR(__xludf.DUMMYFUNCTION("""COMPUTED_VALUE"""),0.000027)</f>
        <v>2.6999999999999999E-5</v>
      </c>
      <c r="I233" s="62"/>
      <c r="J233" s="62"/>
      <c r="K233" s="63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</row>
    <row r="234" spans="1:41" ht="15.5">
      <c r="A234" s="623">
        <f ca="1">IFERROR(__xludf.DUMMYFUNCTION("""COMPUTED_VALUE"""),233)</f>
        <v>233</v>
      </c>
      <c r="B234" s="624">
        <f ca="1">IFERROR(__xludf.DUMMYFUNCTION("""COMPUTED_VALUE"""),6271)</f>
        <v>6271</v>
      </c>
      <c r="C234" s="624" t="str">
        <f ca="1">IFERROR(__xludf.DUMMYFUNCTION("""COMPUTED_VALUE"""),"同欣電")</f>
        <v>同欣電</v>
      </c>
      <c r="D234" s="630">
        <f ca="1">IFERROR(__xludf.DUMMYFUNCTION("""COMPUTED_VALUE"""),0.000238)</f>
        <v>2.3800000000000001E-4</v>
      </c>
      <c r="E234" s="623">
        <f ca="1">IFERROR(__xludf.DUMMYFUNCTION("""COMPUTED_VALUE"""),767)</f>
        <v>767</v>
      </c>
      <c r="F234" s="624">
        <f ca="1">IFERROR(__xludf.DUMMYFUNCTION("""COMPUTED_VALUE"""),4178)</f>
        <v>4178</v>
      </c>
      <c r="G234" s="624" t="str">
        <f ca="1">IFERROR(__xludf.DUMMYFUNCTION("""COMPUTED_VALUE"""),"永笙-KY")</f>
        <v>永笙-KY</v>
      </c>
      <c r="H234" s="632">
        <f ca="1">IFERROR(__xludf.DUMMYFUNCTION("""COMPUTED_VALUE"""),0.000027)</f>
        <v>2.6999999999999999E-5</v>
      </c>
      <c r="I234" s="62"/>
      <c r="J234" s="62"/>
      <c r="K234" s="63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</row>
    <row r="235" spans="1:41" ht="15.5">
      <c r="A235" s="623">
        <f ca="1">IFERROR(__xludf.DUMMYFUNCTION("""COMPUTED_VALUE"""),234)</f>
        <v>234</v>
      </c>
      <c r="B235" s="624">
        <f ca="1">IFERROR(__xludf.DUMMYFUNCTION("""COMPUTED_VALUE"""),3376)</f>
        <v>3376</v>
      </c>
      <c r="C235" s="624" t="str">
        <f ca="1">IFERROR(__xludf.DUMMYFUNCTION("""COMPUTED_VALUE"""),"新日興")</f>
        <v>新日興</v>
      </c>
      <c r="D235" s="630">
        <f ca="1">IFERROR(__xludf.DUMMYFUNCTION("""COMPUTED_VALUE"""),0.000238)</f>
        <v>2.3800000000000001E-4</v>
      </c>
      <c r="E235" s="623">
        <f ca="1">IFERROR(__xludf.DUMMYFUNCTION("""COMPUTED_VALUE"""),768)</f>
        <v>768</v>
      </c>
      <c r="F235" s="624">
        <f ca="1">IFERROR(__xludf.DUMMYFUNCTION("""COMPUTED_VALUE"""),4564)</f>
        <v>4564</v>
      </c>
      <c r="G235" s="624" t="str">
        <f ca="1">IFERROR(__xludf.DUMMYFUNCTION("""COMPUTED_VALUE"""),"元翎")</f>
        <v>元翎</v>
      </c>
      <c r="H235" s="632">
        <f ca="1">IFERROR(__xludf.DUMMYFUNCTION("""COMPUTED_VALUE"""),0.000027)</f>
        <v>2.6999999999999999E-5</v>
      </c>
      <c r="I235" s="62"/>
      <c r="J235" s="62"/>
      <c r="K235" s="63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</row>
    <row r="236" spans="1:41" ht="15.5">
      <c r="A236" s="623">
        <f ca="1">IFERROR(__xludf.DUMMYFUNCTION("""COMPUTED_VALUE"""),235)</f>
        <v>235</v>
      </c>
      <c r="B236" s="624">
        <f ca="1">IFERROR(__xludf.DUMMYFUNCTION("""COMPUTED_VALUE"""),9921)</f>
        <v>9921</v>
      </c>
      <c r="C236" s="624" t="str">
        <f ca="1">IFERROR(__xludf.DUMMYFUNCTION("""COMPUTED_VALUE"""),"巨大")</f>
        <v>巨大</v>
      </c>
      <c r="D236" s="630">
        <f ca="1">IFERROR(__xludf.DUMMYFUNCTION("""COMPUTED_VALUE"""),0.000236)</f>
        <v>2.3599999999999999E-4</v>
      </c>
      <c r="E236" s="623">
        <f ca="1">IFERROR(__xludf.DUMMYFUNCTION("""COMPUTED_VALUE"""),769)</f>
        <v>769</v>
      </c>
      <c r="F236" s="624">
        <f ca="1">IFERROR(__xludf.DUMMYFUNCTION("""COMPUTED_VALUE"""),6165)</f>
        <v>6165</v>
      </c>
      <c r="G236" s="624" t="str">
        <f ca="1">IFERROR(__xludf.DUMMYFUNCTION("""COMPUTED_VALUE"""),"浪凡")</f>
        <v>浪凡</v>
      </c>
      <c r="H236" s="632">
        <f ca="1">IFERROR(__xludf.DUMMYFUNCTION("""COMPUTED_VALUE"""),0.000027)</f>
        <v>2.6999999999999999E-5</v>
      </c>
      <c r="I236" s="62"/>
      <c r="J236" s="62"/>
      <c r="K236" s="63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</row>
    <row r="237" spans="1:41" ht="15.5">
      <c r="A237" s="623">
        <f ca="1">IFERROR(__xludf.DUMMYFUNCTION("""COMPUTED_VALUE"""),236)</f>
        <v>236</v>
      </c>
      <c r="B237" s="624">
        <f ca="1">IFERROR(__xludf.DUMMYFUNCTION("""COMPUTED_VALUE"""),8070)</f>
        <v>8070</v>
      </c>
      <c r="C237" s="624" t="str">
        <f ca="1">IFERROR(__xludf.DUMMYFUNCTION("""COMPUTED_VALUE"""),"長華*")</f>
        <v>長華*</v>
      </c>
      <c r="D237" s="630">
        <f ca="1">IFERROR(__xludf.DUMMYFUNCTION("""COMPUTED_VALUE"""),0.000236)</f>
        <v>2.3599999999999999E-4</v>
      </c>
      <c r="E237" s="623">
        <f ca="1">IFERROR(__xludf.DUMMYFUNCTION("""COMPUTED_VALUE"""),770)</f>
        <v>770</v>
      </c>
      <c r="F237" s="624">
        <f ca="1">IFERROR(__xludf.DUMMYFUNCTION("""COMPUTED_VALUE"""),5706)</f>
        <v>5706</v>
      </c>
      <c r="G237" s="624" t="str">
        <f ca="1">IFERROR(__xludf.DUMMYFUNCTION("""COMPUTED_VALUE"""),"鳳凰")</f>
        <v>鳳凰</v>
      </c>
      <c r="H237" s="632">
        <f ca="1">IFERROR(__xludf.DUMMYFUNCTION("""COMPUTED_VALUE"""),0.000027)</f>
        <v>2.6999999999999999E-5</v>
      </c>
      <c r="I237" s="62"/>
      <c r="J237" s="62"/>
      <c r="K237" s="63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</row>
    <row r="238" spans="1:41" ht="15.5">
      <c r="A238" s="623">
        <f ca="1">IFERROR(__xludf.DUMMYFUNCTION("""COMPUTED_VALUE"""),237)</f>
        <v>237</v>
      </c>
      <c r="B238" s="624">
        <f ca="1">IFERROR(__xludf.DUMMYFUNCTION("""COMPUTED_VALUE"""),3413)</f>
        <v>3413</v>
      </c>
      <c r="C238" s="624" t="str">
        <f ca="1">IFERROR(__xludf.DUMMYFUNCTION("""COMPUTED_VALUE"""),"京鼎")</f>
        <v>京鼎</v>
      </c>
      <c r="D238" s="630">
        <f ca="1">IFERROR(__xludf.DUMMYFUNCTION("""COMPUTED_VALUE"""),0.000235)</f>
        <v>2.3499999999999999E-4</v>
      </c>
      <c r="E238" s="623">
        <f ca="1">IFERROR(__xludf.DUMMYFUNCTION("""COMPUTED_VALUE"""),771)</f>
        <v>771</v>
      </c>
      <c r="F238" s="624">
        <f ca="1">IFERROR(__xludf.DUMMYFUNCTION("""COMPUTED_VALUE"""),6794)</f>
        <v>6794</v>
      </c>
      <c r="G238" s="624" t="str">
        <f ca="1">IFERROR(__xludf.DUMMYFUNCTION("""COMPUTED_VALUE"""),"向榮生技")</f>
        <v>向榮生技</v>
      </c>
      <c r="H238" s="632">
        <f ca="1">IFERROR(__xludf.DUMMYFUNCTION("""COMPUTED_VALUE"""),0.000027)</f>
        <v>2.6999999999999999E-5</v>
      </c>
      <c r="I238" s="62"/>
      <c r="J238" s="62"/>
      <c r="K238" s="63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</row>
    <row r="239" spans="1:41" ht="15.5">
      <c r="A239" s="623">
        <f ca="1">IFERROR(__xludf.DUMMYFUNCTION("""COMPUTED_VALUE"""),238)</f>
        <v>238</v>
      </c>
      <c r="B239" s="624">
        <f ca="1">IFERROR(__xludf.DUMMYFUNCTION("""COMPUTED_VALUE"""),2548)</f>
        <v>2548</v>
      </c>
      <c r="C239" s="624" t="str">
        <f ca="1">IFERROR(__xludf.DUMMYFUNCTION("""COMPUTED_VALUE"""),"華固")</f>
        <v>華固</v>
      </c>
      <c r="D239" s="630">
        <f ca="1">IFERROR(__xludf.DUMMYFUNCTION("""COMPUTED_VALUE"""),0.000233)</f>
        <v>2.33E-4</v>
      </c>
      <c r="E239" s="623">
        <f ca="1">IFERROR(__xludf.DUMMYFUNCTION("""COMPUTED_VALUE"""),772)</f>
        <v>772</v>
      </c>
      <c r="F239" s="624">
        <f ca="1">IFERROR(__xludf.DUMMYFUNCTION("""COMPUTED_VALUE"""),6689)</f>
        <v>6689</v>
      </c>
      <c r="G239" s="624" t="str">
        <f ca="1">IFERROR(__xludf.DUMMYFUNCTION("""COMPUTED_VALUE"""),"伊雲谷")</f>
        <v>伊雲谷</v>
      </c>
      <c r="H239" s="632">
        <f ca="1">IFERROR(__xludf.DUMMYFUNCTION("""COMPUTED_VALUE"""),0.000027)</f>
        <v>2.6999999999999999E-5</v>
      </c>
      <c r="I239" s="62"/>
      <c r="J239" s="62"/>
      <c r="K239" s="63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</row>
    <row r="240" spans="1:41" ht="15.5">
      <c r="A240" s="623">
        <f ca="1">IFERROR(__xludf.DUMMYFUNCTION("""COMPUTED_VALUE"""),239)</f>
        <v>239</v>
      </c>
      <c r="B240" s="624">
        <f ca="1">IFERROR(__xludf.DUMMYFUNCTION("""COMPUTED_VALUE"""),5469)</f>
        <v>5469</v>
      </c>
      <c r="C240" s="624" t="str">
        <f ca="1">IFERROR(__xludf.DUMMYFUNCTION("""COMPUTED_VALUE"""),"瀚宇博")</f>
        <v>瀚宇博</v>
      </c>
      <c r="D240" s="630">
        <f ca="1">IFERROR(__xludf.DUMMYFUNCTION("""COMPUTED_VALUE"""),0.000232)</f>
        <v>2.32E-4</v>
      </c>
      <c r="E240" s="623">
        <f ca="1">IFERROR(__xludf.DUMMYFUNCTION("""COMPUTED_VALUE"""),773)</f>
        <v>773</v>
      </c>
      <c r="F240" s="624">
        <f ca="1">IFERROR(__xludf.DUMMYFUNCTION("""COMPUTED_VALUE"""),8367)</f>
        <v>8367</v>
      </c>
      <c r="G240" s="624" t="str">
        <f ca="1">IFERROR(__xludf.DUMMYFUNCTION("""COMPUTED_VALUE"""),"建新國際")</f>
        <v>建新國際</v>
      </c>
      <c r="H240" s="632">
        <f ca="1">IFERROR(__xludf.DUMMYFUNCTION("""COMPUTED_VALUE"""),0.000027)</f>
        <v>2.6999999999999999E-5</v>
      </c>
      <c r="I240" s="62"/>
      <c r="J240" s="62"/>
      <c r="K240" s="63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</row>
    <row r="241" spans="1:41" ht="15.5">
      <c r="A241" s="623">
        <f ca="1">IFERROR(__xludf.DUMMYFUNCTION("""COMPUTED_VALUE"""),240)</f>
        <v>240</v>
      </c>
      <c r="B241" s="624">
        <f ca="1">IFERROR(__xludf.DUMMYFUNCTION("""COMPUTED_VALUE"""),3714)</f>
        <v>3714</v>
      </c>
      <c r="C241" s="624" t="str">
        <f ca="1">IFERROR(__xludf.DUMMYFUNCTION("""COMPUTED_VALUE"""),"富采")</f>
        <v>富采</v>
      </c>
      <c r="D241" s="630">
        <f ca="1">IFERROR(__xludf.DUMMYFUNCTION("""COMPUTED_VALUE"""),0.000229)</f>
        <v>2.2900000000000001E-4</v>
      </c>
      <c r="E241" s="623">
        <f ca="1">IFERROR(__xludf.DUMMYFUNCTION("""COMPUTED_VALUE"""),774)</f>
        <v>774</v>
      </c>
      <c r="F241" s="624">
        <f ca="1">IFERROR(__xludf.DUMMYFUNCTION("""COMPUTED_VALUE"""),9906)</f>
        <v>9906</v>
      </c>
      <c r="G241" s="624" t="str">
        <f ca="1">IFERROR(__xludf.DUMMYFUNCTION("""COMPUTED_VALUE"""),"欣巴巴")</f>
        <v>欣巴巴</v>
      </c>
      <c r="H241" s="632">
        <f ca="1">IFERROR(__xludf.DUMMYFUNCTION("""COMPUTED_VALUE"""),0.000026)</f>
        <v>2.5999999999999998E-5</v>
      </c>
      <c r="I241" s="62"/>
      <c r="J241" s="62"/>
      <c r="K241" s="63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</row>
    <row r="242" spans="1:41" ht="15.5">
      <c r="A242" s="623">
        <f ca="1">IFERROR(__xludf.DUMMYFUNCTION("""COMPUTED_VALUE"""),241)</f>
        <v>241</v>
      </c>
      <c r="B242" s="624">
        <f ca="1">IFERROR(__xludf.DUMMYFUNCTION("""COMPUTED_VALUE"""),5234)</f>
        <v>5234</v>
      </c>
      <c r="C242" s="624" t="str">
        <f ca="1">IFERROR(__xludf.DUMMYFUNCTION("""COMPUTED_VALUE"""),"達興材料")</f>
        <v>達興材料</v>
      </c>
      <c r="D242" s="630">
        <f ca="1">IFERROR(__xludf.DUMMYFUNCTION("""COMPUTED_VALUE"""),0.000228)</f>
        <v>2.2800000000000001E-4</v>
      </c>
      <c r="E242" s="623">
        <f ca="1">IFERROR(__xludf.DUMMYFUNCTION("""COMPUTED_VALUE"""),775)</f>
        <v>775</v>
      </c>
      <c r="F242" s="624">
        <f ca="1">IFERROR(__xludf.DUMMYFUNCTION("""COMPUTED_VALUE"""),6951)</f>
        <v>6951</v>
      </c>
      <c r="G242" s="624" t="str">
        <f ca="1">IFERROR(__xludf.DUMMYFUNCTION("""COMPUTED_VALUE"""),"青新-創")</f>
        <v>青新-創</v>
      </c>
      <c r="H242" s="632">
        <f ca="1">IFERROR(__xludf.DUMMYFUNCTION("""COMPUTED_VALUE"""),0.000026)</f>
        <v>2.5999999999999998E-5</v>
      </c>
      <c r="I242" s="62"/>
      <c r="J242" s="62"/>
      <c r="K242" s="63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</row>
    <row r="243" spans="1:41" ht="15.5">
      <c r="A243" s="623">
        <f ca="1">IFERROR(__xludf.DUMMYFUNCTION("""COMPUTED_VALUE"""),242)</f>
        <v>242</v>
      </c>
      <c r="B243" s="624">
        <f ca="1">IFERROR(__xludf.DUMMYFUNCTION("""COMPUTED_VALUE"""),8016)</f>
        <v>8016</v>
      </c>
      <c r="C243" s="624" t="str">
        <f ca="1">IFERROR(__xludf.DUMMYFUNCTION("""COMPUTED_VALUE"""),"矽創")</f>
        <v>矽創</v>
      </c>
      <c r="D243" s="630">
        <f ca="1">IFERROR(__xludf.DUMMYFUNCTION("""COMPUTED_VALUE"""),0.000228)</f>
        <v>2.2800000000000001E-4</v>
      </c>
      <c r="E243" s="623">
        <f ca="1">IFERROR(__xludf.DUMMYFUNCTION("""COMPUTED_VALUE"""),776)</f>
        <v>776</v>
      </c>
      <c r="F243" s="624">
        <f ca="1">IFERROR(__xludf.DUMMYFUNCTION("""COMPUTED_VALUE"""),3543)</f>
        <v>3543</v>
      </c>
      <c r="G243" s="624" t="str">
        <f ca="1">IFERROR(__xludf.DUMMYFUNCTION("""COMPUTED_VALUE"""),"州巧")</f>
        <v>州巧</v>
      </c>
      <c r="H243" s="632">
        <f ca="1">IFERROR(__xludf.DUMMYFUNCTION("""COMPUTED_VALUE"""),0.000026)</f>
        <v>2.5999999999999998E-5</v>
      </c>
      <c r="I243" s="62"/>
      <c r="J243" s="62"/>
      <c r="K243" s="63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</row>
    <row r="244" spans="1:41" ht="15.5">
      <c r="A244" s="623">
        <f ca="1">IFERROR(__xludf.DUMMYFUNCTION("""COMPUTED_VALUE"""),243)</f>
        <v>243</v>
      </c>
      <c r="B244" s="624">
        <f ca="1">IFERROR(__xludf.DUMMYFUNCTION("""COMPUTED_VALUE"""),9933)</f>
        <v>9933</v>
      </c>
      <c r="C244" s="624" t="str">
        <f ca="1">IFERROR(__xludf.DUMMYFUNCTION("""COMPUTED_VALUE"""),"中鼎")</f>
        <v>中鼎</v>
      </c>
      <c r="D244" s="630">
        <f ca="1">IFERROR(__xludf.DUMMYFUNCTION("""COMPUTED_VALUE"""),0.000226)</f>
        <v>2.2599999999999999E-4</v>
      </c>
      <c r="E244" s="623">
        <f ca="1">IFERROR(__xludf.DUMMYFUNCTION("""COMPUTED_VALUE"""),777)</f>
        <v>777</v>
      </c>
      <c r="F244" s="624">
        <f ca="1">IFERROR(__xludf.DUMMYFUNCTION("""COMPUTED_VALUE"""),3669)</f>
        <v>3669</v>
      </c>
      <c r="G244" s="624" t="str">
        <f ca="1">IFERROR(__xludf.DUMMYFUNCTION("""COMPUTED_VALUE"""),"圓展")</f>
        <v>圓展</v>
      </c>
      <c r="H244" s="632">
        <f ca="1">IFERROR(__xludf.DUMMYFUNCTION("""COMPUTED_VALUE"""),0.000026)</f>
        <v>2.5999999999999998E-5</v>
      </c>
      <c r="I244" s="62"/>
      <c r="J244" s="62"/>
      <c r="K244" s="63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</row>
    <row r="245" spans="1:41" ht="15.5">
      <c r="A245" s="623">
        <f ca="1">IFERROR(__xludf.DUMMYFUNCTION("""COMPUTED_VALUE"""),244)</f>
        <v>244</v>
      </c>
      <c r="B245" s="624">
        <f ca="1">IFERROR(__xludf.DUMMYFUNCTION("""COMPUTED_VALUE"""),2903)</f>
        <v>2903</v>
      </c>
      <c r="C245" s="624" t="str">
        <f ca="1">IFERROR(__xludf.DUMMYFUNCTION("""COMPUTED_VALUE"""),"遠百")</f>
        <v>遠百</v>
      </c>
      <c r="D245" s="630">
        <f ca="1">IFERROR(__xludf.DUMMYFUNCTION("""COMPUTED_VALUE"""),0.000223)</f>
        <v>2.23E-4</v>
      </c>
      <c r="E245" s="623">
        <f ca="1">IFERROR(__xludf.DUMMYFUNCTION("""COMPUTED_VALUE"""),778)</f>
        <v>778</v>
      </c>
      <c r="F245" s="624">
        <f ca="1">IFERROR(__xludf.DUMMYFUNCTION("""COMPUTED_VALUE"""),1786)</f>
        <v>1786</v>
      </c>
      <c r="G245" s="624" t="str">
        <f ca="1">IFERROR(__xludf.DUMMYFUNCTION("""COMPUTED_VALUE"""),"科妍")</f>
        <v>科妍</v>
      </c>
      <c r="H245" s="632">
        <f ca="1">IFERROR(__xludf.DUMMYFUNCTION("""COMPUTED_VALUE"""),0.000026)</f>
        <v>2.5999999999999998E-5</v>
      </c>
      <c r="I245" s="62"/>
      <c r="J245" s="62"/>
      <c r="K245" s="63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</row>
    <row r="246" spans="1:41" ht="15.5">
      <c r="A246" s="623">
        <f ca="1">IFERROR(__xludf.DUMMYFUNCTION("""COMPUTED_VALUE"""),245)</f>
        <v>245</v>
      </c>
      <c r="B246" s="624">
        <f ca="1">IFERROR(__xludf.DUMMYFUNCTION("""COMPUTED_VALUE"""),4915)</f>
        <v>4915</v>
      </c>
      <c r="C246" s="624" t="str">
        <f ca="1">IFERROR(__xludf.DUMMYFUNCTION("""COMPUTED_VALUE"""),"致伸")</f>
        <v>致伸</v>
      </c>
      <c r="D246" s="630">
        <f ca="1">IFERROR(__xludf.DUMMYFUNCTION("""COMPUTED_VALUE"""),0.00022)</f>
        <v>2.2000000000000001E-4</v>
      </c>
      <c r="E246" s="623">
        <f ca="1">IFERROR(__xludf.DUMMYFUNCTION("""COMPUTED_VALUE"""),779)</f>
        <v>779</v>
      </c>
      <c r="F246" s="624">
        <f ca="1">IFERROR(__xludf.DUMMYFUNCTION("""COMPUTED_VALUE"""),1616)</f>
        <v>1616</v>
      </c>
      <c r="G246" s="624" t="str">
        <f ca="1">IFERROR(__xludf.DUMMYFUNCTION("""COMPUTED_VALUE"""),"億泰")</f>
        <v>億泰</v>
      </c>
      <c r="H246" s="632">
        <f ca="1">IFERROR(__xludf.DUMMYFUNCTION("""COMPUTED_VALUE"""),0.000026)</f>
        <v>2.5999999999999998E-5</v>
      </c>
      <c r="I246" s="62"/>
      <c r="J246" s="62"/>
      <c r="K246" s="63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</row>
    <row r="247" spans="1:41" ht="15.5">
      <c r="A247" s="623">
        <f ca="1">IFERROR(__xludf.DUMMYFUNCTION("""COMPUTED_VALUE"""),246)</f>
        <v>246</v>
      </c>
      <c r="B247" s="624">
        <f ca="1">IFERROR(__xludf.DUMMYFUNCTION("""COMPUTED_VALUE"""),6412)</f>
        <v>6412</v>
      </c>
      <c r="C247" s="624" t="str">
        <f ca="1">IFERROR(__xludf.DUMMYFUNCTION("""COMPUTED_VALUE"""),"群電")</f>
        <v>群電</v>
      </c>
      <c r="D247" s="630">
        <f ca="1">IFERROR(__xludf.DUMMYFUNCTION("""COMPUTED_VALUE"""),0.000218)</f>
        <v>2.1800000000000001E-4</v>
      </c>
      <c r="E247" s="623">
        <f ca="1">IFERROR(__xludf.DUMMYFUNCTION("""COMPUTED_VALUE"""),780)</f>
        <v>780</v>
      </c>
      <c r="F247" s="624">
        <f ca="1">IFERROR(__xludf.DUMMYFUNCTION("""COMPUTED_VALUE"""),1598)</f>
        <v>1598</v>
      </c>
      <c r="G247" s="624" t="str">
        <f ca="1">IFERROR(__xludf.DUMMYFUNCTION("""COMPUTED_VALUE"""),"岱宇")</f>
        <v>岱宇</v>
      </c>
      <c r="H247" s="632">
        <f ca="1">IFERROR(__xludf.DUMMYFUNCTION("""COMPUTED_VALUE"""),0.000026)</f>
        <v>2.5999999999999998E-5</v>
      </c>
      <c r="I247" s="62"/>
      <c r="J247" s="62"/>
      <c r="K247" s="63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</row>
    <row r="248" spans="1:41" ht="15.5">
      <c r="A248" s="623">
        <f ca="1">IFERROR(__xludf.DUMMYFUNCTION("""COMPUTED_VALUE"""),247)</f>
        <v>247</v>
      </c>
      <c r="B248" s="624">
        <f ca="1">IFERROR(__xludf.DUMMYFUNCTION("""COMPUTED_VALUE"""),1215)</f>
        <v>1215</v>
      </c>
      <c r="C248" s="624" t="str">
        <f ca="1">IFERROR(__xludf.DUMMYFUNCTION("""COMPUTED_VALUE"""),"卜蜂")</f>
        <v>卜蜂</v>
      </c>
      <c r="D248" s="630">
        <f ca="1">IFERROR(__xludf.DUMMYFUNCTION("""COMPUTED_VALUE"""),0.000218)</f>
        <v>2.1800000000000001E-4</v>
      </c>
      <c r="E248" s="623">
        <f ca="1">IFERROR(__xludf.DUMMYFUNCTION("""COMPUTED_VALUE"""),781)</f>
        <v>781</v>
      </c>
      <c r="F248" s="624">
        <f ca="1">IFERROR(__xludf.DUMMYFUNCTION("""COMPUTED_VALUE"""),2364)</f>
        <v>2364</v>
      </c>
      <c r="G248" s="624" t="str">
        <f ca="1">IFERROR(__xludf.DUMMYFUNCTION("""COMPUTED_VALUE"""),"倫飛")</f>
        <v>倫飛</v>
      </c>
      <c r="H248" s="632">
        <f ca="1">IFERROR(__xludf.DUMMYFUNCTION("""COMPUTED_VALUE"""),0.000026)</f>
        <v>2.5999999999999998E-5</v>
      </c>
      <c r="I248" s="62"/>
      <c r="J248" s="62"/>
      <c r="K248" s="63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</row>
    <row r="249" spans="1:41" ht="15.5">
      <c r="A249" s="623">
        <f ca="1">IFERROR(__xludf.DUMMYFUNCTION("""COMPUTED_VALUE"""),248)</f>
        <v>248</v>
      </c>
      <c r="B249" s="624">
        <f ca="1">IFERROR(__xludf.DUMMYFUNCTION("""COMPUTED_VALUE"""),2201)</f>
        <v>2201</v>
      </c>
      <c r="C249" s="624" t="str">
        <f ca="1">IFERROR(__xludf.DUMMYFUNCTION("""COMPUTED_VALUE"""),"裕隆")</f>
        <v>裕隆</v>
      </c>
      <c r="D249" s="630">
        <f ca="1">IFERROR(__xludf.DUMMYFUNCTION("""COMPUTED_VALUE"""),0.000213)</f>
        <v>2.13E-4</v>
      </c>
      <c r="E249" s="623">
        <f ca="1">IFERROR(__xludf.DUMMYFUNCTION("""COMPUTED_VALUE"""),782)</f>
        <v>782</v>
      </c>
      <c r="F249" s="624">
        <f ca="1">IFERROR(__xludf.DUMMYFUNCTION("""COMPUTED_VALUE"""),3051)</f>
        <v>3051</v>
      </c>
      <c r="G249" s="624" t="str">
        <f ca="1">IFERROR(__xludf.DUMMYFUNCTION("""COMPUTED_VALUE"""),"力特")</f>
        <v>力特</v>
      </c>
      <c r="H249" s="632">
        <f ca="1">IFERROR(__xludf.DUMMYFUNCTION("""COMPUTED_VALUE"""),0.000026)</f>
        <v>2.5999999999999998E-5</v>
      </c>
      <c r="I249" s="62"/>
      <c r="J249" s="62"/>
      <c r="K249" s="63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</row>
    <row r="250" spans="1:41" ht="15.5">
      <c r="A250" s="623">
        <f ca="1">IFERROR(__xludf.DUMMYFUNCTION("""COMPUTED_VALUE"""),249)</f>
        <v>249</v>
      </c>
      <c r="B250" s="624">
        <f ca="1">IFERROR(__xludf.DUMMYFUNCTION("""COMPUTED_VALUE"""),2072)</f>
        <v>2072</v>
      </c>
      <c r="C250" s="624" t="str">
        <f ca="1">IFERROR(__xludf.DUMMYFUNCTION("""COMPUTED_VALUE"""),"世紀風電")</f>
        <v>世紀風電</v>
      </c>
      <c r="D250" s="630">
        <f ca="1">IFERROR(__xludf.DUMMYFUNCTION("""COMPUTED_VALUE"""),0.000211)</f>
        <v>2.1100000000000001E-4</v>
      </c>
      <c r="E250" s="623">
        <f ca="1">IFERROR(__xludf.DUMMYFUNCTION("""COMPUTED_VALUE"""),783)</f>
        <v>783</v>
      </c>
      <c r="F250" s="624">
        <f ca="1">IFERROR(__xludf.DUMMYFUNCTION("""COMPUTED_VALUE"""),3031)</f>
        <v>3031</v>
      </c>
      <c r="G250" s="624" t="str">
        <f ca="1">IFERROR(__xludf.DUMMYFUNCTION("""COMPUTED_VALUE"""),"佰鴻")</f>
        <v>佰鴻</v>
      </c>
      <c r="H250" s="632">
        <f ca="1">IFERROR(__xludf.DUMMYFUNCTION("""COMPUTED_VALUE"""),0.000026)</f>
        <v>2.5999999999999998E-5</v>
      </c>
      <c r="I250" s="62"/>
      <c r="J250" s="62"/>
      <c r="K250" s="63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</row>
    <row r="251" spans="1:41" ht="15.5">
      <c r="A251" s="623">
        <f ca="1">IFERROR(__xludf.DUMMYFUNCTION("""COMPUTED_VALUE"""),250)</f>
        <v>250</v>
      </c>
      <c r="B251" s="624">
        <f ca="1">IFERROR(__xludf.DUMMYFUNCTION("""COMPUTED_VALUE"""),1808)</f>
        <v>1808</v>
      </c>
      <c r="C251" s="624" t="str">
        <f ca="1">IFERROR(__xludf.DUMMYFUNCTION("""COMPUTED_VALUE"""),"潤隆")</f>
        <v>潤隆</v>
      </c>
      <c r="D251" s="630">
        <f ca="1">IFERROR(__xludf.DUMMYFUNCTION("""COMPUTED_VALUE"""),0.00021)</f>
        <v>2.1000000000000001E-4</v>
      </c>
      <c r="E251" s="623">
        <f ca="1">IFERROR(__xludf.DUMMYFUNCTION("""COMPUTED_VALUE"""),784)</f>
        <v>784</v>
      </c>
      <c r="F251" s="624">
        <f ca="1">IFERROR(__xludf.DUMMYFUNCTION("""COMPUTED_VALUE"""),1529)</f>
        <v>1529</v>
      </c>
      <c r="G251" s="624" t="str">
        <f ca="1">IFERROR(__xludf.DUMMYFUNCTION("""COMPUTED_VALUE"""),"樂事綠能")</f>
        <v>樂事綠能</v>
      </c>
      <c r="H251" s="632">
        <f ca="1">IFERROR(__xludf.DUMMYFUNCTION("""COMPUTED_VALUE"""),0.000025)</f>
        <v>2.5000000000000001E-5</v>
      </c>
      <c r="I251" s="62"/>
      <c r="J251" s="62"/>
      <c r="K251" s="63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</row>
    <row r="252" spans="1:41" ht="15.5">
      <c r="A252" s="623">
        <f ca="1">IFERROR(__xludf.DUMMYFUNCTION("""COMPUTED_VALUE"""),251)</f>
        <v>251</v>
      </c>
      <c r="B252" s="624">
        <f ca="1">IFERROR(__xludf.DUMMYFUNCTION("""COMPUTED_VALUE"""),4585)</f>
        <v>4585</v>
      </c>
      <c r="C252" s="624" t="str">
        <f ca="1">IFERROR(__xludf.DUMMYFUNCTION("""COMPUTED_VALUE"""),"達明")</f>
        <v>達明</v>
      </c>
      <c r="D252" s="630">
        <f ca="1">IFERROR(__xludf.DUMMYFUNCTION("""COMPUTED_VALUE"""),0.00021)</f>
        <v>2.1000000000000001E-4</v>
      </c>
      <c r="E252" s="623">
        <f ca="1">IFERROR(__xludf.DUMMYFUNCTION("""COMPUTED_VALUE"""),785)</f>
        <v>785</v>
      </c>
      <c r="F252" s="624">
        <f ca="1">IFERROR(__xludf.DUMMYFUNCTION("""COMPUTED_VALUE"""),1451)</f>
        <v>1451</v>
      </c>
      <c r="G252" s="624" t="str">
        <f ca="1">IFERROR(__xludf.DUMMYFUNCTION("""COMPUTED_VALUE"""),"年興")</f>
        <v>年興</v>
      </c>
      <c r="H252" s="632">
        <f ca="1">IFERROR(__xludf.DUMMYFUNCTION("""COMPUTED_VALUE"""),0.000025)</f>
        <v>2.5000000000000001E-5</v>
      </c>
      <c r="I252" s="62"/>
      <c r="J252" s="62"/>
      <c r="K252" s="63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</row>
    <row r="253" spans="1:41" ht="15.5">
      <c r="A253" s="623">
        <f ca="1">IFERROR(__xludf.DUMMYFUNCTION("""COMPUTED_VALUE"""),252)</f>
        <v>252</v>
      </c>
      <c r="B253" s="624">
        <f ca="1">IFERROR(__xludf.DUMMYFUNCTION("""COMPUTED_VALUE"""),2204)</f>
        <v>2204</v>
      </c>
      <c r="C253" s="624" t="str">
        <f ca="1">IFERROR(__xludf.DUMMYFUNCTION("""COMPUTED_VALUE"""),"中華")</f>
        <v>中華</v>
      </c>
      <c r="D253" s="630">
        <f ca="1">IFERROR(__xludf.DUMMYFUNCTION("""COMPUTED_VALUE"""),0.000209)</f>
        <v>2.0900000000000001E-4</v>
      </c>
      <c r="E253" s="623">
        <f ca="1">IFERROR(__xludf.DUMMYFUNCTION("""COMPUTED_VALUE"""),786)</f>
        <v>786</v>
      </c>
      <c r="F253" s="624">
        <f ca="1">IFERROR(__xludf.DUMMYFUNCTION("""COMPUTED_VALUE"""),1443)</f>
        <v>1443</v>
      </c>
      <c r="G253" s="624" t="str">
        <f ca="1">IFERROR(__xludf.DUMMYFUNCTION("""COMPUTED_VALUE"""),"立益物流")</f>
        <v>立益物流</v>
      </c>
      <c r="H253" s="632">
        <f ca="1">IFERROR(__xludf.DUMMYFUNCTION("""COMPUTED_VALUE"""),0.000025)</f>
        <v>2.5000000000000001E-5</v>
      </c>
      <c r="I253" s="62"/>
      <c r="J253" s="62"/>
      <c r="K253" s="63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</row>
    <row r="254" spans="1:41" ht="15.5">
      <c r="A254" s="623">
        <f ca="1">IFERROR(__xludf.DUMMYFUNCTION("""COMPUTED_VALUE"""),253)</f>
        <v>253</v>
      </c>
      <c r="B254" s="624">
        <f ca="1">IFERROR(__xludf.DUMMYFUNCTION("""COMPUTED_VALUE"""),3010)</f>
        <v>3010</v>
      </c>
      <c r="C254" s="624" t="str">
        <f ca="1">IFERROR(__xludf.DUMMYFUNCTION("""COMPUTED_VALUE"""),"華立")</f>
        <v>華立</v>
      </c>
      <c r="D254" s="630">
        <f ca="1">IFERROR(__xludf.DUMMYFUNCTION("""COMPUTED_VALUE"""),0.000208)</f>
        <v>2.0799999999999999E-4</v>
      </c>
      <c r="E254" s="623">
        <f ca="1">IFERROR(__xludf.DUMMYFUNCTION("""COMPUTED_VALUE"""),787)</f>
        <v>787</v>
      </c>
      <c r="F254" s="624">
        <f ca="1">IFERROR(__xludf.DUMMYFUNCTION("""COMPUTED_VALUE"""),1423)</f>
        <v>1423</v>
      </c>
      <c r="G254" s="624" t="str">
        <f ca="1">IFERROR(__xludf.DUMMYFUNCTION("""COMPUTED_VALUE"""),"利華")</f>
        <v>利華</v>
      </c>
      <c r="H254" s="632">
        <f ca="1">IFERROR(__xludf.DUMMYFUNCTION("""COMPUTED_VALUE"""),0.000025)</f>
        <v>2.5000000000000001E-5</v>
      </c>
      <c r="I254" s="62"/>
      <c r="J254" s="62"/>
      <c r="K254" s="63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</row>
    <row r="255" spans="1:41" ht="15.5">
      <c r="A255" s="623">
        <f ca="1">IFERROR(__xludf.DUMMYFUNCTION("""COMPUTED_VALUE"""),254)</f>
        <v>254</v>
      </c>
      <c r="B255" s="624">
        <f ca="1">IFERROR(__xludf.DUMMYFUNCTION("""COMPUTED_VALUE"""),1434)</f>
        <v>1434</v>
      </c>
      <c r="C255" s="624" t="str">
        <f ca="1">IFERROR(__xludf.DUMMYFUNCTION("""COMPUTED_VALUE"""),"福懋")</f>
        <v>福懋</v>
      </c>
      <c r="D255" s="630">
        <f ca="1">IFERROR(__xludf.DUMMYFUNCTION("""COMPUTED_VALUE"""),0.000207)</f>
        <v>2.0699999999999999E-4</v>
      </c>
      <c r="E255" s="623">
        <f ca="1">IFERROR(__xludf.DUMMYFUNCTION("""COMPUTED_VALUE"""),788)</f>
        <v>788</v>
      </c>
      <c r="F255" s="624">
        <f ca="1">IFERROR(__xludf.DUMMYFUNCTION("""COMPUTED_VALUE"""),1783)</f>
        <v>1783</v>
      </c>
      <c r="G255" s="624" t="str">
        <f ca="1">IFERROR(__xludf.DUMMYFUNCTION("""COMPUTED_VALUE"""),"和康生")</f>
        <v>和康生</v>
      </c>
      <c r="H255" s="632">
        <f ca="1">IFERROR(__xludf.DUMMYFUNCTION("""COMPUTED_VALUE"""),0.000025)</f>
        <v>2.5000000000000001E-5</v>
      </c>
      <c r="I255" s="62"/>
      <c r="J255" s="62"/>
      <c r="K255" s="63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</row>
    <row r="256" spans="1:41" ht="15.5">
      <c r="A256" s="623">
        <f ca="1">IFERROR(__xludf.DUMMYFUNCTION("""COMPUTED_VALUE"""),255)</f>
        <v>255</v>
      </c>
      <c r="B256" s="624">
        <f ca="1">IFERROR(__xludf.DUMMYFUNCTION("""COMPUTED_VALUE"""),2897)</f>
        <v>2897</v>
      </c>
      <c r="C256" s="624" t="str">
        <f ca="1">IFERROR(__xludf.DUMMYFUNCTION("""COMPUTED_VALUE"""),"王道銀行")</f>
        <v>王道銀行</v>
      </c>
      <c r="D256" s="630">
        <f ca="1">IFERROR(__xludf.DUMMYFUNCTION("""COMPUTED_VALUE"""),0.000205)</f>
        <v>2.05E-4</v>
      </c>
      <c r="E256" s="623">
        <f ca="1">IFERROR(__xludf.DUMMYFUNCTION("""COMPUTED_VALUE"""),789)</f>
        <v>789</v>
      </c>
      <c r="F256" s="624">
        <f ca="1">IFERROR(__xludf.DUMMYFUNCTION("""COMPUTED_VALUE"""),1721)</f>
        <v>1721</v>
      </c>
      <c r="G256" s="624" t="str">
        <f ca="1">IFERROR(__xludf.DUMMYFUNCTION("""COMPUTED_VALUE"""),"三晃")</f>
        <v>三晃</v>
      </c>
      <c r="H256" s="632">
        <f ca="1">IFERROR(__xludf.DUMMYFUNCTION("""COMPUTED_VALUE"""),0.000025)</f>
        <v>2.5000000000000001E-5</v>
      </c>
      <c r="I256" s="62"/>
      <c r="J256" s="62"/>
      <c r="K256" s="63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</row>
    <row r="257" spans="1:41" ht="15.5">
      <c r="A257" s="623">
        <f ca="1">IFERROR(__xludf.DUMMYFUNCTION("""COMPUTED_VALUE"""),256)</f>
        <v>256</v>
      </c>
      <c r="B257" s="624">
        <f ca="1">IFERROR(__xludf.DUMMYFUNCTION("""COMPUTED_VALUE"""),1314)</f>
        <v>1314</v>
      </c>
      <c r="C257" s="624" t="str">
        <f ca="1">IFERROR(__xludf.DUMMYFUNCTION("""COMPUTED_VALUE"""),"中石化")</f>
        <v>中石化</v>
      </c>
      <c r="D257" s="630">
        <f ca="1">IFERROR(__xludf.DUMMYFUNCTION("""COMPUTED_VALUE"""),0.000204)</f>
        <v>2.04E-4</v>
      </c>
      <c r="E257" s="623">
        <f ca="1">IFERROR(__xludf.DUMMYFUNCTION("""COMPUTED_VALUE"""),790)</f>
        <v>790</v>
      </c>
      <c r="F257" s="624">
        <f ca="1">IFERROR(__xludf.DUMMYFUNCTION("""COMPUTED_VALUE"""),6838)</f>
        <v>6838</v>
      </c>
      <c r="G257" s="624" t="str">
        <f ca="1">IFERROR(__xludf.DUMMYFUNCTION("""COMPUTED_VALUE"""),"台新藥")</f>
        <v>台新藥</v>
      </c>
      <c r="H257" s="632">
        <f ca="1">IFERROR(__xludf.DUMMYFUNCTION("""COMPUTED_VALUE"""),0.000025)</f>
        <v>2.5000000000000001E-5</v>
      </c>
      <c r="I257" s="62"/>
      <c r="J257" s="62"/>
      <c r="K257" s="63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</row>
    <row r="258" spans="1:41" ht="15.5">
      <c r="A258" s="623">
        <f ca="1">IFERROR(__xludf.DUMMYFUNCTION("""COMPUTED_VALUE"""),257)</f>
        <v>257</v>
      </c>
      <c r="B258" s="624">
        <f ca="1">IFERROR(__xludf.DUMMYFUNCTION("""COMPUTED_VALUE"""),3715)</f>
        <v>3715</v>
      </c>
      <c r="C258" s="624" t="str">
        <f ca="1">IFERROR(__xludf.DUMMYFUNCTION("""COMPUTED_VALUE"""),"定穎投控")</f>
        <v>定穎投控</v>
      </c>
      <c r="D258" s="630">
        <f ca="1">IFERROR(__xludf.DUMMYFUNCTION("""COMPUTED_VALUE"""),0.000202)</f>
        <v>2.02E-4</v>
      </c>
      <c r="E258" s="623">
        <f ca="1">IFERROR(__xludf.DUMMYFUNCTION("""COMPUTED_VALUE"""),791)</f>
        <v>791</v>
      </c>
      <c r="F258" s="624">
        <f ca="1">IFERROR(__xludf.DUMMYFUNCTION("""COMPUTED_VALUE"""),9935)</f>
        <v>9935</v>
      </c>
      <c r="G258" s="624" t="str">
        <f ca="1">IFERROR(__xludf.DUMMYFUNCTION("""COMPUTED_VALUE"""),"慶豐富")</f>
        <v>慶豐富</v>
      </c>
      <c r="H258" s="632">
        <f ca="1">IFERROR(__xludf.DUMMYFUNCTION("""COMPUTED_VALUE"""),0.000025)</f>
        <v>2.5000000000000001E-5</v>
      </c>
      <c r="I258" s="62"/>
      <c r="J258" s="62"/>
      <c r="K258" s="63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</row>
    <row r="259" spans="1:41" ht="15.5">
      <c r="A259" s="623">
        <f ca="1">IFERROR(__xludf.DUMMYFUNCTION("""COMPUTED_VALUE"""),258)</f>
        <v>258</v>
      </c>
      <c r="B259" s="624">
        <f ca="1">IFERROR(__xludf.DUMMYFUNCTION("""COMPUTED_VALUE"""),2428)</f>
        <v>2428</v>
      </c>
      <c r="C259" s="624" t="str">
        <f ca="1">IFERROR(__xludf.DUMMYFUNCTION("""COMPUTED_VALUE"""),"興勤")</f>
        <v>興勤</v>
      </c>
      <c r="D259" s="630">
        <f ca="1">IFERROR(__xludf.DUMMYFUNCTION("""COMPUTED_VALUE"""),0.000199)</f>
        <v>1.9900000000000001E-4</v>
      </c>
      <c r="E259" s="623">
        <f ca="1">IFERROR(__xludf.DUMMYFUNCTION("""COMPUTED_VALUE"""),792)</f>
        <v>792</v>
      </c>
      <c r="F259" s="624">
        <f ca="1">IFERROR(__xludf.DUMMYFUNCTION("""COMPUTED_VALUE"""),6799)</f>
        <v>6799</v>
      </c>
      <c r="G259" s="624" t="str">
        <f ca="1">IFERROR(__xludf.DUMMYFUNCTION("""COMPUTED_VALUE"""),"來頡")</f>
        <v>來頡</v>
      </c>
      <c r="H259" s="632">
        <f ca="1">IFERROR(__xludf.DUMMYFUNCTION("""COMPUTED_VALUE"""),0.000024)</f>
        <v>2.4000000000000001E-5</v>
      </c>
      <c r="I259" s="62"/>
      <c r="J259" s="62"/>
      <c r="K259" s="63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</row>
    <row r="260" spans="1:41" ht="15.5">
      <c r="A260" s="623">
        <f ca="1">IFERROR(__xludf.DUMMYFUNCTION("""COMPUTED_VALUE"""),259)</f>
        <v>259</v>
      </c>
      <c r="B260" s="624">
        <f ca="1">IFERROR(__xludf.DUMMYFUNCTION("""COMPUTED_VALUE"""),2464)</f>
        <v>2464</v>
      </c>
      <c r="C260" s="624" t="str">
        <f ca="1">IFERROR(__xludf.DUMMYFUNCTION("""COMPUTED_VALUE"""),"盟立")</f>
        <v>盟立</v>
      </c>
      <c r="D260" s="630">
        <f ca="1">IFERROR(__xludf.DUMMYFUNCTION("""COMPUTED_VALUE"""),0.000198)</f>
        <v>1.9799999999999999E-4</v>
      </c>
      <c r="E260" s="623">
        <f ca="1">IFERROR(__xludf.DUMMYFUNCTION("""COMPUTED_VALUE"""),793)</f>
        <v>793</v>
      </c>
      <c r="F260" s="624">
        <f ca="1">IFERROR(__xludf.DUMMYFUNCTION("""COMPUTED_VALUE"""),8162)</f>
        <v>8162</v>
      </c>
      <c r="G260" s="624" t="str">
        <f ca="1">IFERROR(__xludf.DUMMYFUNCTION("""COMPUTED_VALUE"""),"微矽電子-創")</f>
        <v>微矽電子-創</v>
      </c>
      <c r="H260" s="632">
        <f ca="1">IFERROR(__xludf.DUMMYFUNCTION("""COMPUTED_VALUE"""),0.000024)</f>
        <v>2.4000000000000001E-5</v>
      </c>
      <c r="I260" s="62"/>
      <c r="J260" s="62"/>
      <c r="K260" s="63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</row>
    <row r="261" spans="1:41" ht="15.5">
      <c r="A261" s="623">
        <f ca="1">IFERROR(__xludf.DUMMYFUNCTION("""COMPUTED_VALUE"""),260)</f>
        <v>260</v>
      </c>
      <c r="B261" s="624">
        <f ca="1">IFERROR(__xludf.DUMMYFUNCTION("""COMPUTED_VALUE"""),2393)</f>
        <v>2393</v>
      </c>
      <c r="C261" s="624" t="str">
        <f ca="1">IFERROR(__xludf.DUMMYFUNCTION("""COMPUTED_VALUE"""),"億光")</f>
        <v>億光</v>
      </c>
      <c r="D261" s="630">
        <f ca="1">IFERROR(__xludf.DUMMYFUNCTION("""COMPUTED_VALUE"""),0.000197)</f>
        <v>1.9699999999999999E-4</v>
      </c>
      <c r="E261" s="623">
        <f ca="1">IFERROR(__xludf.DUMMYFUNCTION("""COMPUTED_VALUE"""),794)</f>
        <v>794</v>
      </c>
      <c r="F261" s="624">
        <f ca="1">IFERROR(__xludf.DUMMYFUNCTION("""COMPUTED_VALUE"""),6141)</f>
        <v>6141</v>
      </c>
      <c r="G261" s="624" t="str">
        <f ca="1">IFERROR(__xludf.DUMMYFUNCTION("""COMPUTED_VALUE"""),"柏承")</f>
        <v>柏承</v>
      </c>
      <c r="H261" s="632">
        <f ca="1">IFERROR(__xludf.DUMMYFUNCTION("""COMPUTED_VALUE"""),0.000024)</f>
        <v>2.4000000000000001E-5</v>
      </c>
      <c r="I261" s="62"/>
      <c r="J261" s="62"/>
      <c r="K261" s="63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</row>
    <row r="262" spans="1:41" ht="15.5">
      <c r="A262" s="623">
        <f ca="1">IFERROR(__xludf.DUMMYFUNCTION("""COMPUTED_VALUE"""),261)</f>
        <v>261</v>
      </c>
      <c r="B262" s="624">
        <f ca="1">IFERROR(__xludf.DUMMYFUNCTION("""COMPUTED_VALUE"""),2851)</f>
        <v>2851</v>
      </c>
      <c r="C262" s="624" t="str">
        <f ca="1">IFERROR(__xludf.DUMMYFUNCTION("""COMPUTED_VALUE"""),"中再保")</f>
        <v>中再保</v>
      </c>
      <c r="D262" s="630">
        <f ca="1">IFERROR(__xludf.DUMMYFUNCTION("""COMPUTED_VALUE"""),0.000197)</f>
        <v>1.9699999999999999E-4</v>
      </c>
      <c r="E262" s="623">
        <f ca="1">IFERROR(__xludf.DUMMYFUNCTION("""COMPUTED_VALUE"""),795)</f>
        <v>795</v>
      </c>
      <c r="F262" s="624">
        <f ca="1">IFERROR(__xludf.DUMMYFUNCTION("""COMPUTED_VALUE"""),6582)</f>
        <v>6582</v>
      </c>
      <c r="G262" s="624" t="str">
        <f ca="1">IFERROR(__xludf.DUMMYFUNCTION("""COMPUTED_VALUE"""),"申豐")</f>
        <v>申豐</v>
      </c>
      <c r="H262" s="632">
        <f ca="1">IFERROR(__xludf.DUMMYFUNCTION("""COMPUTED_VALUE"""),0.000024)</f>
        <v>2.4000000000000001E-5</v>
      </c>
      <c r="I262" s="62"/>
      <c r="J262" s="62"/>
      <c r="K262" s="63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</row>
    <row r="263" spans="1:41" ht="15.5">
      <c r="A263" s="623">
        <f ca="1">IFERROR(__xludf.DUMMYFUNCTION("""COMPUTED_VALUE"""),262)</f>
        <v>262</v>
      </c>
      <c r="B263" s="624">
        <f ca="1">IFERROR(__xludf.DUMMYFUNCTION("""COMPUTED_VALUE"""),7795)</f>
        <v>7795</v>
      </c>
      <c r="C263" s="624" t="str">
        <f ca="1">IFERROR(__xludf.DUMMYFUNCTION("""COMPUTED_VALUE"""),"長廣")</f>
        <v>長廣</v>
      </c>
      <c r="D263" s="630">
        <f ca="1">IFERROR(__xludf.DUMMYFUNCTION("""COMPUTED_VALUE"""),0.000197)</f>
        <v>1.9699999999999999E-4</v>
      </c>
      <c r="E263" s="623">
        <f ca="1">IFERROR(__xludf.DUMMYFUNCTION("""COMPUTED_VALUE"""),796)</f>
        <v>796</v>
      </c>
      <c r="F263" s="624">
        <f ca="1">IFERROR(__xludf.DUMMYFUNCTION("""COMPUTED_VALUE"""),1528)</f>
        <v>1528</v>
      </c>
      <c r="G263" s="624" t="str">
        <f ca="1">IFERROR(__xludf.DUMMYFUNCTION("""COMPUTED_VALUE"""),"恩德")</f>
        <v>恩德</v>
      </c>
      <c r="H263" s="632">
        <f ca="1">IFERROR(__xludf.DUMMYFUNCTION("""COMPUTED_VALUE"""),0.000024)</f>
        <v>2.4000000000000001E-5</v>
      </c>
      <c r="I263" s="62"/>
      <c r="J263" s="62"/>
      <c r="K263" s="63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</row>
    <row r="264" spans="1:41" ht="15.5">
      <c r="A264" s="623">
        <f ca="1">IFERROR(__xludf.DUMMYFUNCTION("""COMPUTED_VALUE"""),263)</f>
        <v>263</v>
      </c>
      <c r="B264" s="624">
        <f ca="1">IFERROR(__xludf.DUMMYFUNCTION("""COMPUTED_VALUE"""),8271)</f>
        <v>8271</v>
      </c>
      <c r="C264" s="624" t="str">
        <f ca="1">IFERROR(__xludf.DUMMYFUNCTION("""COMPUTED_VALUE"""),"宇瞻")</f>
        <v>宇瞻</v>
      </c>
      <c r="D264" s="630">
        <f ca="1">IFERROR(__xludf.DUMMYFUNCTION("""COMPUTED_VALUE"""),0.000196)</f>
        <v>1.9599999999999999E-4</v>
      </c>
      <c r="E264" s="623">
        <f ca="1">IFERROR(__xludf.DUMMYFUNCTION("""COMPUTED_VALUE"""),797)</f>
        <v>797</v>
      </c>
      <c r="F264" s="624">
        <f ca="1">IFERROR(__xludf.DUMMYFUNCTION("""COMPUTED_VALUE"""),3024)</f>
        <v>3024</v>
      </c>
      <c r="G264" s="624" t="str">
        <f ca="1">IFERROR(__xludf.DUMMYFUNCTION("""COMPUTED_VALUE"""),"憶聲")</f>
        <v>憶聲</v>
      </c>
      <c r="H264" s="632">
        <f ca="1">IFERROR(__xludf.DUMMYFUNCTION("""COMPUTED_VALUE"""),0.000024)</f>
        <v>2.4000000000000001E-5</v>
      </c>
      <c r="I264" s="62"/>
      <c r="J264" s="62"/>
      <c r="K264" s="63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</row>
    <row r="265" spans="1:41" ht="15.5">
      <c r="A265" s="623">
        <f ca="1">IFERROR(__xludf.DUMMYFUNCTION("""COMPUTED_VALUE"""),264)</f>
        <v>264</v>
      </c>
      <c r="B265" s="624">
        <f ca="1">IFERROR(__xludf.DUMMYFUNCTION("""COMPUTED_VALUE"""),1514)</f>
        <v>1514</v>
      </c>
      <c r="C265" s="624" t="str">
        <f ca="1">IFERROR(__xludf.DUMMYFUNCTION("""COMPUTED_VALUE"""),"亞力")</f>
        <v>亞力</v>
      </c>
      <c r="D265" s="630">
        <f ca="1">IFERROR(__xludf.DUMMYFUNCTION("""COMPUTED_VALUE"""),0.000194)</f>
        <v>1.94E-4</v>
      </c>
      <c r="E265" s="623">
        <f ca="1">IFERROR(__xludf.DUMMYFUNCTION("""COMPUTED_VALUE"""),798)</f>
        <v>798</v>
      </c>
      <c r="F265" s="624">
        <f ca="1">IFERROR(__xludf.DUMMYFUNCTION("""COMPUTED_VALUE"""),2506)</f>
        <v>2506</v>
      </c>
      <c r="G265" s="624" t="str">
        <f ca="1">IFERROR(__xludf.DUMMYFUNCTION("""COMPUTED_VALUE"""),"太設")</f>
        <v>太設</v>
      </c>
      <c r="H265" s="632">
        <f ca="1">IFERROR(__xludf.DUMMYFUNCTION("""COMPUTED_VALUE"""),0.000024)</f>
        <v>2.4000000000000001E-5</v>
      </c>
      <c r="I265" s="62"/>
      <c r="J265" s="62"/>
      <c r="K265" s="63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</row>
    <row r="266" spans="1:41" ht="15.5">
      <c r="A266" s="623">
        <f ca="1">IFERROR(__xludf.DUMMYFUNCTION("""COMPUTED_VALUE"""),265)</f>
        <v>265</v>
      </c>
      <c r="B266" s="624">
        <f ca="1">IFERROR(__xludf.DUMMYFUNCTION("""COMPUTED_VALUE"""),8033)</f>
        <v>8033</v>
      </c>
      <c r="C266" s="624" t="str">
        <f ca="1">IFERROR(__xludf.DUMMYFUNCTION("""COMPUTED_VALUE"""),"雷虎")</f>
        <v>雷虎</v>
      </c>
      <c r="D266" s="630">
        <f ca="1">IFERROR(__xludf.DUMMYFUNCTION("""COMPUTED_VALUE"""),0.000193)</f>
        <v>1.93E-4</v>
      </c>
      <c r="E266" s="623">
        <f ca="1">IFERROR(__xludf.DUMMYFUNCTION("""COMPUTED_VALUE"""),799)</f>
        <v>799</v>
      </c>
      <c r="F266" s="624">
        <f ca="1">IFERROR(__xludf.DUMMYFUNCTION("""COMPUTED_VALUE"""),2477)</f>
        <v>2477</v>
      </c>
      <c r="G266" s="624" t="str">
        <f ca="1">IFERROR(__xludf.DUMMYFUNCTION("""COMPUTED_VALUE"""),"美隆電")</f>
        <v>美隆電</v>
      </c>
      <c r="H266" s="632">
        <f ca="1">IFERROR(__xludf.DUMMYFUNCTION("""COMPUTED_VALUE"""),0.000024)</f>
        <v>2.4000000000000001E-5</v>
      </c>
      <c r="I266" s="62"/>
      <c r="J266" s="62"/>
      <c r="K266" s="63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</row>
    <row r="267" spans="1:41" ht="15.5">
      <c r="A267" s="623">
        <f ca="1">IFERROR(__xludf.DUMMYFUNCTION("""COMPUTED_VALUE"""),266)</f>
        <v>266</v>
      </c>
      <c r="B267" s="624">
        <f ca="1">IFERROR(__xludf.DUMMYFUNCTION("""COMPUTED_VALUE"""),1227)</f>
        <v>1227</v>
      </c>
      <c r="C267" s="624" t="str">
        <f ca="1">IFERROR(__xludf.DUMMYFUNCTION("""COMPUTED_VALUE"""),"佳格")</f>
        <v>佳格</v>
      </c>
      <c r="D267" s="630">
        <f ca="1">IFERROR(__xludf.DUMMYFUNCTION("""COMPUTED_VALUE"""),0.000191)</f>
        <v>1.9100000000000001E-4</v>
      </c>
      <c r="E267" s="623">
        <f ca="1">IFERROR(__xludf.DUMMYFUNCTION("""COMPUTED_VALUE"""),800)</f>
        <v>800</v>
      </c>
      <c r="F267" s="624">
        <f ca="1">IFERROR(__xludf.DUMMYFUNCTION("""COMPUTED_VALUE"""),2537)</f>
        <v>2537</v>
      </c>
      <c r="G267" s="624" t="str">
        <f ca="1">IFERROR(__xludf.DUMMYFUNCTION("""COMPUTED_VALUE"""),"聯上發")</f>
        <v>聯上發</v>
      </c>
      <c r="H267" s="632">
        <f ca="1">IFERROR(__xludf.DUMMYFUNCTION("""COMPUTED_VALUE"""),0.000024)</f>
        <v>2.4000000000000001E-5</v>
      </c>
      <c r="I267" s="62"/>
      <c r="J267" s="62"/>
      <c r="K267" s="63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</row>
    <row r="268" spans="1:41" ht="15.5">
      <c r="A268" s="623">
        <f ca="1">IFERROR(__xludf.DUMMYFUNCTION("""COMPUTED_VALUE"""),267)</f>
        <v>267</v>
      </c>
      <c r="B268" s="624">
        <f ca="1">IFERROR(__xludf.DUMMYFUNCTION("""COMPUTED_VALUE"""),1231)</f>
        <v>1231</v>
      </c>
      <c r="C268" s="624" t="str">
        <f ca="1">IFERROR(__xludf.DUMMYFUNCTION("""COMPUTED_VALUE"""),"聯華食")</f>
        <v>聯華食</v>
      </c>
      <c r="D268" s="630">
        <f ca="1">IFERROR(__xludf.DUMMYFUNCTION("""COMPUTED_VALUE"""),0.000191)</f>
        <v>1.9100000000000001E-4</v>
      </c>
      <c r="E268" s="623">
        <f ca="1">IFERROR(__xludf.DUMMYFUNCTION("""COMPUTED_VALUE"""),801)</f>
        <v>801</v>
      </c>
      <c r="F268" s="624">
        <f ca="1">IFERROR(__xludf.DUMMYFUNCTION("""COMPUTED_VALUE"""),2516)</f>
        <v>2516</v>
      </c>
      <c r="G268" s="624" t="str">
        <f ca="1">IFERROR(__xludf.DUMMYFUNCTION("""COMPUTED_VALUE"""),"新建")</f>
        <v>新建</v>
      </c>
      <c r="H268" s="632">
        <f ca="1">IFERROR(__xludf.DUMMYFUNCTION("""COMPUTED_VALUE"""),0.000023)</f>
        <v>2.3E-5</v>
      </c>
      <c r="I268" s="62"/>
      <c r="J268" s="62"/>
      <c r="K268" s="63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</row>
    <row r="269" spans="1:41" ht="15.5">
      <c r="A269" s="623">
        <f ca="1">IFERROR(__xludf.DUMMYFUNCTION("""COMPUTED_VALUE"""),268)</f>
        <v>268</v>
      </c>
      <c r="B269" s="624">
        <f ca="1">IFERROR(__xludf.DUMMYFUNCTION("""COMPUTED_VALUE"""),2329)</f>
        <v>2329</v>
      </c>
      <c r="C269" s="624" t="str">
        <f ca="1">IFERROR(__xludf.DUMMYFUNCTION("""COMPUTED_VALUE"""),"華泰")</f>
        <v>華泰</v>
      </c>
      <c r="D269" s="630">
        <f ca="1">IFERROR(__xludf.DUMMYFUNCTION("""COMPUTED_VALUE"""),0.00019)</f>
        <v>1.9000000000000001E-4</v>
      </c>
      <c r="E269" s="623">
        <f ca="1">IFERROR(__xludf.DUMMYFUNCTION("""COMPUTED_VALUE"""),802)</f>
        <v>802</v>
      </c>
      <c r="F269" s="624">
        <f ca="1">IFERROR(__xludf.DUMMYFUNCTION("""COMPUTED_VALUE"""),3038)</f>
        <v>3038</v>
      </c>
      <c r="G269" s="624" t="str">
        <f ca="1">IFERROR(__xludf.DUMMYFUNCTION("""COMPUTED_VALUE"""),"全台")</f>
        <v>全台</v>
      </c>
      <c r="H269" s="632">
        <f ca="1">IFERROR(__xludf.DUMMYFUNCTION("""COMPUTED_VALUE"""),0.000023)</f>
        <v>2.3E-5</v>
      </c>
      <c r="I269" s="62"/>
      <c r="J269" s="62"/>
      <c r="K269" s="63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</row>
    <row r="270" spans="1:41" ht="15.5">
      <c r="A270" s="623">
        <f ca="1">IFERROR(__xludf.DUMMYFUNCTION("""COMPUTED_VALUE"""),269)</f>
        <v>269</v>
      </c>
      <c r="B270" s="624">
        <f ca="1">IFERROR(__xludf.DUMMYFUNCTION("""COMPUTED_VALUE"""),2351)</f>
        <v>2351</v>
      </c>
      <c r="C270" s="624" t="str">
        <f ca="1">IFERROR(__xludf.DUMMYFUNCTION("""COMPUTED_VALUE"""),"順德")</f>
        <v>順德</v>
      </c>
      <c r="D270" s="630">
        <f ca="1">IFERROR(__xludf.DUMMYFUNCTION("""COMPUTED_VALUE"""),0.000189)</f>
        <v>1.8900000000000001E-4</v>
      </c>
      <c r="E270" s="623">
        <f ca="1">IFERROR(__xludf.DUMMYFUNCTION("""COMPUTED_VALUE"""),803)</f>
        <v>803</v>
      </c>
      <c r="F270" s="624">
        <f ca="1">IFERROR(__xludf.DUMMYFUNCTION("""COMPUTED_VALUE"""),2739)</f>
        <v>2739</v>
      </c>
      <c r="G270" s="624" t="str">
        <f ca="1">IFERROR(__xludf.DUMMYFUNCTION("""COMPUTED_VALUE"""),"寒舍")</f>
        <v>寒舍</v>
      </c>
      <c r="H270" s="632">
        <f ca="1">IFERROR(__xludf.DUMMYFUNCTION("""COMPUTED_VALUE"""),0.000023)</f>
        <v>2.3E-5</v>
      </c>
      <c r="I270" s="62"/>
      <c r="J270" s="62"/>
      <c r="K270" s="63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</row>
    <row r="271" spans="1:41" ht="15.5">
      <c r="A271" s="623">
        <f ca="1">IFERROR(__xludf.DUMMYFUNCTION("""COMPUTED_VALUE"""),270)</f>
        <v>270</v>
      </c>
      <c r="B271" s="624">
        <f ca="1">IFERROR(__xludf.DUMMYFUNCTION("""COMPUTED_VALUE"""),1609)</f>
        <v>1609</v>
      </c>
      <c r="C271" s="624" t="str">
        <f ca="1">IFERROR(__xludf.DUMMYFUNCTION("""COMPUTED_VALUE"""),"大亞")</f>
        <v>大亞</v>
      </c>
      <c r="D271" s="630">
        <f ca="1">IFERROR(__xludf.DUMMYFUNCTION("""COMPUTED_VALUE"""),0.000189)</f>
        <v>1.8900000000000001E-4</v>
      </c>
      <c r="E271" s="623">
        <f ca="1">IFERROR(__xludf.DUMMYFUNCTION("""COMPUTED_VALUE"""),804)</f>
        <v>804</v>
      </c>
      <c r="F271" s="624">
        <f ca="1">IFERROR(__xludf.DUMMYFUNCTION("""COMPUTED_VALUE"""),1533)</f>
        <v>1533</v>
      </c>
      <c r="G271" s="624" t="str">
        <f ca="1">IFERROR(__xludf.DUMMYFUNCTION("""COMPUTED_VALUE"""),"車王電")</f>
        <v>車王電</v>
      </c>
      <c r="H271" s="632">
        <f ca="1">IFERROR(__xludf.DUMMYFUNCTION("""COMPUTED_VALUE"""),0.000023)</f>
        <v>2.3E-5</v>
      </c>
      <c r="I271" s="62"/>
      <c r="J271" s="62"/>
      <c r="K271" s="63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</row>
    <row r="272" spans="1:41" ht="15.5">
      <c r="A272" s="623">
        <f ca="1">IFERROR(__xludf.DUMMYFUNCTION("""COMPUTED_VALUE"""),271)</f>
        <v>271</v>
      </c>
      <c r="B272" s="624">
        <f ca="1">IFERROR(__xludf.DUMMYFUNCTION("""COMPUTED_VALUE"""),3576)</f>
        <v>3576</v>
      </c>
      <c r="C272" s="624" t="str">
        <f ca="1">IFERROR(__xludf.DUMMYFUNCTION("""COMPUTED_VALUE"""),"聯合再生")</f>
        <v>聯合再生</v>
      </c>
      <c r="D272" s="630">
        <f ca="1">IFERROR(__xludf.DUMMYFUNCTION("""COMPUTED_VALUE"""),0.000189)</f>
        <v>1.8900000000000001E-4</v>
      </c>
      <c r="E272" s="623">
        <f ca="1">IFERROR(__xludf.DUMMYFUNCTION("""COMPUTED_VALUE"""),805)</f>
        <v>805</v>
      </c>
      <c r="F272" s="624">
        <f ca="1">IFERROR(__xludf.DUMMYFUNCTION("""COMPUTED_VALUE"""),1339)</f>
        <v>1339</v>
      </c>
      <c r="G272" s="624" t="str">
        <f ca="1">IFERROR(__xludf.DUMMYFUNCTION("""COMPUTED_VALUE"""),"昭輝")</f>
        <v>昭輝</v>
      </c>
      <c r="H272" s="632">
        <f ca="1">IFERROR(__xludf.DUMMYFUNCTION("""COMPUTED_VALUE"""),0.000023)</f>
        <v>2.3E-5</v>
      </c>
      <c r="I272" s="62"/>
      <c r="J272" s="62"/>
      <c r="K272" s="63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</row>
    <row r="273" spans="1:41" ht="15.5">
      <c r="A273" s="623">
        <f ca="1">IFERROR(__xludf.DUMMYFUNCTION("""COMPUTED_VALUE"""),272)</f>
        <v>272</v>
      </c>
      <c r="B273" s="624">
        <f ca="1">IFERROR(__xludf.DUMMYFUNCTION("""COMPUTED_VALUE"""),6757)</f>
        <v>6757</v>
      </c>
      <c r="C273" s="624" t="str">
        <f ca="1">IFERROR(__xludf.DUMMYFUNCTION("""COMPUTED_VALUE"""),"台灣虎航")</f>
        <v>台灣虎航</v>
      </c>
      <c r="D273" s="630">
        <f ca="1">IFERROR(__xludf.DUMMYFUNCTION("""COMPUTED_VALUE"""),0.000188)</f>
        <v>1.8799999999999999E-4</v>
      </c>
      <c r="E273" s="623">
        <f ca="1">IFERROR(__xludf.DUMMYFUNCTION("""COMPUTED_VALUE"""),806)</f>
        <v>806</v>
      </c>
      <c r="F273" s="624">
        <f ca="1">IFERROR(__xludf.DUMMYFUNCTION("""COMPUTED_VALUE"""),1752)</f>
        <v>1752</v>
      </c>
      <c r="G273" s="624" t="str">
        <f ca="1">IFERROR(__xludf.DUMMYFUNCTION("""COMPUTED_VALUE"""),"南光")</f>
        <v>南光</v>
      </c>
      <c r="H273" s="632">
        <f ca="1">IFERROR(__xludf.DUMMYFUNCTION("""COMPUTED_VALUE"""),0.000023)</f>
        <v>2.3E-5</v>
      </c>
      <c r="I273" s="62"/>
      <c r="J273" s="62"/>
      <c r="K273" s="63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</row>
    <row r="274" spans="1:41" ht="15.5">
      <c r="A274" s="623">
        <f ca="1">IFERROR(__xludf.DUMMYFUNCTION("""COMPUTED_VALUE"""),273)</f>
        <v>273</v>
      </c>
      <c r="B274" s="624">
        <f ca="1">IFERROR(__xludf.DUMMYFUNCTION("""COMPUTED_VALUE"""),6579)</f>
        <v>6579</v>
      </c>
      <c r="C274" s="624" t="str">
        <f ca="1">IFERROR(__xludf.DUMMYFUNCTION("""COMPUTED_VALUE"""),"研揚")</f>
        <v>研揚</v>
      </c>
      <c r="D274" s="630">
        <f ca="1">IFERROR(__xludf.DUMMYFUNCTION("""COMPUTED_VALUE"""),0.000186)</f>
        <v>1.8599999999999999E-4</v>
      </c>
      <c r="E274" s="623">
        <f ca="1">IFERROR(__xludf.DUMMYFUNCTION("""COMPUTED_VALUE"""),807)</f>
        <v>807</v>
      </c>
      <c r="F274" s="624">
        <f ca="1">IFERROR(__xludf.DUMMYFUNCTION("""COMPUTED_VALUE"""),1730)</f>
        <v>1730</v>
      </c>
      <c r="G274" s="624" t="str">
        <f ca="1">IFERROR(__xludf.DUMMYFUNCTION("""COMPUTED_VALUE"""),"花仙子")</f>
        <v>花仙子</v>
      </c>
      <c r="H274" s="632">
        <f ca="1">IFERROR(__xludf.DUMMYFUNCTION("""COMPUTED_VALUE"""),0.000023)</f>
        <v>2.3E-5</v>
      </c>
      <c r="I274" s="62"/>
      <c r="J274" s="62"/>
      <c r="K274" s="63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</row>
    <row r="275" spans="1:41" ht="15.5">
      <c r="A275" s="623">
        <f ca="1">IFERROR(__xludf.DUMMYFUNCTION("""COMPUTED_VALUE"""),274)</f>
        <v>274</v>
      </c>
      <c r="B275" s="624">
        <f ca="1">IFERROR(__xludf.DUMMYFUNCTION("""COMPUTED_VALUE"""),2362)</f>
        <v>2362</v>
      </c>
      <c r="C275" s="624" t="str">
        <f ca="1">IFERROR(__xludf.DUMMYFUNCTION("""COMPUTED_VALUE"""),"藍天")</f>
        <v>藍天</v>
      </c>
      <c r="D275" s="630">
        <f ca="1">IFERROR(__xludf.DUMMYFUNCTION("""COMPUTED_VALUE"""),0.000186)</f>
        <v>1.8599999999999999E-4</v>
      </c>
      <c r="E275" s="623">
        <f ca="1">IFERROR(__xludf.DUMMYFUNCTION("""COMPUTED_VALUE"""),808)</f>
        <v>808</v>
      </c>
      <c r="F275" s="624">
        <f ca="1">IFERROR(__xludf.DUMMYFUNCTION("""COMPUTED_VALUE"""),2241)</f>
        <v>2241</v>
      </c>
      <c r="G275" s="624" t="str">
        <f ca="1">IFERROR(__xludf.DUMMYFUNCTION("""COMPUTED_VALUE"""),"艾姆勒")</f>
        <v>艾姆勒</v>
      </c>
      <c r="H275" s="632">
        <f ca="1">IFERROR(__xludf.DUMMYFUNCTION("""COMPUTED_VALUE"""),0.000023)</f>
        <v>2.3E-5</v>
      </c>
      <c r="I275" s="62"/>
      <c r="J275" s="62"/>
      <c r="K275" s="63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</row>
    <row r="276" spans="1:41" ht="15.5">
      <c r="A276" s="623">
        <f ca="1">IFERROR(__xludf.DUMMYFUNCTION("""COMPUTED_VALUE"""),275)</f>
        <v>275</v>
      </c>
      <c r="B276" s="624">
        <f ca="1">IFERROR(__xludf.DUMMYFUNCTION("""COMPUTED_VALUE"""),2316)</f>
        <v>2316</v>
      </c>
      <c r="C276" s="624" t="str">
        <f ca="1">IFERROR(__xludf.DUMMYFUNCTION("""COMPUTED_VALUE"""),"楠梓電")</f>
        <v>楠梓電</v>
      </c>
      <c r="D276" s="630">
        <f ca="1">IFERROR(__xludf.DUMMYFUNCTION("""COMPUTED_VALUE"""),0.000185)</f>
        <v>1.85E-4</v>
      </c>
      <c r="E276" s="623">
        <f ca="1">IFERROR(__xludf.DUMMYFUNCTION("""COMPUTED_VALUE"""),809)</f>
        <v>809</v>
      </c>
      <c r="F276" s="624">
        <f ca="1">IFERROR(__xludf.DUMMYFUNCTION("""COMPUTED_VALUE"""),3311)</f>
        <v>3311</v>
      </c>
      <c r="G276" s="624" t="str">
        <f ca="1">IFERROR(__xludf.DUMMYFUNCTION("""COMPUTED_VALUE"""),"閎暉")</f>
        <v>閎暉</v>
      </c>
      <c r="H276" s="632">
        <f ca="1">IFERROR(__xludf.DUMMYFUNCTION("""COMPUTED_VALUE"""),0.000023)</f>
        <v>2.3E-5</v>
      </c>
      <c r="I276" s="62"/>
      <c r="J276" s="62"/>
      <c r="K276" s="63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</row>
    <row r="277" spans="1:41" ht="15.5">
      <c r="A277" s="623">
        <f ca="1">IFERROR(__xludf.DUMMYFUNCTION("""COMPUTED_VALUE"""),276)</f>
        <v>276</v>
      </c>
      <c r="B277" s="624">
        <f ca="1">IFERROR(__xludf.DUMMYFUNCTION("""COMPUTED_VALUE"""),9958)</f>
        <v>9958</v>
      </c>
      <c r="C277" s="624" t="str">
        <f ca="1">IFERROR(__xludf.DUMMYFUNCTION("""COMPUTED_VALUE"""),"世紀鋼")</f>
        <v>世紀鋼</v>
      </c>
      <c r="D277" s="630">
        <f ca="1">IFERROR(__xludf.DUMMYFUNCTION("""COMPUTED_VALUE"""),0.000184)</f>
        <v>1.84E-4</v>
      </c>
      <c r="E277" s="623">
        <f ca="1">IFERROR(__xludf.DUMMYFUNCTION("""COMPUTED_VALUE"""),810)</f>
        <v>810</v>
      </c>
      <c r="F277" s="624">
        <f ca="1">IFERROR(__xludf.DUMMYFUNCTION("""COMPUTED_VALUE"""),4934)</f>
        <v>4934</v>
      </c>
      <c r="G277" s="624" t="str">
        <f ca="1">IFERROR(__xludf.DUMMYFUNCTION("""COMPUTED_VALUE"""),"太極")</f>
        <v>太極</v>
      </c>
      <c r="H277" s="632">
        <f ca="1">IFERROR(__xludf.DUMMYFUNCTION("""COMPUTED_VALUE"""),0.000023)</f>
        <v>2.3E-5</v>
      </c>
      <c r="I277" s="62"/>
      <c r="J277" s="62"/>
      <c r="K277" s="63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</row>
    <row r="278" spans="1:41" ht="15.5">
      <c r="A278" s="623">
        <f ca="1">IFERROR(__xludf.DUMMYFUNCTION("""COMPUTED_VALUE"""),277)</f>
        <v>277</v>
      </c>
      <c r="B278" s="624">
        <f ca="1">IFERROR(__xludf.DUMMYFUNCTION("""COMPUTED_VALUE"""),2367)</f>
        <v>2367</v>
      </c>
      <c r="C278" s="624" t="str">
        <f ca="1">IFERROR(__xludf.DUMMYFUNCTION("""COMPUTED_VALUE"""),"燿華")</f>
        <v>燿華</v>
      </c>
      <c r="D278" s="630">
        <f ca="1">IFERROR(__xludf.DUMMYFUNCTION("""COMPUTED_VALUE"""),0.000183)</f>
        <v>1.83E-4</v>
      </c>
      <c r="E278" s="623">
        <f ca="1">IFERROR(__xludf.DUMMYFUNCTION("""COMPUTED_VALUE"""),811)</f>
        <v>811</v>
      </c>
      <c r="F278" s="624">
        <f ca="1">IFERROR(__xludf.DUMMYFUNCTION("""COMPUTED_VALUE"""),8476)</f>
        <v>8476</v>
      </c>
      <c r="G278" s="624" t="str">
        <f ca="1">IFERROR(__xludf.DUMMYFUNCTION("""COMPUTED_VALUE"""),"台境*")</f>
        <v>台境*</v>
      </c>
      <c r="H278" s="632">
        <f ca="1">IFERROR(__xludf.DUMMYFUNCTION("""COMPUTED_VALUE"""),0.000023)</f>
        <v>2.3E-5</v>
      </c>
      <c r="I278" s="62"/>
      <c r="J278" s="62"/>
      <c r="K278" s="63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</row>
    <row r="279" spans="1:41" ht="15.5">
      <c r="A279" s="623">
        <f ca="1">IFERROR(__xludf.DUMMYFUNCTION("""COMPUTED_VALUE"""),278)</f>
        <v>278</v>
      </c>
      <c r="B279" s="624">
        <f ca="1">IFERROR(__xludf.DUMMYFUNCTION("""COMPUTED_VALUE"""),2501)</f>
        <v>2501</v>
      </c>
      <c r="C279" s="624" t="str">
        <f ca="1">IFERROR(__xludf.DUMMYFUNCTION("""COMPUTED_VALUE"""),"國建")</f>
        <v>國建</v>
      </c>
      <c r="D279" s="630">
        <f ca="1">IFERROR(__xludf.DUMMYFUNCTION("""COMPUTED_VALUE"""),0.000182)</f>
        <v>1.8200000000000001E-4</v>
      </c>
      <c r="E279" s="623">
        <f ca="1">IFERROR(__xludf.DUMMYFUNCTION("""COMPUTED_VALUE"""),812)</f>
        <v>812</v>
      </c>
      <c r="F279" s="624">
        <f ca="1">IFERROR(__xludf.DUMMYFUNCTION("""COMPUTED_VALUE"""),8463)</f>
        <v>8463</v>
      </c>
      <c r="G279" s="624" t="str">
        <f ca="1">IFERROR(__xludf.DUMMYFUNCTION("""COMPUTED_VALUE"""),"潤泰材")</f>
        <v>潤泰材</v>
      </c>
      <c r="H279" s="632">
        <f ca="1">IFERROR(__xludf.DUMMYFUNCTION("""COMPUTED_VALUE"""),0.000023)</f>
        <v>2.3E-5</v>
      </c>
      <c r="I279" s="62"/>
      <c r="J279" s="62"/>
      <c r="K279" s="63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</row>
    <row r="280" spans="1:41" ht="15.5">
      <c r="A280" s="623">
        <f ca="1">IFERROR(__xludf.DUMMYFUNCTION("""COMPUTED_VALUE"""),279)</f>
        <v>279</v>
      </c>
      <c r="B280" s="624">
        <f ca="1">IFERROR(__xludf.DUMMYFUNCTION("""COMPUTED_VALUE"""),2363)</f>
        <v>2363</v>
      </c>
      <c r="C280" s="624" t="str">
        <f ca="1">IFERROR(__xludf.DUMMYFUNCTION("""COMPUTED_VALUE"""),"矽統")</f>
        <v>矽統</v>
      </c>
      <c r="D280" s="630">
        <f ca="1">IFERROR(__xludf.DUMMYFUNCTION("""COMPUTED_VALUE"""),0.00018)</f>
        <v>1.8000000000000001E-4</v>
      </c>
      <c r="E280" s="623">
        <f ca="1">IFERROR(__xludf.DUMMYFUNCTION("""COMPUTED_VALUE"""),813)</f>
        <v>813</v>
      </c>
      <c r="F280" s="624">
        <f ca="1">IFERROR(__xludf.DUMMYFUNCTION("""COMPUTED_VALUE"""),8442)</f>
        <v>8442</v>
      </c>
      <c r="G280" s="624" t="str">
        <f ca="1">IFERROR(__xludf.DUMMYFUNCTION("""COMPUTED_VALUE"""),"威宏-KY")</f>
        <v>威宏-KY</v>
      </c>
      <c r="H280" s="632">
        <f ca="1">IFERROR(__xludf.DUMMYFUNCTION("""COMPUTED_VALUE"""),0.000022)</f>
        <v>2.1999999999999999E-5</v>
      </c>
      <c r="I280" s="62"/>
      <c r="J280" s="62"/>
      <c r="K280" s="63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</row>
    <row r="281" spans="1:41" ht="15.5">
      <c r="A281" s="623">
        <f ca="1">IFERROR(__xludf.DUMMYFUNCTION("""COMPUTED_VALUE"""),280)</f>
        <v>280</v>
      </c>
      <c r="B281" s="624">
        <f ca="1">IFERROR(__xludf.DUMMYFUNCTION("""COMPUTED_VALUE"""),6491)</f>
        <v>6491</v>
      </c>
      <c r="C281" s="624" t="str">
        <f ca="1">IFERROR(__xludf.DUMMYFUNCTION("""COMPUTED_VALUE"""),"晶碩")</f>
        <v>晶碩</v>
      </c>
      <c r="D281" s="630">
        <f ca="1">IFERROR(__xludf.DUMMYFUNCTION("""COMPUTED_VALUE"""),0.00018)</f>
        <v>1.8000000000000001E-4</v>
      </c>
      <c r="E281" s="623">
        <f ca="1">IFERROR(__xludf.DUMMYFUNCTION("""COMPUTED_VALUE"""),814)</f>
        <v>814</v>
      </c>
      <c r="F281" s="624">
        <f ca="1">IFERROR(__xludf.DUMMYFUNCTION("""COMPUTED_VALUE"""),8104)</f>
        <v>8104</v>
      </c>
      <c r="G281" s="624" t="str">
        <f ca="1">IFERROR(__xludf.DUMMYFUNCTION("""COMPUTED_VALUE"""),"錸寶")</f>
        <v>錸寶</v>
      </c>
      <c r="H281" s="632">
        <f ca="1">IFERROR(__xludf.DUMMYFUNCTION("""COMPUTED_VALUE"""),0.000022)</f>
        <v>2.1999999999999999E-5</v>
      </c>
      <c r="I281" s="62"/>
      <c r="J281" s="62"/>
      <c r="K281" s="63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</row>
    <row r="282" spans="1:41" ht="15.5">
      <c r="A282" s="623">
        <f ca="1">IFERROR(__xludf.DUMMYFUNCTION("""COMPUTED_VALUE"""),281)</f>
        <v>281</v>
      </c>
      <c r="B282" s="624">
        <f ca="1">IFERROR(__xludf.DUMMYFUNCTION("""COMPUTED_VALUE"""),2607)</f>
        <v>2607</v>
      </c>
      <c r="C282" s="624" t="str">
        <f ca="1">IFERROR(__xludf.DUMMYFUNCTION("""COMPUTED_VALUE"""),"榮運")</f>
        <v>榮運</v>
      </c>
      <c r="D282" s="630">
        <f ca="1">IFERROR(__xludf.DUMMYFUNCTION("""COMPUTED_VALUE"""),0.000179)</f>
        <v>1.7899999999999999E-4</v>
      </c>
      <c r="E282" s="623">
        <f ca="1">IFERROR(__xludf.DUMMYFUNCTION("""COMPUTED_VALUE"""),815)</f>
        <v>815</v>
      </c>
      <c r="F282" s="624">
        <f ca="1">IFERROR(__xludf.DUMMYFUNCTION("""COMPUTED_VALUE"""),6742)</f>
        <v>6742</v>
      </c>
      <c r="G282" s="624" t="str">
        <f ca="1">IFERROR(__xludf.DUMMYFUNCTION("""COMPUTED_VALUE"""),"澤米")</f>
        <v>澤米</v>
      </c>
      <c r="H282" s="632">
        <f ca="1">IFERROR(__xludf.DUMMYFUNCTION("""COMPUTED_VALUE"""),0.000022)</f>
        <v>2.1999999999999999E-5</v>
      </c>
      <c r="I282" s="62"/>
      <c r="J282" s="62"/>
      <c r="K282" s="63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</row>
    <row r="283" spans="1:41" ht="15.5">
      <c r="A283" s="623">
        <f ca="1">IFERROR(__xludf.DUMMYFUNCTION("""COMPUTED_VALUE"""),282)</f>
        <v>282</v>
      </c>
      <c r="B283" s="624">
        <f ca="1">IFERROR(__xludf.DUMMYFUNCTION("""COMPUTED_VALUE"""),2023)</f>
        <v>2023</v>
      </c>
      <c r="C283" s="624" t="str">
        <f ca="1">IFERROR(__xludf.DUMMYFUNCTION("""COMPUTED_VALUE"""),"燁輝")</f>
        <v>燁輝</v>
      </c>
      <c r="D283" s="630">
        <f ca="1">IFERROR(__xludf.DUMMYFUNCTION("""COMPUTED_VALUE"""),0.000179)</f>
        <v>1.7899999999999999E-4</v>
      </c>
      <c r="E283" s="623">
        <f ca="1">IFERROR(__xludf.DUMMYFUNCTION("""COMPUTED_VALUE"""),816)</f>
        <v>816</v>
      </c>
      <c r="F283" s="624">
        <f ca="1">IFERROR(__xludf.DUMMYFUNCTION("""COMPUTED_VALUE"""),3588)</f>
        <v>3588</v>
      </c>
      <c r="G283" s="624" t="str">
        <f ca="1">IFERROR(__xludf.DUMMYFUNCTION("""COMPUTED_VALUE"""),"通嘉")</f>
        <v>通嘉</v>
      </c>
      <c r="H283" s="632">
        <f ca="1">IFERROR(__xludf.DUMMYFUNCTION("""COMPUTED_VALUE"""),0.000022)</f>
        <v>2.1999999999999999E-5</v>
      </c>
      <c r="I283" s="62"/>
      <c r="J283" s="62"/>
      <c r="K283" s="63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</row>
    <row r="284" spans="1:41" ht="15.5">
      <c r="A284" s="623">
        <f ca="1">IFERROR(__xludf.DUMMYFUNCTION("""COMPUTED_VALUE"""),283)</f>
        <v>283</v>
      </c>
      <c r="B284" s="624">
        <f ca="1">IFERROR(__xludf.DUMMYFUNCTION("""COMPUTED_VALUE"""),5388)</f>
        <v>5388</v>
      </c>
      <c r="C284" s="624" t="str">
        <f ca="1">IFERROR(__xludf.DUMMYFUNCTION("""COMPUTED_VALUE"""),"中磊")</f>
        <v>中磊</v>
      </c>
      <c r="D284" s="630">
        <f ca="1">IFERROR(__xludf.DUMMYFUNCTION("""COMPUTED_VALUE"""),0.000178)</f>
        <v>1.7799999999999999E-4</v>
      </c>
      <c r="E284" s="623">
        <f ca="1">IFERROR(__xludf.DUMMYFUNCTION("""COMPUTED_VALUE"""),817)</f>
        <v>817</v>
      </c>
      <c r="F284" s="624">
        <f ca="1">IFERROR(__xludf.DUMMYFUNCTION("""COMPUTED_VALUE"""),6598)</f>
        <v>6598</v>
      </c>
      <c r="G284" s="624" t="str">
        <f ca="1">IFERROR(__xludf.DUMMYFUNCTION("""COMPUTED_VALUE"""),"ABC-KY")</f>
        <v>ABC-KY</v>
      </c>
      <c r="H284" s="632">
        <f ca="1">IFERROR(__xludf.DUMMYFUNCTION("""COMPUTED_VALUE"""),0.000022)</f>
        <v>2.1999999999999999E-5</v>
      </c>
      <c r="I284" s="62"/>
      <c r="J284" s="62"/>
      <c r="K284" s="63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</row>
    <row r="285" spans="1:41" ht="15.5">
      <c r="A285" s="623">
        <f ca="1">IFERROR(__xludf.DUMMYFUNCTION("""COMPUTED_VALUE"""),284)</f>
        <v>284</v>
      </c>
      <c r="B285" s="624">
        <f ca="1">IFERROR(__xludf.DUMMYFUNCTION("""COMPUTED_VALUE"""),8131)</f>
        <v>8131</v>
      </c>
      <c r="C285" s="624" t="str">
        <f ca="1">IFERROR(__xludf.DUMMYFUNCTION("""COMPUTED_VALUE"""),"福懋科")</f>
        <v>福懋科</v>
      </c>
      <c r="D285" s="630">
        <f ca="1">IFERROR(__xludf.DUMMYFUNCTION("""COMPUTED_VALUE"""),0.000177)</f>
        <v>1.7699999999999999E-4</v>
      </c>
      <c r="E285" s="623">
        <f ca="1">IFERROR(__xludf.DUMMYFUNCTION("""COMPUTED_VALUE"""),818)</f>
        <v>818</v>
      </c>
      <c r="F285" s="624">
        <f ca="1">IFERROR(__xludf.DUMMYFUNCTION("""COMPUTED_VALUE"""),2069)</f>
        <v>2069</v>
      </c>
      <c r="G285" s="624" t="str">
        <f ca="1">IFERROR(__xludf.DUMMYFUNCTION("""COMPUTED_VALUE"""),"運錩")</f>
        <v>運錩</v>
      </c>
      <c r="H285" s="632">
        <f ca="1">IFERROR(__xludf.DUMMYFUNCTION("""COMPUTED_VALUE"""),0.000022)</f>
        <v>2.1999999999999999E-5</v>
      </c>
      <c r="I285" s="62"/>
      <c r="J285" s="62"/>
      <c r="K285" s="63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</row>
    <row r="286" spans="1:41" ht="15.5">
      <c r="A286" s="623">
        <f ca="1">IFERROR(__xludf.DUMMYFUNCTION("""COMPUTED_VALUE"""),285)</f>
        <v>285</v>
      </c>
      <c r="B286" s="624">
        <f ca="1">IFERROR(__xludf.DUMMYFUNCTION("""COMPUTED_VALUE"""),1232)</f>
        <v>1232</v>
      </c>
      <c r="C286" s="624" t="str">
        <f ca="1">IFERROR(__xludf.DUMMYFUNCTION("""COMPUTED_VALUE"""),"大統益")</f>
        <v>大統益</v>
      </c>
      <c r="D286" s="630">
        <f ca="1">IFERROR(__xludf.DUMMYFUNCTION("""COMPUTED_VALUE"""),0.000176)</f>
        <v>1.76E-4</v>
      </c>
      <c r="E286" s="623">
        <f ca="1">IFERROR(__xludf.DUMMYFUNCTION("""COMPUTED_VALUE"""),819)</f>
        <v>819</v>
      </c>
      <c r="F286" s="624">
        <f ca="1">IFERROR(__xludf.DUMMYFUNCTION("""COMPUTED_VALUE"""),1733)</f>
        <v>1733</v>
      </c>
      <c r="G286" s="624" t="str">
        <f ca="1">IFERROR(__xludf.DUMMYFUNCTION("""COMPUTED_VALUE"""),"五鼎")</f>
        <v>五鼎</v>
      </c>
      <c r="H286" s="632">
        <f ca="1">IFERROR(__xludf.DUMMYFUNCTION("""COMPUTED_VALUE"""),0.000022)</f>
        <v>2.1999999999999999E-5</v>
      </c>
      <c r="I286" s="62"/>
      <c r="J286" s="62"/>
      <c r="K286" s="63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</row>
    <row r="287" spans="1:41" ht="15.5">
      <c r="A287" s="623">
        <f ca="1">IFERROR(__xludf.DUMMYFUNCTION("""COMPUTED_VALUE"""),286)</f>
        <v>286</v>
      </c>
      <c r="B287" s="624">
        <f ca="1">IFERROR(__xludf.DUMMYFUNCTION("""COMPUTED_VALUE"""),2476)</f>
        <v>2476</v>
      </c>
      <c r="C287" s="624" t="str">
        <f ca="1">IFERROR(__xludf.DUMMYFUNCTION("""COMPUTED_VALUE"""),"鉅祥")</f>
        <v>鉅祥</v>
      </c>
      <c r="D287" s="630">
        <f ca="1">IFERROR(__xludf.DUMMYFUNCTION("""COMPUTED_VALUE"""),0.000176)</f>
        <v>1.76E-4</v>
      </c>
      <c r="E287" s="623">
        <f ca="1">IFERROR(__xludf.DUMMYFUNCTION("""COMPUTED_VALUE"""),820)</f>
        <v>820</v>
      </c>
      <c r="F287" s="624">
        <f ca="1">IFERROR(__xludf.DUMMYFUNCTION("""COMPUTED_VALUE"""),1806)</f>
        <v>1806</v>
      </c>
      <c r="G287" s="624" t="str">
        <f ca="1">IFERROR(__xludf.DUMMYFUNCTION("""COMPUTED_VALUE"""),"冠軍")</f>
        <v>冠軍</v>
      </c>
      <c r="H287" s="632">
        <f ca="1">IFERROR(__xludf.DUMMYFUNCTION("""COMPUTED_VALUE"""),0.000022)</f>
        <v>2.1999999999999999E-5</v>
      </c>
      <c r="I287" s="62"/>
      <c r="J287" s="62"/>
      <c r="K287" s="63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</row>
    <row r="288" spans="1:41" ht="15.5">
      <c r="A288" s="623">
        <f ca="1">IFERROR(__xludf.DUMMYFUNCTION("""COMPUTED_VALUE"""),287)</f>
        <v>287</v>
      </c>
      <c r="B288" s="624">
        <f ca="1">IFERROR(__xludf.DUMMYFUNCTION("""COMPUTED_VALUE"""),6166)</f>
        <v>6166</v>
      </c>
      <c r="C288" s="624" t="str">
        <f ca="1">IFERROR(__xludf.DUMMYFUNCTION("""COMPUTED_VALUE"""),"凌華")</f>
        <v>凌華</v>
      </c>
      <c r="D288" s="630">
        <f ca="1">IFERROR(__xludf.DUMMYFUNCTION("""COMPUTED_VALUE"""),0.000175)</f>
        <v>1.75E-4</v>
      </c>
      <c r="E288" s="623">
        <f ca="1">IFERROR(__xludf.DUMMYFUNCTION("""COMPUTED_VALUE"""),821)</f>
        <v>821</v>
      </c>
      <c r="F288" s="624">
        <f ca="1">IFERROR(__xludf.DUMMYFUNCTION("""COMPUTED_VALUE"""),1341)</f>
        <v>1341</v>
      </c>
      <c r="G288" s="624" t="str">
        <f ca="1">IFERROR(__xludf.DUMMYFUNCTION("""COMPUTED_VALUE"""),"富林-KY")</f>
        <v>富林-KY</v>
      </c>
      <c r="H288" s="632">
        <f ca="1">IFERROR(__xludf.DUMMYFUNCTION("""COMPUTED_VALUE"""),0.000022)</f>
        <v>2.1999999999999999E-5</v>
      </c>
      <c r="I288" s="62"/>
      <c r="J288" s="62"/>
      <c r="K288" s="63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</row>
    <row r="289" spans="1:41" ht="15.5">
      <c r="A289" s="623">
        <f ca="1">IFERROR(__xludf.DUMMYFUNCTION("""COMPUTED_VALUE"""),288)</f>
        <v>288</v>
      </c>
      <c r="B289" s="624">
        <f ca="1">IFERROR(__xludf.DUMMYFUNCTION("""COMPUTED_VALUE"""),5534)</f>
        <v>5534</v>
      </c>
      <c r="C289" s="624" t="str">
        <f ca="1">IFERROR(__xludf.DUMMYFUNCTION("""COMPUTED_VALUE"""),"長虹")</f>
        <v>長虹</v>
      </c>
      <c r="D289" s="630">
        <f ca="1">IFERROR(__xludf.DUMMYFUNCTION("""COMPUTED_VALUE"""),0.000174)</f>
        <v>1.74E-4</v>
      </c>
      <c r="E289" s="623">
        <f ca="1">IFERROR(__xludf.DUMMYFUNCTION("""COMPUTED_VALUE"""),822)</f>
        <v>822</v>
      </c>
      <c r="F289" s="624">
        <f ca="1">IFERROR(__xludf.DUMMYFUNCTION("""COMPUTED_VALUE"""),1463)</f>
        <v>1463</v>
      </c>
      <c r="G289" s="624" t="str">
        <f ca="1">IFERROR(__xludf.DUMMYFUNCTION("""COMPUTED_VALUE"""),"強盛新")</f>
        <v>強盛新</v>
      </c>
      <c r="H289" s="632">
        <f ca="1">IFERROR(__xludf.DUMMYFUNCTION("""COMPUTED_VALUE"""),0.000022)</f>
        <v>2.1999999999999999E-5</v>
      </c>
      <c r="I289" s="62"/>
      <c r="J289" s="62"/>
      <c r="K289" s="63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</row>
    <row r="290" spans="1:41" ht="15.5">
      <c r="A290" s="623">
        <f ca="1">IFERROR(__xludf.DUMMYFUNCTION("""COMPUTED_VALUE"""),289)</f>
        <v>289</v>
      </c>
      <c r="B290" s="624">
        <f ca="1">IFERROR(__xludf.DUMMYFUNCTION("""COMPUTED_VALUE"""),2101)</f>
        <v>2101</v>
      </c>
      <c r="C290" s="624" t="str">
        <f ca="1">IFERROR(__xludf.DUMMYFUNCTION("""COMPUTED_VALUE"""),"南港")</f>
        <v>南港</v>
      </c>
      <c r="D290" s="630">
        <f ca="1">IFERROR(__xludf.DUMMYFUNCTION("""COMPUTED_VALUE"""),0.000174)</f>
        <v>1.74E-4</v>
      </c>
      <c r="E290" s="623">
        <f ca="1">IFERROR(__xludf.DUMMYFUNCTION("""COMPUTED_VALUE"""),823)</f>
        <v>823</v>
      </c>
      <c r="F290" s="624">
        <f ca="1">IFERROR(__xludf.DUMMYFUNCTION("""COMPUTED_VALUE"""),2722)</f>
        <v>2722</v>
      </c>
      <c r="G290" s="624" t="str">
        <f ca="1">IFERROR(__xludf.DUMMYFUNCTION("""COMPUTED_VALUE"""),"夏都")</f>
        <v>夏都</v>
      </c>
      <c r="H290" s="632">
        <f ca="1">IFERROR(__xludf.DUMMYFUNCTION("""COMPUTED_VALUE"""),0.000022)</f>
        <v>2.1999999999999999E-5</v>
      </c>
      <c r="I290" s="62"/>
      <c r="J290" s="62"/>
      <c r="K290" s="63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</row>
    <row r="291" spans="1:41" ht="15.5">
      <c r="A291" s="623">
        <f ca="1">IFERROR(__xludf.DUMMYFUNCTION("""COMPUTED_VALUE"""),290)</f>
        <v>290</v>
      </c>
      <c r="B291" s="624">
        <f ca="1">IFERROR(__xludf.DUMMYFUNCTION("""COMPUTED_VALUE"""),3515)</f>
        <v>3515</v>
      </c>
      <c r="C291" s="624" t="str">
        <f ca="1">IFERROR(__xludf.DUMMYFUNCTION("""COMPUTED_VALUE"""),"華擎")</f>
        <v>華擎</v>
      </c>
      <c r="D291" s="630">
        <f ca="1">IFERROR(__xludf.DUMMYFUNCTION("""COMPUTED_VALUE"""),0.000171)</f>
        <v>1.7100000000000001E-4</v>
      </c>
      <c r="E291" s="623">
        <f ca="1">IFERROR(__xludf.DUMMYFUNCTION("""COMPUTED_VALUE"""),824)</f>
        <v>824</v>
      </c>
      <c r="F291" s="624">
        <f ca="1">IFERROR(__xludf.DUMMYFUNCTION("""COMPUTED_VALUE"""),3025)</f>
        <v>3025</v>
      </c>
      <c r="G291" s="624" t="str">
        <f ca="1">IFERROR(__xludf.DUMMYFUNCTION("""COMPUTED_VALUE"""),"星通")</f>
        <v>星通</v>
      </c>
      <c r="H291" s="632">
        <f ca="1">IFERROR(__xludf.DUMMYFUNCTION("""COMPUTED_VALUE"""),0.000022)</f>
        <v>2.1999999999999999E-5</v>
      </c>
      <c r="I291" s="62"/>
      <c r="J291" s="62"/>
      <c r="K291" s="63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</row>
    <row r="292" spans="1:41" ht="15.5">
      <c r="A292" s="623">
        <f ca="1">IFERROR(__xludf.DUMMYFUNCTION("""COMPUTED_VALUE"""),291)</f>
        <v>291</v>
      </c>
      <c r="B292" s="624">
        <f ca="1">IFERROR(__xludf.DUMMYFUNCTION("""COMPUTED_VALUE"""),2014)</f>
        <v>2014</v>
      </c>
      <c r="C292" s="624" t="str">
        <f ca="1">IFERROR(__xludf.DUMMYFUNCTION("""COMPUTED_VALUE"""),"中鴻")</f>
        <v>中鴻</v>
      </c>
      <c r="D292" s="630">
        <f ca="1">IFERROR(__xludf.DUMMYFUNCTION("""COMPUTED_VALUE"""),0.00017)</f>
        <v>1.7000000000000001E-4</v>
      </c>
      <c r="E292" s="623">
        <f ca="1">IFERROR(__xludf.DUMMYFUNCTION("""COMPUTED_VALUE"""),825)</f>
        <v>825</v>
      </c>
      <c r="F292" s="624">
        <f ca="1">IFERROR(__xludf.DUMMYFUNCTION("""COMPUTED_VALUE"""),3047)</f>
        <v>3047</v>
      </c>
      <c r="G292" s="624" t="str">
        <f ca="1">IFERROR(__xludf.DUMMYFUNCTION("""COMPUTED_VALUE"""),"訊舟")</f>
        <v>訊舟</v>
      </c>
      <c r="H292" s="632">
        <f ca="1">IFERROR(__xludf.DUMMYFUNCTION("""COMPUTED_VALUE"""),0.000022)</f>
        <v>2.1999999999999999E-5</v>
      </c>
      <c r="I292" s="62"/>
      <c r="J292" s="62"/>
      <c r="K292" s="63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</row>
    <row r="293" spans="1:41" ht="15.5">
      <c r="A293" s="623">
        <f ca="1">IFERROR(__xludf.DUMMYFUNCTION("""COMPUTED_VALUE"""),292)</f>
        <v>292</v>
      </c>
      <c r="B293" s="624">
        <f ca="1">IFERROR(__xludf.DUMMYFUNCTION("""COMPUTED_VALUE"""),2535)</f>
        <v>2535</v>
      </c>
      <c r="C293" s="624" t="str">
        <f ca="1">IFERROR(__xludf.DUMMYFUNCTION("""COMPUTED_VALUE"""),"達欣工")</f>
        <v>達欣工</v>
      </c>
      <c r="D293" s="630">
        <f ca="1">IFERROR(__xludf.DUMMYFUNCTION("""COMPUTED_VALUE"""),0.00017)</f>
        <v>1.7000000000000001E-4</v>
      </c>
      <c r="E293" s="623">
        <f ca="1">IFERROR(__xludf.DUMMYFUNCTION("""COMPUTED_VALUE"""),826)</f>
        <v>826</v>
      </c>
      <c r="F293" s="624">
        <f ca="1">IFERROR(__xludf.DUMMYFUNCTION("""COMPUTED_VALUE"""),3168)</f>
        <v>3168</v>
      </c>
      <c r="G293" s="624" t="str">
        <f ca="1">IFERROR(__xludf.DUMMYFUNCTION("""COMPUTED_VALUE"""),"眾福科")</f>
        <v>眾福科</v>
      </c>
      <c r="H293" s="632">
        <f ca="1">IFERROR(__xludf.DUMMYFUNCTION("""COMPUTED_VALUE"""),0.000022)</f>
        <v>2.1999999999999999E-5</v>
      </c>
      <c r="I293" s="62"/>
      <c r="J293" s="62"/>
      <c r="K293" s="63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</row>
    <row r="294" spans="1:41" ht="15.5">
      <c r="A294" s="623">
        <f ca="1">IFERROR(__xludf.DUMMYFUNCTION("""COMPUTED_VALUE"""),293)</f>
        <v>293</v>
      </c>
      <c r="B294" s="624">
        <f ca="1">IFERROR(__xludf.DUMMYFUNCTION("""COMPUTED_VALUE"""),4764)</f>
        <v>4764</v>
      </c>
      <c r="C294" s="624" t="str">
        <f ca="1">IFERROR(__xludf.DUMMYFUNCTION("""COMPUTED_VALUE"""),"雙鍵")</f>
        <v>雙鍵</v>
      </c>
      <c r="D294" s="630">
        <f ca="1">IFERROR(__xludf.DUMMYFUNCTION("""COMPUTED_VALUE"""),0.000169)</f>
        <v>1.6899999999999999E-4</v>
      </c>
      <c r="E294" s="623">
        <f ca="1">IFERROR(__xludf.DUMMYFUNCTION("""COMPUTED_VALUE"""),827)</f>
        <v>827</v>
      </c>
      <c r="F294" s="624">
        <f ca="1">IFERROR(__xludf.DUMMYFUNCTION("""COMPUTED_VALUE"""),2461)</f>
        <v>2461</v>
      </c>
      <c r="G294" s="624" t="str">
        <f ca="1">IFERROR(__xludf.DUMMYFUNCTION("""COMPUTED_VALUE"""),"光群雷")</f>
        <v>光群雷</v>
      </c>
      <c r="H294" s="632">
        <f ca="1">IFERROR(__xludf.DUMMYFUNCTION("""COMPUTED_VALUE"""),0.000022)</f>
        <v>2.1999999999999999E-5</v>
      </c>
      <c r="I294" s="62"/>
      <c r="J294" s="62"/>
      <c r="K294" s="63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</row>
    <row r="295" spans="1:41" ht="15.5">
      <c r="A295" s="623">
        <f ca="1">IFERROR(__xludf.DUMMYFUNCTION("""COMPUTED_VALUE"""),294)</f>
        <v>294</v>
      </c>
      <c r="B295" s="624">
        <f ca="1">IFERROR(__xludf.DUMMYFUNCTION("""COMPUTED_VALUE"""),9907)</f>
        <v>9907</v>
      </c>
      <c r="C295" s="624" t="str">
        <f ca="1">IFERROR(__xludf.DUMMYFUNCTION("""COMPUTED_VALUE"""),"統一實")</f>
        <v>統一實</v>
      </c>
      <c r="D295" s="630">
        <f ca="1">IFERROR(__xludf.DUMMYFUNCTION("""COMPUTED_VALUE"""),0.000169)</f>
        <v>1.6899999999999999E-4</v>
      </c>
      <c r="E295" s="623">
        <f ca="1">IFERROR(__xludf.DUMMYFUNCTION("""COMPUTED_VALUE"""),828)</f>
        <v>828</v>
      </c>
      <c r="F295" s="624">
        <f ca="1">IFERROR(__xludf.DUMMYFUNCTION("""COMPUTED_VALUE"""),2462)</f>
        <v>2462</v>
      </c>
      <c r="G295" s="624" t="str">
        <f ca="1">IFERROR(__xludf.DUMMYFUNCTION("""COMPUTED_VALUE"""),"良得電")</f>
        <v>良得電</v>
      </c>
      <c r="H295" s="632">
        <f ca="1">IFERROR(__xludf.DUMMYFUNCTION("""COMPUTED_VALUE"""),0.000021)</f>
        <v>2.0999999999999999E-5</v>
      </c>
      <c r="I295" s="62"/>
      <c r="J295" s="62"/>
      <c r="K295" s="63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</row>
    <row r="296" spans="1:41" ht="15.5">
      <c r="A296" s="623">
        <f ca="1">IFERROR(__xludf.DUMMYFUNCTION("""COMPUTED_VALUE"""),295)</f>
        <v>295</v>
      </c>
      <c r="B296" s="624">
        <f ca="1">IFERROR(__xludf.DUMMYFUNCTION("""COMPUTED_VALUE"""),2849)</f>
        <v>2849</v>
      </c>
      <c r="C296" s="624" t="str">
        <f ca="1">IFERROR(__xludf.DUMMYFUNCTION("""COMPUTED_VALUE"""),"安泰銀")</f>
        <v>安泰銀</v>
      </c>
      <c r="D296" s="630">
        <f ca="1">IFERROR(__xludf.DUMMYFUNCTION("""COMPUTED_VALUE"""),0.000165)</f>
        <v>1.65E-4</v>
      </c>
      <c r="E296" s="623">
        <f ca="1">IFERROR(__xludf.DUMMYFUNCTION("""COMPUTED_VALUE"""),829)</f>
        <v>829</v>
      </c>
      <c r="F296" s="624">
        <f ca="1">IFERROR(__xludf.DUMMYFUNCTION("""COMPUTED_VALUE"""),2509)</f>
        <v>2509</v>
      </c>
      <c r="G296" s="624" t="str">
        <f ca="1">IFERROR(__xludf.DUMMYFUNCTION("""COMPUTED_VALUE"""),"全坤建")</f>
        <v>全坤建</v>
      </c>
      <c r="H296" s="632">
        <f ca="1">IFERROR(__xludf.DUMMYFUNCTION("""COMPUTED_VALUE"""),0.000021)</f>
        <v>2.0999999999999999E-5</v>
      </c>
      <c r="I296" s="62"/>
      <c r="J296" s="62"/>
      <c r="K296" s="63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</row>
    <row r="297" spans="1:41" ht="15.5">
      <c r="A297" s="623">
        <f ca="1">IFERROR(__xludf.DUMMYFUNCTION("""COMPUTED_VALUE"""),296)</f>
        <v>296</v>
      </c>
      <c r="B297" s="624">
        <f ca="1">IFERROR(__xludf.DUMMYFUNCTION("""COMPUTED_VALUE"""),1904)</f>
        <v>1904</v>
      </c>
      <c r="C297" s="624" t="str">
        <f ca="1">IFERROR(__xludf.DUMMYFUNCTION("""COMPUTED_VALUE"""),"正隆")</f>
        <v>正隆</v>
      </c>
      <c r="D297" s="630">
        <f ca="1">IFERROR(__xludf.DUMMYFUNCTION("""COMPUTED_VALUE"""),0.000165)</f>
        <v>1.65E-4</v>
      </c>
      <c r="E297" s="623">
        <f ca="1">IFERROR(__xludf.DUMMYFUNCTION("""COMPUTED_VALUE"""),830)</f>
        <v>830</v>
      </c>
      <c r="F297" s="624">
        <f ca="1">IFERROR(__xludf.DUMMYFUNCTION("""COMPUTED_VALUE"""),2613)</f>
        <v>2613</v>
      </c>
      <c r="G297" s="624" t="str">
        <f ca="1">IFERROR(__xludf.DUMMYFUNCTION("""COMPUTED_VALUE"""),"中櫃")</f>
        <v>中櫃</v>
      </c>
      <c r="H297" s="632">
        <f ca="1">IFERROR(__xludf.DUMMYFUNCTION("""COMPUTED_VALUE"""),0.000021)</f>
        <v>2.0999999999999999E-5</v>
      </c>
      <c r="I297" s="62"/>
      <c r="J297" s="62"/>
      <c r="K297" s="63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</row>
    <row r="298" spans="1:41" ht="15.5">
      <c r="A298" s="623">
        <f ca="1">IFERROR(__xludf.DUMMYFUNCTION("""COMPUTED_VALUE"""),297)</f>
        <v>297</v>
      </c>
      <c r="B298" s="624">
        <f ca="1">IFERROR(__xludf.DUMMYFUNCTION("""COMPUTED_VALUE"""),3016)</f>
        <v>3016</v>
      </c>
      <c r="C298" s="624" t="str">
        <f ca="1">IFERROR(__xludf.DUMMYFUNCTION("""COMPUTED_VALUE"""),"嘉晶")</f>
        <v>嘉晶</v>
      </c>
      <c r="D298" s="630">
        <f ca="1">IFERROR(__xludf.DUMMYFUNCTION("""COMPUTED_VALUE"""),0.000164)</f>
        <v>1.64E-4</v>
      </c>
      <c r="E298" s="623">
        <f ca="1">IFERROR(__xludf.DUMMYFUNCTION("""COMPUTED_VALUE"""),831)</f>
        <v>831</v>
      </c>
      <c r="F298" s="624">
        <f ca="1">IFERROR(__xludf.DUMMYFUNCTION("""COMPUTED_VALUE"""),3094)</f>
        <v>3094</v>
      </c>
      <c r="G298" s="624" t="str">
        <f ca="1">IFERROR(__xludf.DUMMYFUNCTION("""COMPUTED_VALUE"""),"聯傑")</f>
        <v>聯傑</v>
      </c>
      <c r="H298" s="632">
        <f ca="1">IFERROR(__xludf.DUMMYFUNCTION("""COMPUTED_VALUE"""),0.000021)</f>
        <v>2.0999999999999999E-5</v>
      </c>
      <c r="I298" s="62"/>
      <c r="J298" s="62"/>
      <c r="K298" s="63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</row>
    <row r="299" spans="1:41" ht="15.5">
      <c r="A299" s="623">
        <f ca="1">IFERROR(__xludf.DUMMYFUNCTION("""COMPUTED_VALUE"""),298)</f>
        <v>298</v>
      </c>
      <c r="B299" s="624">
        <f ca="1">IFERROR(__xludf.DUMMYFUNCTION("""COMPUTED_VALUE"""),2493)</f>
        <v>2493</v>
      </c>
      <c r="C299" s="624" t="str">
        <f ca="1">IFERROR(__xludf.DUMMYFUNCTION("""COMPUTED_VALUE"""),"揚博")</f>
        <v>揚博</v>
      </c>
      <c r="D299" s="630">
        <f ca="1">IFERROR(__xludf.DUMMYFUNCTION("""COMPUTED_VALUE"""),0.000164)</f>
        <v>1.64E-4</v>
      </c>
      <c r="E299" s="623">
        <f ca="1">IFERROR(__xludf.DUMMYFUNCTION("""COMPUTED_VALUE"""),832)</f>
        <v>832</v>
      </c>
      <c r="F299" s="624">
        <f ca="1">IFERROR(__xludf.DUMMYFUNCTION("""COMPUTED_VALUE"""),2705)</f>
        <v>2705</v>
      </c>
      <c r="G299" s="624" t="str">
        <f ca="1">IFERROR(__xludf.DUMMYFUNCTION("""COMPUTED_VALUE"""),"六福")</f>
        <v>六福</v>
      </c>
      <c r="H299" s="632">
        <f ca="1">IFERROR(__xludf.DUMMYFUNCTION("""COMPUTED_VALUE"""),0.000021)</f>
        <v>2.0999999999999999E-5</v>
      </c>
      <c r="I299" s="62"/>
      <c r="J299" s="62"/>
      <c r="K299" s="63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</row>
    <row r="300" spans="1:41" ht="15.5">
      <c r="A300" s="623">
        <f ca="1">IFERROR(__xludf.DUMMYFUNCTION("""COMPUTED_VALUE"""),299)</f>
        <v>299</v>
      </c>
      <c r="B300" s="624">
        <f ca="1">IFERROR(__xludf.DUMMYFUNCTION("""COMPUTED_VALUE"""),6715)</f>
        <v>6715</v>
      </c>
      <c r="C300" s="624" t="str">
        <f ca="1">IFERROR(__xludf.DUMMYFUNCTION("""COMPUTED_VALUE"""),"嘉基")</f>
        <v>嘉基</v>
      </c>
      <c r="D300" s="630">
        <f ca="1">IFERROR(__xludf.DUMMYFUNCTION("""COMPUTED_VALUE"""),0.000164)</f>
        <v>1.64E-4</v>
      </c>
      <c r="E300" s="623">
        <f ca="1">IFERROR(__xludf.DUMMYFUNCTION("""COMPUTED_VALUE"""),833)</f>
        <v>833</v>
      </c>
      <c r="F300" s="624">
        <f ca="1">IFERROR(__xludf.DUMMYFUNCTION("""COMPUTED_VALUE"""),1473)</f>
        <v>1473</v>
      </c>
      <c r="G300" s="624" t="str">
        <f ca="1">IFERROR(__xludf.DUMMYFUNCTION("""COMPUTED_VALUE"""),"台南")</f>
        <v>台南</v>
      </c>
      <c r="H300" s="632">
        <f ca="1">IFERROR(__xludf.DUMMYFUNCTION("""COMPUTED_VALUE"""),0.000021)</f>
        <v>2.0999999999999999E-5</v>
      </c>
      <c r="I300" s="62"/>
      <c r="J300" s="62"/>
      <c r="K300" s="63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</row>
    <row r="301" spans="1:41" ht="15.5">
      <c r="A301" s="623">
        <f ca="1">IFERROR(__xludf.DUMMYFUNCTION("""COMPUTED_VALUE"""),300)</f>
        <v>300</v>
      </c>
      <c r="B301" s="624">
        <f ca="1">IFERROR(__xludf.DUMMYFUNCTION("""COMPUTED_VALUE"""),9914)</f>
        <v>9914</v>
      </c>
      <c r="C301" s="624" t="str">
        <f ca="1">IFERROR(__xludf.DUMMYFUNCTION("""COMPUTED_VALUE"""),"美利達")</f>
        <v>美利達</v>
      </c>
      <c r="D301" s="630">
        <f ca="1">IFERROR(__xludf.DUMMYFUNCTION("""COMPUTED_VALUE"""),0.000163)</f>
        <v>1.63E-4</v>
      </c>
      <c r="E301" s="623">
        <f ca="1">IFERROR(__xludf.DUMMYFUNCTION("""COMPUTED_VALUE"""),834)</f>
        <v>834</v>
      </c>
      <c r="F301" s="624">
        <f ca="1">IFERROR(__xludf.DUMMYFUNCTION("""COMPUTED_VALUE"""),2243)</f>
        <v>2243</v>
      </c>
      <c r="G301" s="624" t="str">
        <f ca="1">IFERROR(__xludf.DUMMYFUNCTION("""COMPUTED_VALUE"""),"宏旭-KY")</f>
        <v>宏旭-KY</v>
      </c>
      <c r="H301" s="632">
        <f ca="1">IFERROR(__xludf.DUMMYFUNCTION("""COMPUTED_VALUE"""),0.000021)</f>
        <v>2.0999999999999999E-5</v>
      </c>
      <c r="I301" s="62"/>
      <c r="J301" s="62"/>
      <c r="K301" s="63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</row>
    <row r="302" spans="1:41" ht="15.5">
      <c r="A302" s="623">
        <f ca="1">IFERROR(__xludf.DUMMYFUNCTION("""COMPUTED_VALUE"""),301)</f>
        <v>301</v>
      </c>
      <c r="B302" s="624">
        <f ca="1">IFERROR(__xludf.DUMMYFUNCTION("""COMPUTED_VALUE"""),2707)</f>
        <v>2707</v>
      </c>
      <c r="C302" s="624" t="str">
        <f ca="1">IFERROR(__xludf.DUMMYFUNCTION("""COMPUTED_VALUE"""),"晶華")</f>
        <v>晶華</v>
      </c>
      <c r="D302" s="630">
        <f ca="1">IFERROR(__xludf.DUMMYFUNCTION("""COMPUTED_VALUE"""),0.000161)</f>
        <v>1.6100000000000001E-4</v>
      </c>
      <c r="E302" s="623">
        <f ca="1">IFERROR(__xludf.DUMMYFUNCTION("""COMPUTED_VALUE"""),835)</f>
        <v>835</v>
      </c>
      <c r="F302" s="624">
        <f ca="1">IFERROR(__xludf.DUMMYFUNCTION("""COMPUTED_VALUE"""),6504)</f>
        <v>6504</v>
      </c>
      <c r="G302" s="624" t="str">
        <f ca="1">IFERROR(__xludf.DUMMYFUNCTION("""COMPUTED_VALUE"""),"南六")</f>
        <v>南六</v>
      </c>
      <c r="H302" s="632">
        <f ca="1">IFERROR(__xludf.DUMMYFUNCTION("""COMPUTED_VALUE"""),0.000021)</f>
        <v>2.0999999999999999E-5</v>
      </c>
      <c r="I302" s="62"/>
      <c r="J302" s="62"/>
      <c r="K302" s="63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</row>
    <row r="303" spans="1:41" ht="15.5">
      <c r="A303" s="623">
        <f ca="1">IFERROR(__xludf.DUMMYFUNCTION("""COMPUTED_VALUE"""),302)</f>
        <v>302</v>
      </c>
      <c r="B303" s="624">
        <f ca="1">IFERROR(__xludf.DUMMYFUNCTION("""COMPUTED_VALUE"""),2836)</f>
        <v>2836</v>
      </c>
      <c r="C303" s="624" t="str">
        <f ca="1">IFERROR(__xludf.DUMMYFUNCTION("""COMPUTED_VALUE"""),"高雄銀")</f>
        <v>高雄銀</v>
      </c>
      <c r="D303" s="630">
        <f ca="1">IFERROR(__xludf.DUMMYFUNCTION("""COMPUTED_VALUE"""),0.00016)</f>
        <v>1.6000000000000001E-4</v>
      </c>
      <c r="E303" s="623">
        <f ca="1">IFERROR(__xludf.DUMMYFUNCTION("""COMPUTED_VALUE"""),836)</f>
        <v>836</v>
      </c>
      <c r="F303" s="624">
        <f ca="1">IFERROR(__xludf.DUMMYFUNCTION("""COMPUTED_VALUE"""),3591)</f>
        <v>3591</v>
      </c>
      <c r="G303" s="624" t="str">
        <f ca="1">IFERROR(__xludf.DUMMYFUNCTION("""COMPUTED_VALUE"""),"艾笛森")</f>
        <v>艾笛森</v>
      </c>
      <c r="H303" s="632">
        <f ca="1">IFERROR(__xludf.DUMMYFUNCTION("""COMPUTED_VALUE"""),0.000021)</f>
        <v>2.0999999999999999E-5</v>
      </c>
      <c r="I303" s="62"/>
      <c r="J303" s="62"/>
      <c r="K303" s="63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</row>
    <row r="304" spans="1:41" ht="15.5">
      <c r="A304" s="623">
        <f ca="1">IFERROR(__xludf.DUMMYFUNCTION("""COMPUTED_VALUE"""),303)</f>
        <v>303</v>
      </c>
      <c r="B304" s="624">
        <f ca="1">IFERROR(__xludf.DUMMYFUNCTION("""COMPUTED_VALUE"""),2820)</f>
        <v>2820</v>
      </c>
      <c r="C304" s="624" t="str">
        <f ca="1">IFERROR(__xludf.DUMMYFUNCTION("""COMPUTED_VALUE"""),"華票")</f>
        <v>華票</v>
      </c>
      <c r="D304" s="630">
        <f ca="1">IFERROR(__xludf.DUMMYFUNCTION("""COMPUTED_VALUE"""),0.00016)</f>
        <v>1.6000000000000001E-4</v>
      </c>
      <c r="E304" s="623">
        <f ca="1">IFERROR(__xludf.DUMMYFUNCTION("""COMPUTED_VALUE"""),837)</f>
        <v>837</v>
      </c>
      <c r="F304" s="624">
        <f ca="1">IFERROR(__xludf.DUMMYFUNCTION("""COMPUTED_VALUE"""),6722)</f>
        <v>6722</v>
      </c>
      <c r="G304" s="624" t="str">
        <f ca="1">IFERROR(__xludf.DUMMYFUNCTION("""COMPUTED_VALUE"""),"輝創")</f>
        <v>輝創</v>
      </c>
      <c r="H304" s="632">
        <f ca="1">IFERROR(__xludf.DUMMYFUNCTION("""COMPUTED_VALUE"""),0.000021)</f>
        <v>2.0999999999999999E-5</v>
      </c>
      <c r="I304" s="62"/>
      <c r="J304" s="62"/>
      <c r="K304" s="63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</row>
    <row r="305" spans="1:41" ht="15.5">
      <c r="A305" s="623">
        <f ca="1">IFERROR(__xludf.DUMMYFUNCTION("""COMPUTED_VALUE"""),304)</f>
        <v>304</v>
      </c>
      <c r="B305" s="624">
        <f ca="1">IFERROR(__xludf.DUMMYFUNCTION("""COMPUTED_VALUE"""),6177)</f>
        <v>6177</v>
      </c>
      <c r="C305" s="624" t="str">
        <f ca="1">IFERROR(__xludf.DUMMYFUNCTION("""COMPUTED_VALUE"""),"達麗")</f>
        <v>達麗</v>
      </c>
      <c r="D305" s="630">
        <f ca="1">IFERROR(__xludf.DUMMYFUNCTION("""COMPUTED_VALUE"""),0.000159)</f>
        <v>1.5899999999999999E-4</v>
      </c>
      <c r="E305" s="623">
        <f ca="1">IFERROR(__xludf.DUMMYFUNCTION("""COMPUTED_VALUE"""),838)</f>
        <v>838</v>
      </c>
      <c r="F305" s="624">
        <f ca="1">IFERROR(__xludf.DUMMYFUNCTION("""COMPUTED_VALUE"""),6614)</f>
        <v>6614</v>
      </c>
      <c r="G305" s="624" t="str">
        <f ca="1">IFERROR(__xludf.DUMMYFUNCTION("""COMPUTED_VALUE"""),"資拓宏宇")</f>
        <v>資拓宏宇</v>
      </c>
      <c r="H305" s="632">
        <f ca="1">IFERROR(__xludf.DUMMYFUNCTION("""COMPUTED_VALUE"""),0.000021)</f>
        <v>2.0999999999999999E-5</v>
      </c>
      <c r="I305" s="62"/>
      <c r="J305" s="62"/>
      <c r="K305" s="63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</row>
    <row r="306" spans="1:41" ht="15.5">
      <c r="A306" s="623">
        <f ca="1">IFERROR(__xludf.DUMMYFUNCTION("""COMPUTED_VALUE"""),305)</f>
        <v>305</v>
      </c>
      <c r="B306" s="624">
        <f ca="1">IFERROR(__xludf.DUMMYFUNCTION("""COMPUTED_VALUE"""),6605)</f>
        <v>6605</v>
      </c>
      <c r="C306" s="624" t="str">
        <f ca="1">IFERROR(__xludf.DUMMYFUNCTION("""COMPUTED_VALUE"""),"帝寶")</f>
        <v>帝寶</v>
      </c>
      <c r="D306" s="630">
        <f ca="1">IFERROR(__xludf.DUMMYFUNCTION("""COMPUTED_VALUE"""),0.000158)</f>
        <v>1.5799999999999999E-4</v>
      </c>
      <c r="E306" s="623">
        <f ca="1">IFERROR(__xludf.DUMMYFUNCTION("""COMPUTED_VALUE"""),839)</f>
        <v>839</v>
      </c>
      <c r="F306" s="624">
        <f ca="1">IFERROR(__xludf.DUMMYFUNCTION("""COMPUTED_VALUE"""),7721)</f>
        <v>7721</v>
      </c>
      <c r="G306" s="624" t="str">
        <f ca="1">IFERROR(__xludf.DUMMYFUNCTION("""COMPUTED_VALUE"""),"微程式")</f>
        <v>微程式</v>
      </c>
      <c r="H306" s="632">
        <f ca="1">IFERROR(__xludf.DUMMYFUNCTION("""COMPUTED_VALUE"""),0.000021)</f>
        <v>2.0999999999999999E-5</v>
      </c>
      <c r="I306" s="62"/>
      <c r="J306" s="62"/>
      <c r="K306" s="63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</row>
    <row r="307" spans="1:41" ht="15.5">
      <c r="A307" s="623">
        <f ca="1">IFERROR(__xludf.DUMMYFUNCTION("""COMPUTED_VALUE"""),306)</f>
        <v>306</v>
      </c>
      <c r="B307" s="624">
        <f ca="1">IFERROR(__xludf.DUMMYFUNCTION("""COMPUTED_VALUE"""),3673)</f>
        <v>3673</v>
      </c>
      <c r="C307" s="624" t="str">
        <f ca="1">IFERROR(__xludf.DUMMYFUNCTION("""COMPUTED_VALUE"""),"TPK-KY")</f>
        <v>TPK-KY</v>
      </c>
      <c r="D307" s="630">
        <f ca="1">IFERROR(__xludf.DUMMYFUNCTION("""COMPUTED_VALUE"""),0.000158)</f>
        <v>1.5799999999999999E-4</v>
      </c>
      <c r="E307" s="623">
        <f ca="1">IFERROR(__xludf.DUMMYFUNCTION("""COMPUTED_VALUE"""),840)</f>
        <v>840</v>
      </c>
      <c r="F307" s="624">
        <f ca="1">IFERROR(__xludf.DUMMYFUNCTION("""COMPUTED_VALUE"""),8411)</f>
        <v>8411</v>
      </c>
      <c r="G307" s="624" t="str">
        <f ca="1">IFERROR(__xludf.DUMMYFUNCTION("""COMPUTED_VALUE"""),"福貞-KY")</f>
        <v>福貞-KY</v>
      </c>
      <c r="H307" s="632">
        <f ca="1">IFERROR(__xludf.DUMMYFUNCTION("""COMPUTED_VALUE"""),0.000021)</f>
        <v>2.0999999999999999E-5</v>
      </c>
      <c r="I307" s="62"/>
      <c r="J307" s="62"/>
      <c r="K307" s="63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</row>
    <row r="308" spans="1:41" ht="15.5">
      <c r="A308" s="623">
        <f ca="1">IFERROR(__xludf.DUMMYFUNCTION("""COMPUTED_VALUE"""),307)</f>
        <v>307</v>
      </c>
      <c r="B308" s="624">
        <f ca="1">IFERROR(__xludf.DUMMYFUNCTION("""COMPUTED_VALUE"""),7786)</f>
        <v>7786</v>
      </c>
      <c r="C308" s="624" t="str">
        <f ca="1">IFERROR(__xludf.DUMMYFUNCTION("""COMPUTED_VALUE"""),"東方風能")</f>
        <v>東方風能</v>
      </c>
      <c r="D308" s="630">
        <f ca="1">IFERROR(__xludf.DUMMYFUNCTION("""COMPUTED_VALUE"""),0.000158)</f>
        <v>1.5799999999999999E-4</v>
      </c>
      <c r="E308" s="623">
        <f ca="1">IFERROR(__xludf.DUMMYFUNCTION("""COMPUTED_VALUE"""),841)</f>
        <v>841</v>
      </c>
      <c r="F308" s="624">
        <f ca="1">IFERROR(__xludf.DUMMYFUNCTION("""COMPUTED_VALUE"""),6955)</f>
        <v>6955</v>
      </c>
      <c r="G308" s="624" t="str">
        <f ca="1">IFERROR(__xludf.DUMMYFUNCTION("""COMPUTED_VALUE"""),"邦睿生技-創")</f>
        <v>邦睿生技-創</v>
      </c>
      <c r="H308" s="632">
        <f ca="1">IFERROR(__xludf.DUMMYFUNCTION("""COMPUTED_VALUE"""),0.00002)</f>
        <v>2.0000000000000002E-5</v>
      </c>
      <c r="I308" s="62"/>
      <c r="J308" s="62"/>
      <c r="K308" s="63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</row>
    <row r="309" spans="1:41" ht="15.5">
      <c r="A309" s="623">
        <f ca="1">IFERROR(__xludf.DUMMYFUNCTION("""COMPUTED_VALUE"""),308)</f>
        <v>308</v>
      </c>
      <c r="B309" s="624">
        <f ca="1">IFERROR(__xludf.DUMMYFUNCTION("""COMPUTED_VALUE"""),2208)</f>
        <v>2208</v>
      </c>
      <c r="C309" s="624" t="str">
        <f ca="1">IFERROR(__xludf.DUMMYFUNCTION("""COMPUTED_VALUE"""),"台船")</f>
        <v>台船</v>
      </c>
      <c r="D309" s="630">
        <f ca="1">IFERROR(__xludf.DUMMYFUNCTION("""COMPUTED_VALUE"""),0.000157)</f>
        <v>1.5699999999999999E-4</v>
      </c>
      <c r="E309" s="623">
        <f ca="1">IFERROR(__xludf.DUMMYFUNCTION("""COMPUTED_VALUE"""),842)</f>
        <v>842</v>
      </c>
      <c r="F309" s="624">
        <f ca="1">IFERROR(__xludf.DUMMYFUNCTION("""COMPUTED_VALUE"""),6668)</f>
        <v>6668</v>
      </c>
      <c r="G309" s="624" t="str">
        <f ca="1">IFERROR(__xludf.DUMMYFUNCTION("""COMPUTED_VALUE"""),"中揚光")</f>
        <v>中揚光</v>
      </c>
      <c r="H309" s="632">
        <f ca="1">IFERROR(__xludf.DUMMYFUNCTION("""COMPUTED_VALUE"""),0.00002)</f>
        <v>2.0000000000000002E-5</v>
      </c>
      <c r="I309" s="62"/>
      <c r="J309" s="62"/>
      <c r="K309" s="63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</row>
    <row r="310" spans="1:41" ht="15.5">
      <c r="A310" s="623">
        <f ca="1">IFERROR(__xludf.DUMMYFUNCTION("""COMPUTED_VALUE"""),309)</f>
        <v>309</v>
      </c>
      <c r="B310" s="624">
        <f ca="1">IFERROR(__xludf.DUMMYFUNCTION("""COMPUTED_VALUE"""),2374)</f>
        <v>2374</v>
      </c>
      <c r="C310" s="624" t="str">
        <f ca="1">IFERROR(__xludf.DUMMYFUNCTION("""COMPUTED_VALUE"""),"佳能")</f>
        <v>佳能</v>
      </c>
      <c r="D310" s="630">
        <f ca="1">IFERROR(__xludf.DUMMYFUNCTION("""COMPUTED_VALUE"""),0.000154)</f>
        <v>1.54E-4</v>
      </c>
      <c r="E310" s="623">
        <f ca="1">IFERROR(__xludf.DUMMYFUNCTION("""COMPUTED_VALUE"""),843)</f>
        <v>843</v>
      </c>
      <c r="F310" s="624">
        <f ca="1">IFERROR(__xludf.DUMMYFUNCTION("""COMPUTED_VALUE"""),6754)</f>
        <v>6754</v>
      </c>
      <c r="G310" s="624" t="str">
        <f ca="1">IFERROR(__xludf.DUMMYFUNCTION("""COMPUTED_VALUE"""),"匯僑設計")</f>
        <v>匯僑設計</v>
      </c>
      <c r="H310" s="632">
        <f ca="1">IFERROR(__xludf.DUMMYFUNCTION("""COMPUTED_VALUE"""),0.00002)</f>
        <v>2.0000000000000002E-5</v>
      </c>
      <c r="I310" s="62"/>
      <c r="J310" s="62"/>
      <c r="K310" s="63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</row>
    <row r="311" spans="1:41" ht="15.5">
      <c r="A311" s="623">
        <f ca="1">IFERROR(__xludf.DUMMYFUNCTION("""COMPUTED_VALUE"""),310)</f>
        <v>310</v>
      </c>
      <c r="B311" s="624">
        <f ca="1">IFERROR(__xludf.DUMMYFUNCTION("""COMPUTED_VALUE"""),4576)</f>
        <v>4576</v>
      </c>
      <c r="C311" s="624" t="str">
        <f ca="1">IFERROR(__xludf.DUMMYFUNCTION("""COMPUTED_VALUE"""),"大銀微系統")</f>
        <v>大銀微系統</v>
      </c>
      <c r="D311" s="630">
        <f ca="1">IFERROR(__xludf.DUMMYFUNCTION("""COMPUTED_VALUE"""),0.000154)</f>
        <v>1.54E-4</v>
      </c>
      <c r="E311" s="623">
        <f ca="1">IFERROR(__xludf.DUMMYFUNCTION("""COMPUTED_VALUE"""),844)</f>
        <v>844</v>
      </c>
      <c r="F311" s="624">
        <f ca="1">IFERROR(__xludf.DUMMYFUNCTION("""COMPUTED_VALUE"""),6885)</f>
        <v>6885</v>
      </c>
      <c r="G311" s="624" t="str">
        <f ca="1">IFERROR(__xludf.DUMMYFUNCTION("""COMPUTED_VALUE"""),"全福生技")</f>
        <v>全福生技</v>
      </c>
      <c r="H311" s="632">
        <f ca="1">IFERROR(__xludf.DUMMYFUNCTION("""COMPUTED_VALUE"""),0.00002)</f>
        <v>2.0000000000000002E-5</v>
      </c>
      <c r="I311" s="62"/>
      <c r="J311" s="62"/>
      <c r="K311" s="63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</row>
    <row r="312" spans="1:41" ht="15.5">
      <c r="A312" s="623">
        <f ca="1">IFERROR(__xludf.DUMMYFUNCTION("""COMPUTED_VALUE"""),311)</f>
        <v>311</v>
      </c>
      <c r="B312" s="624">
        <f ca="1">IFERROR(__xludf.DUMMYFUNCTION("""COMPUTED_VALUE"""),3033)</f>
        <v>3033</v>
      </c>
      <c r="C312" s="624" t="str">
        <f ca="1">IFERROR(__xludf.DUMMYFUNCTION("""COMPUTED_VALUE"""),"威健")</f>
        <v>威健</v>
      </c>
      <c r="D312" s="630">
        <f ca="1">IFERROR(__xludf.DUMMYFUNCTION("""COMPUTED_VALUE"""),0.000152)</f>
        <v>1.5200000000000001E-4</v>
      </c>
      <c r="E312" s="623">
        <f ca="1">IFERROR(__xludf.DUMMYFUNCTION("""COMPUTED_VALUE"""),845)</f>
        <v>845</v>
      </c>
      <c r="F312" s="624">
        <f ca="1">IFERROR(__xludf.DUMMYFUNCTION("""COMPUTED_VALUE"""),4555)</f>
        <v>4555</v>
      </c>
      <c r="G312" s="624" t="str">
        <f ca="1">IFERROR(__xludf.DUMMYFUNCTION("""COMPUTED_VALUE"""),"氣立")</f>
        <v>氣立</v>
      </c>
      <c r="H312" s="632">
        <f ca="1">IFERROR(__xludf.DUMMYFUNCTION("""COMPUTED_VALUE"""),0.00002)</f>
        <v>2.0000000000000002E-5</v>
      </c>
      <c r="I312" s="62"/>
      <c r="J312" s="62"/>
      <c r="K312" s="63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</row>
    <row r="313" spans="1:41" ht="15.5">
      <c r="A313" s="623">
        <f ca="1">IFERROR(__xludf.DUMMYFUNCTION("""COMPUTED_VALUE"""),312)</f>
        <v>312</v>
      </c>
      <c r="B313" s="624">
        <f ca="1">IFERROR(__xludf.DUMMYFUNCTION("""COMPUTED_VALUE"""),2328)</f>
        <v>2328</v>
      </c>
      <c r="C313" s="624" t="str">
        <f ca="1">IFERROR(__xludf.DUMMYFUNCTION("""COMPUTED_VALUE"""),"廣宇")</f>
        <v>廣宇</v>
      </c>
      <c r="D313" s="630">
        <f ca="1">IFERROR(__xludf.DUMMYFUNCTION("""COMPUTED_VALUE"""),0.000152)</f>
        <v>1.5200000000000001E-4</v>
      </c>
      <c r="E313" s="623">
        <f ca="1">IFERROR(__xludf.DUMMYFUNCTION("""COMPUTED_VALUE"""),846)</f>
        <v>846</v>
      </c>
      <c r="F313" s="624">
        <f ca="1">IFERROR(__xludf.DUMMYFUNCTION("""COMPUTED_VALUE"""),6606)</f>
        <v>6606</v>
      </c>
      <c r="G313" s="624" t="str">
        <f ca="1">IFERROR(__xludf.DUMMYFUNCTION("""COMPUTED_VALUE"""),"建德工業")</f>
        <v>建德工業</v>
      </c>
      <c r="H313" s="632">
        <f ca="1">IFERROR(__xludf.DUMMYFUNCTION("""COMPUTED_VALUE"""),0.00002)</f>
        <v>2.0000000000000002E-5</v>
      </c>
      <c r="I313" s="62"/>
      <c r="J313" s="62"/>
      <c r="K313" s="63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</row>
    <row r="314" spans="1:41" ht="15.5">
      <c r="A314" s="623">
        <f ca="1">IFERROR(__xludf.DUMMYFUNCTION("""COMPUTED_VALUE"""),313)</f>
        <v>313</v>
      </c>
      <c r="B314" s="624">
        <f ca="1">IFERROR(__xludf.DUMMYFUNCTION("""COMPUTED_VALUE"""),8081)</f>
        <v>8081</v>
      </c>
      <c r="C314" s="624" t="str">
        <f ca="1">IFERROR(__xludf.DUMMYFUNCTION("""COMPUTED_VALUE"""),"致新")</f>
        <v>致新</v>
      </c>
      <c r="D314" s="630">
        <f ca="1">IFERROR(__xludf.DUMMYFUNCTION("""COMPUTED_VALUE"""),0.000151)</f>
        <v>1.5100000000000001E-4</v>
      </c>
      <c r="E314" s="623">
        <f ca="1">IFERROR(__xludf.DUMMYFUNCTION("""COMPUTED_VALUE"""),847)</f>
        <v>847</v>
      </c>
      <c r="F314" s="624">
        <f ca="1">IFERROR(__xludf.DUMMYFUNCTION("""COMPUTED_VALUE"""),6136)</f>
        <v>6136</v>
      </c>
      <c r="G314" s="624" t="str">
        <f ca="1">IFERROR(__xludf.DUMMYFUNCTION("""COMPUTED_VALUE"""),"富爾特")</f>
        <v>富爾特</v>
      </c>
      <c r="H314" s="632">
        <f ca="1">IFERROR(__xludf.DUMMYFUNCTION("""COMPUTED_VALUE"""),0.00002)</f>
        <v>2.0000000000000002E-5</v>
      </c>
      <c r="I314" s="62"/>
      <c r="J314" s="62"/>
      <c r="K314" s="63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</row>
    <row r="315" spans="1:41" ht="15.5">
      <c r="A315" s="623">
        <f ca="1">IFERROR(__xludf.DUMMYFUNCTION("""COMPUTED_VALUE"""),314)</f>
        <v>314</v>
      </c>
      <c r="B315" s="624">
        <f ca="1">IFERROR(__xludf.DUMMYFUNCTION("""COMPUTED_VALUE"""),2520)</f>
        <v>2520</v>
      </c>
      <c r="C315" s="624" t="str">
        <f ca="1">IFERROR(__xludf.DUMMYFUNCTION("""COMPUTED_VALUE"""),"冠德")</f>
        <v>冠德</v>
      </c>
      <c r="D315" s="630">
        <f ca="1">IFERROR(__xludf.DUMMYFUNCTION("""COMPUTED_VALUE"""),0.00015)</f>
        <v>1.4999999999999999E-4</v>
      </c>
      <c r="E315" s="623">
        <f ca="1">IFERROR(__xludf.DUMMYFUNCTION("""COMPUTED_VALUE"""),848)</f>
        <v>848</v>
      </c>
      <c r="F315" s="624">
        <f ca="1">IFERROR(__xludf.DUMMYFUNCTION("""COMPUTED_VALUE"""),2248)</f>
        <v>2248</v>
      </c>
      <c r="G315" s="624" t="str">
        <f ca="1">IFERROR(__xludf.DUMMYFUNCTION("""COMPUTED_VALUE"""),"華勝-KY")</f>
        <v>華勝-KY</v>
      </c>
      <c r="H315" s="632">
        <f ca="1">IFERROR(__xludf.DUMMYFUNCTION("""COMPUTED_VALUE"""),0.00002)</f>
        <v>2.0000000000000002E-5</v>
      </c>
      <c r="I315" s="62"/>
      <c r="J315" s="62"/>
      <c r="K315" s="63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</row>
    <row r="316" spans="1:41" ht="15.5">
      <c r="A316" s="623">
        <f ca="1">IFERROR(__xludf.DUMMYFUNCTION("""COMPUTED_VALUE"""),315)</f>
        <v>315</v>
      </c>
      <c r="B316" s="624">
        <f ca="1">IFERROR(__xludf.DUMMYFUNCTION("""COMPUTED_VALUE"""),7711)</f>
        <v>7711</v>
      </c>
      <c r="C316" s="624" t="str">
        <f ca="1">IFERROR(__xludf.DUMMYFUNCTION("""COMPUTED_VALUE"""),"永擎")</f>
        <v>永擎</v>
      </c>
      <c r="D316" s="630">
        <f ca="1">IFERROR(__xludf.DUMMYFUNCTION("""COMPUTED_VALUE"""),0.000149)</f>
        <v>1.4899999999999999E-4</v>
      </c>
      <c r="E316" s="623">
        <f ca="1">IFERROR(__xludf.DUMMYFUNCTION("""COMPUTED_VALUE"""),849)</f>
        <v>849</v>
      </c>
      <c r="F316" s="624">
        <f ca="1">IFERROR(__xludf.DUMMYFUNCTION("""COMPUTED_VALUE"""),1817)</f>
        <v>1817</v>
      </c>
      <c r="G316" s="624" t="str">
        <f ca="1">IFERROR(__xludf.DUMMYFUNCTION("""COMPUTED_VALUE"""),"凱撒衛")</f>
        <v>凱撒衛</v>
      </c>
      <c r="H316" s="632">
        <f ca="1">IFERROR(__xludf.DUMMYFUNCTION("""COMPUTED_VALUE"""),0.00002)</f>
        <v>2.0000000000000002E-5</v>
      </c>
      <c r="I316" s="62"/>
      <c r="J316" s="62"/>
      <c r="K316" s="63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</row>
    <row r="317" spans="1:41" ht="15.5">
      <c r="A317" s="623">
        <f ca="1">IFERROR(__xludf.DUMMYFUNCTION("""COMPUTED_VALUE"""),316)</f>
        <v>316</v>
      </c>
      <c r="B317" s="624">
        <f ca="1">IFERROR(__xludf.DUMMYFUNCTION("""COMPUTED_VALUE"""),2359)</f>
        <v>2359</v>
      </c>
      <c r="C317" s="624" t="str">
        <f ca="1">IFERROR(__xludf.DUMMYFUNCTION("""COMPUTED_VALUE"""),"所羅門")</f>
        <v>所羅門</v>
      </c>
      <c r="D317" s="630">
        <f ca="1">IFERROR(__xludf.DUMMYFUNCTION("""COMPUTED_VALUE"""),0.000148)</f>
        <v>1.4799999999999999E-4</v>
      </c>
      <c r="E317" s="623">
        <f ca="1">IFERROR(__xludf.DUMMYFUNCTION("""COMPUTED_VALUE"""),850)</f>
        <v>850</v>
      </c>
      <c r="F317" s="624">
        <f ca="1">IFERROR(__xludf.DUMMYFUNCTION("""COMPUTED_VALUE"""),1530)</f>
        <v>1530</v>
      </c>
      <c r="G317" s="624" t="str">
        <f ca="1">IFERROR(__xludf.DUMMYFUNCTION("""COMPUTED_VALUE"""),"亞崴")</f>
        <v>亞崴</v>
      </c>
      <c r="H317" s="632">
        <f ca="1">IFERROR(__xludf.DUMMYFUNCTION("""COMPUTED_VALUE"""),0.00002)</f>
        <v>2.0000000000000002E-5</v>
      </c>
      <c r="I317" s="62"/>
      <c r="J317" s="62"/>
      <c r="K317" s="63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</row>
    <row r="318" spans="1:41" ht="15.5">
      <c r="A318" s="623">
        <f ca="1">IFERROR(__xludf.DUMMYFUNCTION("""COMPUTED_VALUE"""),317)</f>
        <v>317</v>
      </c>
      <c r="B318" s="624">
        <f ca="1">IFERROR(__xludf.DUMMYFUNCTION("""COMPUTED_VALUE"""),3014)</f>
        <v>3014</v>
      </c>
      <c r="C318" s="624" t="str">
        <f ca="1">IFERROR(__xludf.DUMMYFUNCTION("""COMPUTED_VALUE"""),"聯陽")</f>
        <v>聯陽</v>
      </c>
      <c r="D318" s="630">
        <f ca="1">IFERROR(__xludf.DUMMYFUNCTION("""COMPUTED_VALUE"""),0.000148)</f>
        <v>1.4799999999999999E-4</v>
      </c>
      <c r="E318" s="623">
        <f ca="1">IFERROR(__xludf.DUMMYFUNCTION("""COMPUTED_VALUE"""),851)</f>
        <v>851</v>
      </c>
      <c r="F318" s="624">
        <f ca="1">IFERROR(__xludf.DUMMYFUNCTION("""COMPUTED_VALUE"""),1568)</f>
        <v>1568</v>
      </c>
      <c r="G318" s="624" t="str">
        <f ca="1">IFERROR(__xludf.DUMMYFUNCTION("""COMPUTED_VALUE"""),"倉佑")</f>
        <v>倉佑</v>
      </c>
      <c r="H318" s="632">
        <f ca="1">IFERROR(__xludf.DUMMYFUNCTION("""COMPUTED_VALUE"""),0.00002)</f>
        <v>2.0000000000000002E-5</v>
      </c>
      <c r="I318" s="62"/>
      <c r="J318" s="62"/>
      <c r="K318" s="63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</row>
    <row r="319" spans="1:41" ht="15.5">
      <c r="A319" s="623">
        <f ca="1">IFERROR(__xludf.DUMMYFUNCTION("""COMPUTED_VALUE"""),318)</f>
        <v>318</v>
      </c>
      <c r="B319" s="624">
        <f ca="1">IFERROR(__xludf.DUMMYFUNCTION("""COMPUTED_VALUE"""),3617)</f>
        <v>3617</v>
      </c>
      <c r="C319" s="624" t="str">
        <f ca="1">IFERROR(__xludf.DUMMYFUNCTION("""COMPUTED_VALUE"""),"碩天")</f>
        <v>碩天</v>
      </c>
      <c r="D319" s="630">
        <f ca="1">IFERROR(__xludf.DUMMYFUNCTION("""COMPUTED_VALUE"""),0.000146)</f>
        <v>1.46E-4</v>
      </c>
      <c r="E319" s="623">
        <f ca="1">IFERROR(__xludf.DUMMYFUNCTION("""COMPUTED_VALUE"""),852)</f>
        <v>852</v>
      </c>
      <c r="F319" s="624">
        <f ca="1">IFERROR(__xludf.DUMMYFUNCTION("""COMPUTED_VALUE"""),1617)</f>
        <v>1617</v>
      </c>
      <c r="G319" s="624" t="str">
        <f ca="1">IFERROR(__xludf.DUMMYFUNCTION("""COMPUTED_VALUE"""),"榮星")</f>
        <v>榮星</v>
      </c>
      <c r="H319" s="632">
        <f ca="1">IFERROR(__xludf.DUMMYFUNCTION("""COMPUTED_VALUE"""),0.00002)</f>
        <v>2.0000000000000002E-5</v>
      </c>
      <c r="I319" s="62"/>
      <c r="J319" s="62"/>
      <c r="K319" s="63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</row>
    <row r="320" spans="1:41" ht="15.5">
      <c r="A320" s="623">
        <f ca="1">IFERROR(__xludf.DUMMYFUNCTION("""COMPUTED_VALUE"""),319)</f>
        <v>319</v>
      </c>
      <c r="B320" s="624">
        <f ca="1">IFERROR(__xludf.DUMMYFUNCTION("""COMPUTED_VALUE"""),2439)</f>
        <v>2439</v>
      </c>
      <c r="C320" s="624" t="str">
        <f ca="1">IFERROR(__xludf.DUMMYFUNCTION("""COMPUTED_VALUE"""),"美律")</f>
        <v>美律</v>
      </c>
      <c r="D320" s="630">
        <f ca="1">IFERROR(__xludf.DUMMYFUNCTION("""COMPUTED_VALUE"""),0.000145)</f>
        <v>1.45E-4</v>
      </c>
      <c r="E320" s="623">
        <f ca="1">IFERROR(__xludf.DUMMYFUNCTION("""COMPUTED_VALUE"""),853)</f>
        <v>853</v>
      </c>
      <c r="F320" s="624">
        <f ca="1">IFERROR(__xludf.DUMMYFUNCTION("""COMPUTED_VALUE"""),2945)</f>
        <v>2945</v>
      </c>
      <c r="G320" s="624" t="str">
        <f ca="1">IFERROR(__xludf.DUMMYFUNCTION("""COMPUTED_VALUE"""),"三商家購")</f>
        <v>三商家購</v>
      </c>
      <c r="H320" s="632">
        <f ca="1">IFERROR(__xludf.DUMMYFUNCTION("""COMPUTED_VALUE"""),0.00002)</f>
        <v>2.0000000000000002E-5</v>
      </c>
      <c r="I320" s="62"/>
      <c r="J320" s="62"/>
      <c r="K320" s="63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</row>
    <row r="321" spans="1:41" ht="15.5">
      <c r="A321" s="623">
        <f ca="1">IFERROR(__xludf.DUMMYFUNCTION("""COMPUTED_VALUE"""),320)</f>
        <v>320</v>
      </c>
      <c r="B321" s="624">
        <f ca="1">IFERROR(__xludf.DUMMYFUNCTION("""COMPUTED_VALUE"""),1419)</f>
        <v>1419</v>
      </c>
      <c r="C321" s="624" t="str">
        <f ca="1">IFERROR(__xludf.DUMMYFUNCTION("""COMPUTED_VALUE"""),"新紡")</f>
        <v>新紡</v>
      </c>
      <c r="D321" s="630">
        <f ca="1">IFERROR(__xludf.DUMMYFUNCTION("""COMPUTED_VALUE"""),0.000144)</f>
        <v>1.44E-4</v>
      </c>
      <c r="E321" s="623">
        <f ca="1">IFERROR(__xludf.DUMMYFUNCTION("""COMPUTED_VALUE"""),854)</f>
        <v>854</v>
      </c>
      <c r="F321" s="624">
        <f ca="1">IFERROR(__xludf.DUMMYFUNCTION("""COMPUTED_VALUE"""),2415)</f>
        <v>2415</v>
      </c>
      <c r="G321" s="624" t="str">
        <f ca="1">IFERROR(__xludf.DUMMYFUNCTION("""COMPUTED_VALUE"""),"錩新")</f>
        <v>錩新</v>
      </c>
      <c r="H321" s="632">
        <f ca="1">IFERROR(__xludf.DUMMYFUNCTION("""COMPUTED_VALUE"""),0.00002)</f>
        <v>2.0000000000000002E-5</v>
      </c>
      <c r="I321" s="62"/>
      <c r="J321" s="62"/>
      <c r="K321" s="63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</row>
    <row r="322" spans="1:41" ht="15.5">
      <c r="A322" s="623">
        <f ca="1">IFERROR(__xludf.DUMMYFUNCTION("""COMPUTED_VALUE"""),321)</f>
        <v>321</v>
      </c>
      <c r="B322" s="624">
        <f ca="1">IFERROR(__xludf.DUMMYFUNCTION("""COMPUTED_VALUE"""),1440)</f>
        <v>1440</v>
      </c>
      <c r="C322" s="624" t="str">
        <f ca="1">IFERROR(__xludf.DUMMYFUNCTION("""COMPUTED_VALUE"""),"南紡")</f>
        <v>南紡</v>
      </c>
      <c r="D322" s="630">
        <f ca="1">IFERROR(__xludf.DUMMYFUNCTION("""COMPUTED_VALUE"""),0.000143)</f>
        <v>1.4300000000000001E-4</v>
      </c>
      <c r="E322" s="623">
        <f ca="1">IFERROR(__xludf.DUMMYFUNCTION("""COMPUTED_VALUE"""),855)</f>
        <v>855</v>
      </c>
      <c r="F322" s="624">
        <f ca="1">IFERROR(__xludf.DUMMYFUNCTION("""COMPUTED_VALUE"""),2906)</f>
        <v>2906</v>
      </c>
      <c r="G322" s="624" t="str">
        <f ca="1">IFERROR(__xludf.DUMMYFUNCTION("""COMPUTED_VALUE"""),"高林")</f>
        <v>高林</v>
      </c>
      <c r="H322" s="632">
        <f ca="1">IFERROR(__xludf.DUMMYFUNCTION("""COMPUTED_VALUE"""),0.000019)</f>
        <v>1.9000000000000001E-5</v>
      </c>
      <c r="I322" s="62"/>
      <c r="J322" s="62"/>
      <c r="K322" s="63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</row>
    <row r="323" spans="1:41" ht="15.5">
      <c r="A323" s="623">
        <f ca="1">IFERROR(__xludf.DUMMYFUNCTION("""COMPUTED_VALUE"""),322)</f>
        <v>322</v>
      </c>
      <c r="B323" s="624">
        <f ca="1">IFERROR(__xludf.DUMMYFUNCTION("""COMPUTED_VALUE"""),2515)</f>
        <v>2515</v>
      </c>
      <c r="C323" s="624" t="str">
        <f ca="1">IFERROR(__xludf.DUMMYFUNCTION("""COMPUTED_VALUE"""),"中工")</f>
        <v>中工</v>
      </c>
      <c r="D323" s="630">
        <f ca="1">IFERROR(__xludf.DUMMYFUNCTION("""COMPUTED_VALUE"""),0.000142)</f>
        <v>1.4200000000000001E-4</v>
      </c>
      <c r="E323" s="623">
        <f ca="1">IFERROR(__xludf.DUMMYFUNCTION("""COMPUTED_VALUE"""),856)</f>
        <v>856</v>
      </c>
      <c r="F323" s="624">
        <f ca="1">IFERROR(__xludf.DUMMYFUNCTION("""COMPUTED_VALUE"""),1233)</f>
        <v>1233</v>
      </c>
      <c r="G323" s="624" t="str">
        <f ca="1">IFERROR(__xludf.DUMMYFUNCTION("""COMPUTED_VALUE"""),"天仁")</f>
        <v>天仁</v>
      </c>
      <c r="H323" s="632">
        <f ca="1">IFERROR(__xludf.DUMMYFUNCTION("""COMPUTED_VALUE"""),0.000019)</f>
        <v>1.9000000000000001E-5</v>
      </c>
      <c r="I323" s="62"/>
      <c r="J323" s="62"/>
      <c r="K323" s="63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</row>
    <row r="324" spans="1:41" ht="15.5">
      <c r="A324" s="623">
        <f ca="1">IFERROR(__xludf.DUMMYFUNCTION("""COMPUTED_VALUE"""),323)</f>
        <v>323</v>
      </c>
      <c r="B324" s="624">
        <f ca="1">IFERROR(__xludf.DUMMYFUNCTION("""COMPUTED_VALUE"""),7827)</f>
        <v>7827</v>
      </c>
      <c r="C324" s="624" t="str">
        <f ca="1">IFERROR(__xludf.DUMMYFUNCTION("""COMPUTED_VALUE"""),"漢康-KY創")</f>
        <v>漢康-KY創</v>
      </c>
      <c r="D324" s="630">
        <f ca="1">IFERROR(__xludf.DUMMYFUNCTION("""COMPUTED_VALUE"""),0.000142)</f>
        <v>1.4200000000000001E-4</v>
      </c>
      <c r="E324" s="623">
        <f ca="1">IFERROR(__xludf.DUMMYFUNCTION("""COMPUTED_VALUE"""),857)</f>
        <v>857</v>
      </c>
      <c r="F324" s="624">
        <f ca="1">IFERROR(__xludf.DUMMYFUNCTION("""COMPUTED_VALUE"""),1731)</f>
        <v>1731</v>
      </c>
      <c r="G324" s="624" t="str">
        <f ca="1">IFERROR(__xludf.DUMMYFUNCTION("""COMPUTED_VALUE"""),"美吾華")</f>
        <v>美吾華</v>
      </c>
      <c r="H324" s="632">
        <f ca="1">IFERROR(__xludf.DUMMYFUNCTION("""COMPUTED_VALUE"""),0.000019)</f>
        <v>1.9000000000000001E-5</v>
      </c>
      <c r="I324" s="62"/>
      <c r="J324" s="62"/>
      <c r="K324" s="63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</row>
    <row r="325" spans="1:41" ht="15.5">
      <c r="A325" s="623">
        <f ca="1">IFERROR(__xludf.DUMMYFUNCTION("""COMPUTED_VALUE"""),324)</f>
        <v>324</v>
      </c>
      <c r="B325" s="624">
        <f ca="1">IFERROR(__xludf.DUMMYFUNCTION("""COMPUTED_VALUE"""),4967)</f>
        <v>4967</v>
      </c>
      <c r="C325" s="624" t="str">
        <f ca="1">IFERROR(__xludf.DUMMYFUNCTION("""COMPUTED_VALUE"""),"十銓")</f>
        <v>十銓</v>
      </c>
      <c r="D325" s="630">
        <f ca="1">IFERROR(__xludf.DUMMYFUNCTION("""COMPUTED_VALUE"""),0.000141)</f>
        <v>1.4100000000000001E-4</v>
      </c>
      <c r="E325" s="623">
        <f ca="1">IFERROR(__xludf.DUMMYFUNCTION("""COMPUTED_VALUE"""),858)</f>
        <v>858</v>
      </c>
      <c r="F325" s="624">
        <f ca="1">IFERROR(__xludf.DUMMYFUNCTION("""COMPUTED_VALUE"""),6283)</f>
        <v>6283</v>
      </c>
      <c r="G325" s="624" t="str">
        <f ca="1">IFERROR(__xludf.DUMMYFUNCTION("""COMPUTED_VALUE"""),"淳安")</f>
        <v>淳安</v>
      </c>
      <c r="H325" s="632">
        <f ca="1">IFERROR(__xludf.DUMMYFUNCTION("""COMPUTED_VALUE"""),0.000019)</f>
        <v>1.9000000000000001E-5</v>
      </c>
      <c r="I325" s="62"/>
      <c r="J325" s="62"/>
      <c r="K325" s="63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</row>
    <row r="326" spans="1:41" ht="15.5">
      <c r="A326" s="623">
        <f ca="1">IFERROR(__xludf.DUMMYFUNCTION("""COMPUTED_VALUE"""),325)</f>
        <v>325</v>
      </c>
      <c r="B326" s="624">
        <f ca="1">IFERROR(__xludf.DUMMYFUNCTION("""COMPUTED_VALUE"""),2543)</f>
        <v>2543</v>
      </c>
      <c r="C326" s="624" t="str">
        <f ca="1">IFERROR(__xludf.DUMMYFUNCTION("""COMPUTED_VALUE"""),"皇昌")</f>
        <v>皇昌</v>
      </c>
      <c r="D326" s="630">
        <f ca="1">IFERROR(__xludf.DUMMYFUNCTION("""COMPUTED_VALUE"""),0.000139)</f>
        <v>1.3899999999999999E-4</v>
      </c>
      <c r="E326" s="623">
        <f ca="1">IFERROR(__xludf.DUMMYFUNCTION("""COMPUTED_VALUE"""),859)</f>
        <v>859</v>
      </c>
      <c r="F326" s="624">
        <f ca="1">IFERROR(__xludf.DUMMYFUNCTION("""COMPUTED_VALUE"""),4956)</f>
        <v>4956</v>
      </c>
      <c r="G326" s="624" t="str">
        <f ca="1">IFERROR(__xludf.DUMMYFUNCTION("""COMPUTED_VALUE"""),"光鋐")</f>
        <v>光鋐</v>
      </c>
      <c r="H326" s="632">
        <f ca="1">IFERROR(__xludf.DUMMYFUNCTION("""COMPUTED_VALUE"""),0.000019)</f>
        <v>1.9000000000000001E-5</v>
      </c>
      <c r="I326" s="62"/>
      <c r="J326" s="62"/>
      <c r="K326" s="63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</row>
    <row r="327" spans="1:41" ht="15.5">
      <c r="A327" s="623">
        <f ca="1">IFERROR(__xludf.DUMMYFUNCTION("""COMPUTED_VALUE"""),326)</f>
        <v>326</v>
      </c>
      <c r="B327" s="624">
        <f ca="1">IFERROR(__xludf.DUMMYFUNCTION("""COMPUTED_VALUE"""),2727)</f>
        <v>2727</v>
      </c>
      <c r="C327" s="624" t="str">
        <f ca="1">IFERROR(__xludf.DUMMYFUNCTION("""COMPUTED_VALUE"""),"王品")</f>
        <v>王品</v>
      </c>
      <c r="D327" s="630">
        <f ca="1">IFERROR(__xludf.DUMMYFUNCTION("""COMPUTED_VALUE"""),0.000138)</f>
        <v>1.3799999999999999E-4</v>
      </c>
      <c r="E327" s="623">
        <f ca="1">IFERROR(__xludf.DUMMYFUNCTION("""COMPUTED_VALUE"""),860)</f>
        <v>860</v>
      </c>
      <c r="F327" s="624">
        <f ca="1">IFERROR(__xludf.DUMMYFUNCTION("""COMPUTED_VALUE"""),6887)</f>
        <v>6887</v>
      </c>
      <c r="G327" s="624" t="str">
        <f ca="1">IFERROR(__xludf.DUMMYFUNCTION("""COMPUTED_VALUE"""),"寶綠特-KY")</f>
        <v>寶綠特-KY</v>
      </c>
      <c r="H327" s="632">
        <f ca="1">IFERROR(__xludf.DUMMYFUNCTION("""COMPUTED_VALUE"""),0.000019)</f>
        <v>1.9000000000000001E-5</v>
      </c>
      <c r="I327" s="62"/>
      <c r="J327" s="62"/>
      <c r="K327" s="63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</row>
    <row r="328" spans="1:41" ht="15.5">
      <c r="A328" s="623">
        <f ca="1">IFERROR(__xludf.DUMMYFUNCTION("""COMPUTED_VALUE"""),327)</f>
        <v>327</v>
      </c>
      <c r="B328" s="624">
        <f ca="1">IFERROR(__xludf.DUMMYFUNCTION("""COMPUTED_VALUE"""),6449)</f>
        <v>6449</v>
      </c>
      <c r="C328" s="624" t="str">
        <f ca="1">IFERROR(__xludf.DUMMYFUNCTION("""COMPUTED_VALUE"""),"鈺邦")</f>
        <v>鈺邦</v>
      </c>
      <c r="D328" s="630">
        <f ca="1">IFERROR(__xludf.DUMMYFUNCTION("""COMPUTED_VALUE"""),0.000138)</f>
        <v>1.3799999999999999E-4</v>
      </c>
      <c r="E328" s="623">
        <f ca="1">IFERROR(__xludf.DUMMYFUNCTION("""COMPUTED_VALUE"""),861)</f>
        <v>861</v>
      </c>
      <c r="F328" s="624">
        <f ca="1">IFERROR(__xludf.DUMMYFUNCTION("""COMPUTED_VALUE"""),6792)</f>
        <v>6792</v>
      </c>
      <c r="G328" s="624" t="str">
        <f ca="1">IFERROR(__xludf.DUMMYFUNCTION("""COMPUTED_VALUE"""),"詠業")</f>
        <v>詠業</v>
      </c>
      <c r="H328" s="632">
        <f ca="1">IFERROR(__xludf.DUMMYFUNCTION("""COMPUTED_VALUE"""),0.000019)</f>
        <v>1.9000000000000001E-5</v>
      </c>
      <c r="I328" s="62"/>
      <c r="J328" s="62"/>
      <c r="K328" s="63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</row>
    <row r="329" spans="1:41" ht="15.5">
      <c r="A329" s="623">
        <f ca="1">IFERROR(__xludf.DUMMYFUNCTION("""COMPUTED_VALUE"""),328)</f>
        <v>328</v>
      </c>
      <c r="B329" s="624">
        <f ca="1">IFERROR(__xludf.DUMMYFUNCTION("""COMPUTED_VALUE"""),8261)</f>
        <v>8261</v>
      </c>
      <c r="C329" s="624" t="str">
        <f ca="1">IFERROR(__xludf.DUMMYFUNCTION("""COMPUTED_VALUE"""),"富鼎")</f>
        <v>富鼎</v>
      </c>
      <c r="D329" s="630">
        <f ca="1">IFERROR(__xludf.DUMMYFUNCTION("""COMPUTED_VALUE"""),0.000138)</f>
        <v>1.3799999999999999E-4</v>
      </c>
      <c r="E329" s="623">
        <f ca="1">IFERROR(__xludf.DUMMYFUNCTION("""COMPUTED_VALUE"""),862)</f>
        <v>862</v>
      </c>
      <c r="F329" s="624">
        <f ca="1">IFERROR(__xludf.DUMMYFUNCTION("""COMPUTED_VALUE"""),6909)</f>
        <v>6909</v>
      </c>
      <c r="G329" s="624" t="str">
        <f ca="1">IFERROR(__xludf.DUMMYFUNCTION("""COMPUTED_VALUE"""),"創控")</f>
        <v>創控</v>
      </c>
      <c r="H329" s="632">
        <f ca="1">IFERROR(__xludf.DUMMYFUNCTION("""COMPUTED_VALUE"""),0.000019)</f>
        <v>1.9000000000000001E-5</v>
      </c>
      <c r="I329" s="62"/>
      <c r="J329" s="62"/>
      <c r="K329" s="63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</row>
    <row r="330" spans="1:41" ht="15.5">
      <c r="A330" s="623">
        <f ca="1">IFERROR(__xludf.DUMMYFUNCTION("""COMPUTED_VALUE"""),329)</f>
        <v>329</v>
      </c>
      <c r="B330" s="624">
        <f ca="1">IFERROR(__xludf.DUMMYFUNCTION("""COMPUTED_VALUE"""),8110)</f>
        <v>8110</v>
      </c>
      <c r="C330" s="624" t="str">
        <f ca="1">IFERROR(__xludf.DUMMYFUNCTION("""COMPUTED_VALUE"""),"華東")</f>
        <v>華東</v>
      </c>
      <c r="D330" s="630">
        <f ca="1">IFERROR(__xludf.DUMMYFUNCTION("""COMPUTED_VALUE"""),0.000137)</f>
        <v>1.37E-4</v>
      </c>
      <c r="E330" s="623">
        <f ca="1">IFERROR(__xludf.DUMMYFUNCTION("""COMPUTED_VALUE"""),863)</f>
        <v>863</v>
      </c>
      <c r="F330" s="624">
        <f ca="1">IFERROR(__xludf.DUMMYFUNCTION("""COMPUTED_VALUE"""),6934)</f>
        <v>6934</v>
      </c>
      <c r="G330" s="624" t="str">
        <f ca="1">IFERROR(__xludf.DUMMYFUNCTION("""COMPUTED_VALUE"""),"心誠鎂")</f>
        <v>心誠鎂</v>
      </c>
      <c r="H330" s="632">
        <f ca="1">IFERROR(__xludf.DUMMYFUNCTION("""COMPUTED_VALUE"""),0.000019)</f>
        <v>1.9000000000000001E-5</v>
      </c>
      <c r="I330" s="62"/>
      <c r="J330" s="62"/>
      <c r="K330" s="63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</row>
    <row r="331" spans="1:41" ht="15.5">
      <c r="A331" s="623">
        <f ca="1">IFERROR(__xludf.DUMMYFUNCTION("""COMPUTED_VALUE"""),330)</f>
        <v>330</v>
      </c>
      <c r="B331" s="624">
        <f ca="1">IFERROR(__xludf.DUMMYFUNCTION("""COMPUTED_VALUE"""),7722)</f>
        <v>7722</v>
      </c>
      <c r="C331" s="624" t="str">
        <f ca="1">IFERROR(__xludf.DUMMYFUNCTION("""COMPUTED_VALUE"""),"LINEPAY")</f>
        <v>LINEPAY</v>
      </c>
      <c r="D331" s="630">
        <f ca="1">IFERROR(__xludf.DUMMYFUNCTION("""COMPUTED_VALUE"""),0.000137)</f>
        <v>1.37E-4</v>
      </c>
      <c r="E331" s="623">
        <f ca="1">IFERROR(__xludf.DUMMYFUNCTION("""COMPUTED_VALUE"""),864)</f>
        <v>864</v>
      </c>
      <c r="F331" s="624">
        <f ca="1">IFERROR(__xludf.DUMMYFUNCTION("""COMPUTED_VALUE"""),6657)</f>
        <v>6657</v>
      </c>
      <c r="G331" s="624" t="str">
        <f ca="1">IFERROR(__xludf.DUMMYFUNCTION("""COMPUTED_VALUE"""),"華安")</f>
        <v>華安</v>
      </c>
      <c r="H331" s="632">
        <f ca="1">IFERROR(__xludf.DUMMYFUNCTION("""COMPUTED_VALUE"""),0.000019)</f>
        <v>1.9000000000000001E-5</v>
      </c>
      <c r="I331" s="62"/>
      <c r="J331" s="62"/>
      <c r="K331" s="63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</row>
    <row r="332" spans="1:41" ht="15.5">
      <c r="A332" s="623">
        <f ca="1">IFERROR(__xludf.DUMMYFUNCTION("""COMPUTED_VALUE"""),331)</f>
        <v>331</v>
      </c>
      <c r="B332" s="624">
        <f ca="1">IFERROR(__xludf.DUMMYFUNCTION("""COMPUTED_VALUE"""),1723)</f>
        <v>1723</v>
      </c>
      <c r="C332" s="624" t="str">
        <f ca="1">IFERROR(__xludf.DUMMYFUNCTION("""COMPUTED_VALUE"""),"中碳")</f>
        <v>中碳</v>
      </c>
      <c r="D332" s="630">
        <f ca="1">IFERROR(__xludf.DUMMYFUNCTION("""COMPUTED_VALUE"""),0.000137)</f>
        <v>1.37E-4</v>
      </c>
      <c r="E332" s="623">
        <f ca="1">IFERROR(__xludf.DUMMYFUNCTION("""COMPUTED_VALUE"""),865)</f>
        <v>865</v>
      </c>
      <c r="F332" s="624">
        <f ca="1">IFERROR(__xludf.DUMMYFUNCTION("""COMPUTED_VALUE"""),6994)</f>
        <v>6994</v>
      </c>
      <c r="G332" s="624" t="str">
        <f ca="1">IFERROR(__xludf.DUMMYFUNCTION("""COMPUTED_VALUE"""),"富威電力")</f>
        <v>富威電力</v>
      </c>
      <c r="H332" s="632">
        <f ca="1">IFERROR(__xludf.DUMMYFUNCTION("""COMPUTED_VALUE"""),0.000019)</f>
        <v>1.9000000000000001E-5</v>
      </c>
      <c r="I332" s="62"/>
      <c r="J332" s="62"/>
      <c r="K332" s="63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</row>
    <row r="333" spans="1:41" ht="15.5">
      <c r="A333" s="623">
        <f ca="1">IFERROR(__xludf.DUMMYFUNCTION("""COMPUTED_VALUE"""),332)</f>
        <v>332</v>
      </c>
      <c r="B333" s="624">
        <f ca="1">IFERROR(__xludf.DUMMYFUNCTION("""COMPUTED_VALUE"""),2905)</f>
        <v>2905</v>
      </c>
      <c r="C333" s="624" t="str">
        <f ca="1">IFERROR(__xludf.DUMMYFUNCTION("""COMPUTED_VALUE"""),"三商")</f>
        <v>三商</v>
      </c>
      <c r="D333" s="630">
        <f ca="1">IFERROR(__xludf.DUMMYFUNCTION("""COMPUTED_VALUE"""),0.000135)</f>
        <v>1.35E-4</v>
      </c>
      <c r="E333" s="623">
        <f ca="1">IFERROR(__xludf.DUMMYFUNCTION("""COMPUTED_VALUE"""),866)</f>
        <v>866</v>
      </c>
      <c r="F333" s="624">
        <f ca="1">IFERROR(__xludf.DUMMYFUNCTION("""COMPUTED_VALUE"""),7631)</f>
        <v>7631</v>
      </c>
      <c r="G333" s="624" t="str">
        <f ca="1">IFERROR(__xludf.DUMMYFUNCTION("""COMPUTED_VALUE"""),"聚賢研發-創")</f>
        <v>聚賢研發-創</v>
      </c>
      <c r="H333" s="632">
        <f ca="1">IFERROR(__xludf.DUMMYFUNCTION("""COMPUTED_VALUE"""),0.000019)</f>
        <v>1.9000000000000001E-5</v>
      </c>
      <c r="I333" s="62"/>
      <c r="J333" s="62"/>
      <c r="K333" s="63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</row>
    <row r="334" spans="1:41" ht="15.5">
      <c r="A334" s="623">
        <f ca="1">IFERROR(__xludf.DUMMYFUNCTION("""COMPUTED_VALUE"""),333)</f>
        <v>333</v>
      </c>
      <c r="B334" s="624">
        <f ca="1">IFERROR(__xludf.DUMMYFUNCTION("""COMPUTED_VALUE"""),3149)</f>
        <v>3149</v>
      </c>
      <c r="C334" s="624" t="str">
        <f ca="1">IFERROR(__xludf.DUMMYFUNCTION("""COMPUTED_VALUE"""),"正達")</f>
        <v>正達</v>
      </c>
      <c r="D334" s="630">
        <f ca="1">IFERROR(__xludf.DUMMYFUNCTION("""COMPUTED_VALUE"""),0.000134)</f>
        <v>1.34E-4</v>
      </c>
      <c r="E334" s="623">
        <f ca="1">IFERROR(__xludf.DUMMYFUNCTION("""COMPUTED_VALUE"""),867)</f>
        <v>867</v>
      </c>
      <c r="F334" s="624">
        <f ca="1">IFERROR(__xludf.DUMMYFUNCTION("""COMPUTED_VALUE"""),8011)</f>
        <v>8011</v>
      </c>
      <c r="G334" s="624" t="str">
        <f ca="1">IFERROR(__xludf.DUMMYFUNCTION("""COMPUTED_VALUE"""),"台通")</f>
        <v>台通</v>
      </c>
      <c r="H334" s="632">
        <f ca="1">IFERROR(__xludf.DUMMYFUNCTION("""COMPUTED_VALUE"""),0.000019)</f>
        <v>1.9000000000000001E-5</v>
      </c>
      <c r="I334" s="62"/>
      <c r="J334" s="62"/>
      <c r="K334" s="63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</row>
    <row r="335" spans="1:41" ht="15.5">
      <c r="A335" s="623">
        <f ca="1">IFERROR(__xludf.DUMMYFUNCTION("""COMPUTED_VALUE"""),334)</f>
        <v>334</v>
      </c>
      <c r="B335" s="624">
        <f ca="1">IFERROR(__xludf.DUMMYFUNCTION("""COMPUTED_VALUE"""),4551)</f>
        <v>4551</v>
      </c>
      <c r="C335" s="624" t="str">
        <f ca="1">IFERROR(__xludf.DUMMYFUNCTION("""COMPUTED_VALUE"""),"智伸科")</f>
        <v>智伸科</v>
      </c>
      <c r="D335" s="630">
        <f ca="1">IFERROR(__xludf.DUMMYFUNCTION("""COMPUTED_VALUE"""),0.000134)</f>
        <v>1.34E-4</v>
      </c>
      <c r="E335" s="623">
        <f ca="1">IFERROR(__xludf.DUMMYFUNCTION("""COMPUTED_VALUE"""),868)</f>
        <v>868</v>
      </c>
      <c r="F335" s="624">
        <f ca="1">IFERROR(__xludf.DUMMYFUNCTION("""COMPUTED_VALUE"""),7823)</f>
        <v>7823</v>
      </c>
      <c r="G335" s="624" t="str">
        <f ca="1">IFERROR(__xludf.DUMMYFUNCTION("""COMPUTED_VALUE"""),"奧義賽博-KY創")</f>
        <v>奧義賽博-KY創</v>
      </c>
      <c r="H335" s="632">
        <f ca="1">IFERROR(__xludf.DUMMYFUNCTION("""COMPUTED_VALUE"""),0.000019)</f>
        <v>1.9000000000000001E-5</v>
      </c>
      <c r="I335" s="62"/>
      <c r="J335" s="62"/>
      <c r="K335" s="63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</row>
    <row r="336" spans="1:41" ht="15.5">
      <c r="A336" s="623">
        <f ca="1">IFERROR(__xludf.DUMMYFUNCTION("""COMPUTED_VALUE"""),335)</f>
        <v>335</v>
      </c>
      <c r="B336" s="624">
        <f ca="1">IFERROR(__xludf.DUMMYFUNCTION("""COMPUTED_VALUE"""),6456)</f>
        <v>6456</v>
      </c>
      <c r="C336" s="624" t="str">
        <f ca="1">IFERROR(__xludf.DUMMYFUNCTION("""COMPUTED_VALUE"""),"GIS-KY")</f>
        <v>GIS-KY</v>
      </c>
      <c r="D336" s="630">
        <f ca="1">IFERROR(__xludf.DUMMYFUNCTION("""COMPUTED_VALUE"""),0.000132)</f>
        <v>1.3200000000000001E-4</v>
      </c>
      <c r="E336" s="623">
        <f ca="1">IFERROR(__xludf.DUMMYFUNCTION("""COMPUTED_VALUE"""),869)</f>
        <v>869</v>
      </c>
      <c r="F336" s="624">
        <f ca="1">IFERROR(__xludf.DUMMYFUNCTION("""COMPUTED_VALUE"""),8481)</f>
        <v>8481</v>
      </c>
      <c r="G336" s="624" t="str">
        <f ca="1">IFERROR(__xludf.DUMMYFUNCTION("""COMPUTED_VALUE"""),"政伸")</f>
        <v>政伸</v>
      </c>
      <c r="H336" s="632">
        <f ca="1">IFERROR(__xludf.DUMMYFUNCTION("""COMPUTED_VALUE"""),0.000019)</f>
        <v>1.9000000000000001E-5</v>
      </c>
      <c r="I336" s="62"/>
      <c r="J336" s="62"/>
      <c r="K336" s="63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</row>
    <row r="337" spans="1:41" ht="15.5">
      <c r="A337" s="623">
        <f ca="1">IFERROR(__xludf.DUMMYFUNCTION("""COMPUTED_VALUE"""),336)</f>
        <v>336</v>
      </c>
      <c r="B337" s="624">
        <f ca="1">IFERROR(__xludf.DUMMYFUNCTION("""COMPUTED_VALUE"""),2247)</f>
        <v>2247</v>
      </c>
      <c r="C337" s="624" t="str">
        <f ca="1">IFERROR(__xludf.DUMMYFUNCTION("""COMPUTED_VALUE"""),"汎德永業")</f>
        <v>汎德永業</v>
      </c>
      <c r="D337" s="630">
        <f ca="1">IFERROR(__xludf.DUMMYFUNCTION("""COMPUTED_VALUE"""),0.000132)</f>
        <v>1.3200000000000001E-4</v>
      </c>
      <c r="E337" s="623">
        <f ca="1">IFERROR(__xludf.DUMMYFUNCTION("""COMPUTED_VALUE"""),870)</f>
        <v>870</v>
      </c>
      <c r="F337" s="624">
        <f ca="1">IFERROR(__xludf.DUMMYFUNCTION("""COMPUTED_VALUE"""),9919)</f>
        <v>9919</v>
      </c>
      <c r="G337" s="624" t="str">
        <f ca="1">IFERROR(__xludf.DUMMYFUNCTION("""COMPUTED_VALUE"""),"康那香")</f>
        <v>康那香</v>
      </c>
      <c r="H337" s="632">
        <f ca="1">IFERROR(__xludf.DUMMYFUNCTION("""COMPUTED_VALUE"""),0.000019)</f>
        <v>1.9000000000000001E-5</v>
      </c>
      <c r="I337" s="62"/>
      <c r="J337" s="62"/>
      <c r="K337" s="63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</row>
    <row r="338" spans="1:41" ht="15.5">
      <c r="A338" s="623">
        <f ca="1">IFERROR(__xludf.DUMMYFUNCTION("""COMPUTED_VALUE"""),337)</f>
        <v>337</v>
      </c>
      <c r="B338" s="624">
        <f ca="1">IFERROR(__xludf.DUMMYFUNCTION("""COMPUTED_VALUE"""),1608)</f>
        <v>1608</v>
      </c>
      <c r="C338" s="624" t="str">
        <f ca="1">IFERROR(__xludf.DUMMYFUNCTION("""COMPUTED_VALUE"""),"華榮")</f>
        <v>華榮</v>
      </c>
      <c r="D338" s="630">
        <f ca="1">IFERROR(__xludf.DUMMYFUNCTION("""COMPUTED_VALUE"""),0.000132)</f>
        <v>1.3200000000000001E-4</v>
      </c>
      <c r="E338" s="623">
        <f ca="1">IFERROR(__xludf.DUMMYFUNCTION("""COMPUTED_VALUE"""),871)</f>
        <v>871</v>
      </c>
      <c r="F338" s="624">
        <f ca="1">IFERROR(__xludf.DUMMYFUNCTION("""COMPUTED_VALUE"""),9955)</f>
        <v>9955</v>
      </c>
      <c r="G338" s="624" t="str">
        <f ca="1">IFERROR(__xludf.DUMMYFUNCTION("""COMPUTED_VALUE"""),"佳龍")</f>
        <v>佳龍</v>
      </c>
      <c r="H338" s="632">
        <f ca="1">IFERROR(__xludf.DUMMYFUNCTION("""COMPUTED_VALUE"""),0.000019)</f>
        <v>1.9000000000000001E-5</v>
      </c>
      <c r="I338" s="62"/>
      <c r="J338" s="62"/>
      <c r="K338" s="63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</row>
    <row r="339" spans="1:41" ht="15.5">
      <c r="A339" s="623">
        <f ca="1">IFERROR(__xludf.DUMMYFUNCTION("""COMPUTED_VALUE"""),338)</f>
        <v>338</v>
      </c>
      <c r="B339" s="624">
        <f ca="1">IFERROR(__xludf.DUMMYFUNCTION("""COMPUTED_VALUE"""),1104)</f>
        <v>1104</v>
      </c>
      <c r="C339" s="624" t="str">
        <f ca="1">IFERROR(__xludf.DUMMYFUNCTION("""COMPUTED_VALUE"""),"環泥")</f>
        <v>環泥</v>
      </c>
      <c r="D339" s="630">
        <f ca="1">IFERROR(__xludf.DUMMYFUNCTION("""COMPUTED_VALUE"""),0.000131)</f>
        <v>1.3100000000000001E-4</v>
      </c>
      <c r="E339" s="623">
        <f ca="1">IFERROR(__xludf.DUMMYFUNCTION("""COMPUTED_VALUE"""),872)</f>
        <v>872</v>
      </c>
      <c r="F339" s="624">
        <f ca="1">IFERROR(__xludf.DUMMYFUNCTION("""COMPUTED_VALUE"""),8222)</f>
        <v>8222</v>
      </c>
      <c r="G339" s="624" t="str">
        <f ca="1">IFERROR(__xludf.DUMMYFUNCTION("""COMPUTED_VALUE"""),"寶一")</f>
        <v>寶一</v>
      </c>
      <c r="H339" s="632">
        <f ca="1">IFERROR(__xludf.DUMMYFUNCTION("""COMPUTED_VALUE"""),0.000018)</f>
        <v>1.8E-5</v>
      </c>
      <c r="I339" s="62"/>
      <c r="J339" s="62"/>
      <c r="K339" s="63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</row>
    <row r="340" spans="1:41" ht="15.5">
      <c r="A340" s="623">
        <f ca="1">IFERROR(__xludf.DUMMYFUNCTION("""COMPUTED_VALUE"""),339)</f>
        <v>339</v>
      </c>
      <c r="B340" s="624">
        <f ca="1">IFERROR(__xludf.DUMMYFUNCTION("""COMPUTED_VALUE"""),9911)</f>
        <v>9911</v>
      </c>
      <c r="C340" s="624" t="str">
        <f ca="1">IFERROR(__xludf.DUMMYFUNCTION("""COMPUTED_VALUE"""),"櫻花")</f>
        <v>櫻花</v>
      </c>
      <c r="D340" s="630">
        <f ca="1">IFERROR(__xludf.DUMMYFUNCTION("""COMPUTED_VALUE"""),0.00013)</f>
        <v>1.2999999999999999E-4</v>
      </c>
      <c r="E340" s="623">
        <f ca="1">IFERROR(__xludf.DUMMYFUNCTION("""COMPUTED_VALUE"""),873)</f>
        <v>873</v>
      </c>
      <c r="F340" s="624">
        <f ca="1">IFERROR(__xludf.DUMMYFUNCTION("""COMPUTED_VALUE"""),6918)</f>
        <v>6918</v>
      </c>
      <c r="G340" s="624" t="str">
        <f ca="1">IFERROR(__xludf.DUMMYFUNCTION("""COMPUTED_VALUE"""),"愛派司")</f>
        <v>愛派司</v>
      </c>
      <c r="H340" s="632">
        <f ca="1">IFERROR(__xludf.DUMMYFUNCTION("""COMPUTED_VALUE"""),0.000018)</f>
        <v>1.8E-5</v>
      </c>
      <c r="I340" s="62"/>
      <c r="J340" s="62"/>
      <c r="K340" s="63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</row>
    <row r="341" spans="1:41" ht="15.5">
      <c r="A341" s="623">
        <f ca="1">IFERROR(__xludf.DUMMYFUNCTION("""COMPUTED_VALUE"""),340)</f>
        <v>340</v>
      </c>
      <c r="B341" s="624">
        <f ca="1">IFERROR(__xludf.DUMMYFUNCTION("""COMPUTED_VALUE"""),4961)</f>
        <v>4961</v>
      </c>
      <c r="C341" s="624" t="str">
        <f ca="1">IFERROR(__xludf.DUMMYFUNCTION("""COMPUTED_VALUE"""),"天鈺")</f>
        <v>天鈺</v>
      </c>
      <c r="D341" s="630">
        <f ca="1">IFERROR(__xludf.DUMMYFUNCTION("""COMPUTED_VALUE"""),0.000129)</f>
        <v>1.2899999999999999E-4</v>
      </c>
      <c r="E341" s="623">
        <f ca="1">IFERROR(__xludf.DUMMYFUNCTION("""COMPUTED_VALUE"""),874)</f>
        <v>874</v>
      </c>
      <c r="F341" s="624">
        <f ca="1">IFERROR(__xludf.DUMMYFUNCTION("""COMPUTED_VALUE"""),6931)</f>
        <v>6931</v>
      </c>
      <c r="G341" s="624" t="str">
        <f ca="1">IFERROR(__xludf.DUMMYFUNCTION("""COMPUTED_VALUE"""),"青松健康")</f>
        <v>青松健康</v>
      </c>
      <c r="H341" s="632">
        <f ca="1">IFERROR(__xludf.DUMMYFUNCTION("""COMPUTED_VALUE"""),0.000018)</f>
        <v>1.8E-5</v>
      </c>
      <c r="I341" s="62"/>
      <c r="J341" s="62"/>
      <c r="K341" s="63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</row>
    <row r="342" spans="1:41" ht="15.5">
      <c r="A342" s="623">
        <f ca="1">IFERROR(__xludf.DUMMYFUNCTION("""COMPUTED_VALUE"""),341)</f>
        <v>341</v>
      </c>
      <c r="B342" s="624">
        <f ca="1">IFERROR(__xludf.DUMMYFUNCTION("""COMPUTED_VALUE"""),6830)</f>
        <v>6830</v>
      </c>
      <c r="C342" s="624" t="str">
        <f ca="1">IFERROR(__xludf.DUMMYFUNCTION("""COMPUTED_VALUE"""),"汎銓")</f>
        <v>汎銓</v>
      </c>
      <c r="D342" s="630">
        <f ca="1">IFERROR(__xludf.DUMMYFUNCTION("""COMPUTED_VALUE"""),0.000128)</f>
        <v>1.2799999999999999E-4</v>
      </c>
      <c r="E342" s="623">
        <f ca="1">IFERROR(__xludf.DUMMYFUNCTION("""COMPUTED_VALUE"""),875)</f>
        <v>875</v>
      </c>
      <c r="F342" s="624">
        <f ca="1">IFERROR(__xludf.DUMMYFUNCTION("""COMPUTED_VALUE"""),4562)</f>
        <v>4562</v>
      </c>
      <c r="G342" s="624" t="str">
        <f ca="1">IFERROR(__xludf.DUMMYFUNCTION("""COMPUTED_VALUE"""),"穎漢")</f>
        <v>穎漢</v>
      </c>
      <c r="H342" s="632">
        <f ca="1">IFERROR(__xludf.DUMMYFUNCTION("""COMPUTED_VALUE"""),0.000018)</f>
        <v>1.8E-5</v>
      </c>
      <c r="I342" s="62"/>
      <c r="J342" s="62"/>
      <c r="K342" s="63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</row>
    <row r="343" spans="1:41" ht="15.5">
      <c r="A343" s="623">
        <f ca="1">IFERROR(__xludf.DUMMYFUNCTION("""COMPUTED_VALUE"""),342)</f>
        <v>342</v>
      </c>
      <c r="B343" s="624">
        <f ca="1">IFERROR(__xludf.DUMMYFUNCTION("""COMPUTED_VALUE"""),5607)</f>
        <v>5607</v>
      </c>
      <c r="C343" s="624" t="str">
        <f ca="1">IFERROR(__xludf.DUMMYFUNCTION("""COMPUTED_VALUE"""),"遠雄港")</f>
        <v>遠雄港</v>
      </c>
      <c r="D343" s="630">
        <f ca="1">IFERROR(__xludf.DUMMYFUNCTION("""COMPUTED_VALUE"""),0.000127)</f>
        <v>1.27E-4</v>
      </c>
      <c r="E343" s="623">
        <f ca="1">IFERROR(__xludf.DUMMYFUNCTION("""COMPUTED_VALUE"""),876)</f>
        <v>876</v>
      </c>
      <c r="F343" s="624">
        <f ca="1">IFERROR(__xludf.DUMMYFUNCTION("""COMPUTED_VALUE"""),4545)</f>
        <v>4545</v>
      </c>
      <c r="G343" s="624" t="str">
        <f ca="1">IFERROR(__xludf.DUMMYFUNCTION("""COMPUTED_VALUE"""),"銘鈺")</f>
        <v>銘鈺</v>
      </c>
      <c r="H343" s="632">
        <f ca="1">IFERROR(__xludf.DUMMYFUNCTION("""COMPUTED_VALUE"""),0.000018)</f>
        <v>1.8E-5</v>
      </c>
      <c r="I343" s="62"/>
      <c r="J343" s="62"/>
      <c r="K343" s="63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</row>
    <row r="344" spans="1:41" ht="15.5">
      <c r="A344" s="623">
        <f ca="1">IFERROR(__xludf.DUMMYFUNCTION("""COMPUTED_VALUE"""),343)</f>
        <v>343</v>
      </c>
      <c r="B344" s="624">
        <f ca="1">IFERROR(__xludf.DUMMYFUNCTION("""COMPUTED_VALUE"""),6206)</f>
        <v>6206</v>
      </c>
      <c r="C344" s="624" t="str">
        <f ca="1">IFERROR(__xludf.DUMMYFUNCTION("""COMPUTED_VALUE"""),"飛捷")</f>
        <v>飛捷</v>
      </c>
      <c r="D344" s="630">
        <f ca="1">IFERROR(__xludf.DUMMYFUNCTION("""COMPUTED_VALUE"""),0.000127)</f>
        <v>1.27E-4</v>
      </c>
      <c r="E344" s="623">
        <f ca="1">IFERROR(__xludf.DUMMYFUNCTION("""COMPUTED_VALUE"""),877)</f>
        <v>877</v>
      </c>
      <c r="F344" s="624">
        <f ca="1">IFERROR(__xludf.DUMMYFUNCTION("""COMPUTED_VALUE"""),3518)</f>
        <v>3518</v>
      </c>
      <c r="G344" s="624" t="str">
        <f ca="1">IFERROR(__xludf.DUMMYFUNCTION("""COMPUTED_VALUE"""),"柏騰")</f>
        <v>柏騰</v>
      </c>
      <c r="H344" s="632">
        <f ca="1">IFERROR(__xludf.DUMMYFUNCTION("""COMPUTED_VALUE"""),0.000018)</f>
        <v>1.8E-5</v>
      </c>
      <c r="I344" s="62"/>
      <c r="J344" s="62"/>
      <c r="K344" s="63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</row>
    <row r="345" spans="1:41" ht="15.5">
      <c r="A345" s="623">
        <f ca="1">IFERROR(__xludf.DUMMYFUNCTION("""COMPUTED_VALUE"""),344)</f>
        <v>344</v>
      </c>
      <c r="B345" s="624">
        <f ca="1">IFERROR(__xludf.DUMMYFUNCTION("""COMPUTED_VALUE"""),7768)</f>
        <v>7768</v>
      </c>
      <c r="C345" s="624" t="str">
        <f ca="1">IFERROR(__xludf.DUMMYFUNCTION("""COMPUTED_VALUE"""),"頌勝科技")</f>
        <v>頌勝科技</v>
      </c>
      <c r="D345" s="630">
        <f ca="1">IFERROR(__xludf.DUMMYFUNCTION("""COMPUTED_VALUE"""),0.000126)</f>
        <v>1.26E-4</v>
      </c>
      <c r="E345" s="623">
        <f ca="1">IFERROR(__xludf.DUMMYFUNCTION("""COMPUTED_VALUE"""),878)</f>
        <v>878</v>
      </c>
      <c r="F345" s="624">
        <f ca="1">IFERROR(__xludf.DUMMYFUNCTION("""COMPUTED_VALUE"""),6108)</f>
        <v>6108</v>
      </c>
      <c r="G345" s="624" t="str">
        <f ca="1">IFERROR(__xludf.DUMMYFUNCTION("""COMPUTED_VALUE"""),"競國")</f>
        <v>競國</v>
      </c>
      <c r="H345" s="632">
        <f ca="1">IFERROR(__xludf.DUMMYFUNCTION("""COMPUTED_VALUE"""),0.000018)</f>
        <v>1.8E-5</v>
      </c>
      <c r="I345" s="62"/>
      <c r="J345" s="62"/>
      <c r="K345" s="63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</row>
    <row r="346" spans="1:41" ht="15.5">
      <c r="A346" s="623">
        <f ca="1">IFERROR(__xludf.DUMMYFUNCTION("""COMPUTED_VALUE"""),345)</f>
        <v>345</v>
      </c>
      <c r="B346" s="624">
        <f ca="1">IFERROR(__xludf.DUMMYFUNCTION("""COMPUTED_VALUE"""),2605)</f>
        <v>2605</v>
      </c>
      <c r="C346" s="624" t="str">
        <f ca="1">IFERROR(__xludf.DUMMYFUNCTION("""COMPUTED_VALUE"""),"新興")</f>
        <v>新興</v>
      </c>
      <c r="D346" s="630">
        <f ca="1">IFERROR(__xludf.DUMMYFUNCTION("""COMPUTED_VALUE"""),0.000126)</f>
        <v>1.26E-4</v>
      </c>
      <c r="E346" s="623">
        <f ca="1">IFERROR(__xludf.DUMMYFUNCTION("""COMPUTED_VALUE"""),879)</f>
        <v>879</v>
      </c>
      <c r="F346" s="624">
        <f ca="1">IFERROR(__xludf.DUMMYFUNCTION("""COMPUTED_VALUE"""),6128)</f>
        <v>6128</v>
      </c>
      <c r="G346" s="624" t="str">
        <f ca="1">IFERROR(__xludf.DUMMYFUNCTION("""COMPUTED_VALUE"""),"上福")</f>
        <v>上福</v>
      </c>
      <c r="H346" s="632">
        <f ca="1">IFERROR(__xludf.DUMMYFUNCTION("""COMPUTED_VALUE"""),0.000018)</f>
        <v>1.8E-5</v>
      </c>
      <c r="I346" s="62"/>
      <c r="J346" s="62"/>
      <c r="K346" s="63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</row>
    <row r="347" spans="1:41" ht="15.5">
      <c r="A347" s="623">
        <f ca="1">IFERROR(__xludf.DUMMYFUNCTION("""COMPUTED_VALUE"""),346)</f>
        <v>346</v>
      </c>
      <c r="B347" s="624">
        <f ca="1">IFERROR(__xludf.DUMMYFUNCTION("""COMPUTED_VALUE"""),2480)</f>
        <v>2480</v>
      </c>
      <c r="C347" s="624" t="str">
        <f ca="1">IFERROR(__xludf.DUMMYFUNCTION("""COMPUTED_VALUE"""),"敦陽科")</f>
        <v>敦陽科</v>
      </c>
      <c r="D347" s="630">
        <f ca="1">IFERROR(__xludf.DUMMYFUNCTION("""COMPUTED_VALUE"""),0.000126)</f>
        <v>1.26E-4</v>
      </c>
      <c r="E347" s="623">
        <f ca="1">IFERROR(__xludf.DUMMYFUNCTION("""COMPUTED_VALUE"""),880)</f>
        <v>880</v>
      </c>
      <c r="F347" s="624">
        <f ca="1">IFERROR(__xludf.DUMMYFUNCTION("""COMPUTED_VALUE"""),5484)</f>
        <v>5484</v>
      </c>
      <c r="G347" s="624" t="str">
        <f ca="1">IFERROR(__xludf.DUMMYFUNCTION("""COMPUTED_VALUE"""),"慧友")</f>
        <v>慧友</v>
      </c>
      <c r="H347" s="632">
        <f ca="1">IFERROR(__xludf.DUMMYFUNCTION("""COMPUTED_VALUE"""),0.000018)</f>
        <v>1.8E-5</v>
      </c>
      <c r="I347" s="62"/>
      <c r="J347" s="62"/>
      <c r="K347" s="63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</row>
    <row r="348" spans="1:41" ht="15.5">
      <c r="A348" s="623">
        <f ca="1">IFERROR(__xludf.DUMMYFUNCTION("""COMPUTED_VALUE"""),347)</f>
        <v>347</v>
      </c>
      <c r="B348" s="624">
        <f ca="1">IFERROR(__xludf.DUMMYFUNCTION("""COMPUTED_VALUE"""),2704)</f>
        <v>2704</v>
      </c>
      <c r="C348" s="624" t="str">
        <f ca="1">IFERROR(__xludf.DUMMYFUNCTION("""COMPUTED_VALUE"""),"國賓")</f>
        <v>國賓</v>
      </c>
      <c r="D348" s="630">
        <f ca="1">IFERROR(__xludf.DUMMYFUNCTION("""COMPUTED_VALUE"""),0.000125)</f>
        <v>1.25E-4</v>
      </c>
      <c r="E348" s="623">
        <f ca="1">IFERROR(__xludf.DUMMYFUNCTION("""COMPUTED_VALUE"""),881)</f>
        <v>881</v>
      </c>
      <c r="F348" s="624">
        <f ca="1">IFERROR(__xludf.DUMMYFUNCTION("""COMPUTED_VALUE"""),5215)</f>
        <v>5215</v>
      </c>
      <c r="G348" s="624" t="str">
        <f ca="1">IFERROR(__xludf.DUMMYFUNCTION("""COMPUTED_VALUE"""),"科嘉-KY")</f>
        <v>科嘉-KY</v>
      </c>
      <c r="H348" s="632">
        <f ca="1">IFERROR(__xludf.DUMMYFUNCTION("""COMPUTED_VALUE"""),0.000018)</f>
        <v>1.8E-5</v>
      </c>
      <c r="I348" s="62"/>
      <c r="J348" s="62"/>
      <c r="K348" s="63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</row>
    <row r="349" spans="1:41" ht="15.5">
      <c r="A349" s="623">
        <f ca="1">IFERROR(__xludf.DUMMYFUNCTION("""COMPUTED_VALUE"""),348)</f>
        <v>348</v>
      </c>
      <c r="B349" s="624">
        <f ca="1">IFERROR(__xludf.DUMMYFUNCTION("""COMPUTED_VALUE"""),2103)</f>
        <v>2103</v>
      </c>
      <c r="C349" s="624" t="str">
        <f ca="1">IFERROR(__xludf.DUMMYFUNCTION("""COMPUTED_VALUE"""),"台橡")</f>
        <v>台橡</v>
      </c>
      <c r="D349" s="630">
        <f ca="1">IFERROR(__xludf.DUMMYFUNCTION("""COMPUTED_VALUE"""),0.000125)</f>
        <v>1.25E-4</v>
      </c>
      <c r="E349" s="623">
        <f ca="1">IFERROR(__xludf.DUMMYFUNCTION("""COMPUTED_VALUE"""),882)</f>
        <v>882</v>
      </c>
      <c r="F349" s="624">
        <f ca="1">IFERROR(__xludf.DUMMYFUNCTION("""COMPUTED_VALUE"""),1762)</f>
        <v>1762</v>
      </c>
      <c r="G349" s="624" t="str">
        <f ca="1">IFERROR(__xludf.DUMMYFUNCTION("""COMPUTED_VALUE"""),"中化生")</f>
        <v>中化生</v>
      </c>
      <c r="H349" s="632">
        <f ca="1">IFERROR(__xludf.DUMMYFUNCTION("""COMPUTED_VALUE"""),0.000018)</f>
        <v>1.8E-5</v>
      </c>
      <c r="I349" s="62"/>
      <c r="J349" s="62"/>
      <c r="K349" s="63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</row>
    <row r="350" spans="1:41" ht="15.5">
      <c r="A350" s="623">
        <f ca="1">IFERROR(__xludf.DUMMYFUNCTION("""COMPUTED_VALUE"""),349)</f>
        <v>349</v>
      </c>
      <c r="B350" s="624">
        <f ca="1">IFERROR(__xludf.DUMMYFUNCTION("""COMPUTED_VALUE"""),4722)</f>
        <v>4722</v>
      </c>
      <c r="C350" s="624" t="str">
        <f ca="1">IFERROR(__xludf.DUMMYFUNCTION("""COMPUTED_VALUE"""),"國精化")</f>
        <v>國精化</v>
      </c>
      <c r="D350" s="630">
        <f ca="1">IFERROR(__xludf.DUMMYFUNCTION("""COMPUTED_VALUE"""),0.000125)</f>
        <v>1.25E-4</v>
      </c>
      <c r="E350" s="623">
        <f ca="1">IFERROR(__xludf.DUMMYFUNCTION("""COMPUTED_VALUE"""),883)</f>
        <v>883</v>
      </c>
      <c r="F350" s="624">
        <f ca="1">IFERROR(__xludf.DUMMYFUNCTION("""COMPUTED_VALUE"""),2022)</f>
        <v>2022</v>
      </c>
      <c r="G350" s="624" t="str">
        <f ca="1">IFERROR(__xludf.DUMMYFUNCTION("""COMPUTED_VALUE"""),"聚亨")</f>
        <v>聚亨</v>
      </c>
      <c r="H350" s="632">
        <f ca="1">IFERROR(__xludf.DUMMYFUNCTION("""COMPUTED_VALUE"""),0.000018)</f>
        <v>1.8E-5</v>
      </c>
      <c r="I350" s="62"/>
      <c r="J350" s="62"/>
      <c r="K350" s="63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</row>
    <row r="351" spans="1:41" ht="15.5">
      <c r="A351" s="623">
        <f ca="1">IFERROR(__xludf.DUMMYFUNCTION("""COMPUTED_VALUE"""),350)</f>
        <v>350</v>
      </c>
      <c r="B351" s="624">
        <f ca="1">IFERROR(__xludf.DUMMYFUNCTION("""COMPUTED_VALUE"""),9937)</f>
        <v>9937</v>
      </c>
      <c r="C351" s="624" t="str">
        <f ca="1">IFERROR(__xludf.DUMMYFUNCTION("""COMPUTED_VALUE"""),"全國")</f>
        <v>全國</v>
      </c>
      <c r="D351" s="630">
        <f ca="1">IFERROR(__xludf.DUMMYFUNCTION("""COMPUTED_VALUE"""),0.000124)</f>
        <v>1.2400000000000001E-4</v>
      </c>
      <c r="E351" s="623">
        <f ca="1">IFERROR(__xludf.DUMMYFUNCTION("""COMPUTED_VALUE"""),884)</f>
        <v>884</v>
      </c>
      <c r="F351" s="624">
        <f ca="1">IFERROR(__xludf.DUMMYFUNCTION("""COMPUTED_VALUE"""),1438)</f>
        <v>1438</v>
      </c>
      <c r="G351" s="624" t="str">
        <f ca="1">IFERROR(__xludf.DUMMYFUNCTION("""COMPUTED_VALUE"""),"三地開發")</f>
        <v>三地開發</v>
      </c>
      <c r="H351" s="632">
        <f ca="1">IFERROR(__xludf.DUMMYFUNCTION("""COMPUTED_VALUE"""),0.000018)</f>
        <v>1.8E-5</v>
      </c>
      <c r="I351" s="62"/>
      <c r="J351" s="62"/>
      <c r="K351" s="63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</row>
    <row r="352" spans="1:41" ht="15.5">
      <c r="A352" s="623">
        <f ca="1">IFERROR(__xludf.DUMMYFUNCTION("""COMPUTED_VALUE"""),351)</f>
        <v>351</v>
      </c>
      <c r="B352" s="624">
        <f ca="1">IFERROR(__xludf.DUMMYFUNCTION("""COMPUTED_VALUE"""),1711)</f>
        <v>1711</v>
      </c>
      <c r="C352" s="624" t="str">
        <f ca="1">IFERROR(__xludf.DUMMYFUNCTION("""COMPUTED_VALUE"""),"永光")</f>
        <v>永光</v>
      </c>
      <c r="D352" s="630">
        <f ca="1">IFERROR(__xludf.DUMMYFUNCTION("""COMPUTED_VALUE"""),0.000124)</f>
        <v>1.2400000000000001E-4</v>
      </c>
      <c r="E352" s="623">
        <f ca="1">IFERROR(__xludf.DUMMYFUNCTION("""COMPUTED_VALUE"""),885)</f>
        <v>885</v>
      </c>
      <c r="F352" s="624">
        <f ca="1">IFERROR(__xludf.DUMMYFUNCTION("""COMPUTED_VALUE"""),1439)</f>
        <v>1439</v>
      </c>
      <c r="G352" s="624" t="str">
        <f ca="1">IFERROR(__xludf.DUMMYFUNCTION("""COMPUTED_VALUE"""),"雋揚")</f>
        <v>雋揚</v>
      </c>
      <c r="H352" s="632">
        <f ca="1">IFERROR(__xludf.DUMMYFUNCTION("""COMPUTED_VALUE"""),0.000018)</f>
        <v>1.8E-5</v>
      </c>
      <c r="I352" s="62"/>
      <c r="J352" s="62"/>
      <c r="K352" s="63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</row>
    <row r="353" spans="1:41" ht="15.5">
      <c r="A353" s="623">
        <f ca="1">IFERROR(__xludf.DUMMYFUNCTION("""COMPUTED_VALUE"""),352)</f>
        <v>352</v>
      </c>
      <c r="B353" s="624">
        <f ca="1">IFERROR(__xludf.DUMMYFUNCTION("""COMPUTED_VALUE"""),2106)</f>
        <v>2106</v>
      </c>
      <c r="C353" s="624" t="str">
        <f ca="1">IFERROR(__xludf.DUMMYFUNCTION("""COMPUTED_VALUE"""),"建大")</f>
        <v>建大</v>
      </c>
      <c r="D353" s="630">
        <f ca="1">IFERROR(__xludf.DUMMYFUNCTION("""COMPUTED_VALUE"""),0.000123)</f>
        <v>1.2300000000000001E-4</v>
      </c>
      <c r="E353" s="623">
        <f ca="1">IFERROR(__xludf.DUMMYFUNCTION("""COMPUTED_VALUE"""),886)</f>
        <v>886</v>
      </c>
      <c r="F353" s="624">
        <f ca="1">IFERROR(__xludf.DUMMYFUNCTION("""COMPUTED_VALUE"""),1517)</f>
        <v>1517</v>
      </c>
      <c r="G353" s="624" t="str">
        <f ca="1">IFERROR(__xludf.DUMMYFUNCTION("""COMPUTED_VALUE"""),"利奇")</f>
        <v>利奇</v>
      </c>
      <c r="H353" s="632">
        <f ca="1">IFERROR(__xludf.DUMMYFUNCTION("""COMPUTED_VALUE"""),0.000018)</f>
        <v>1.8E-5</v>
      </c>
      <c r="I353" s="62"/>
      <c r="J353" s="62"/>
      <c r="K353" s="63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</row>
    <row r="354" spans="1:41" ht="15.5">
      <c r="A354" s="623">
        <f ca="1">IFERROR(__xludf.DUMMYFUNCTION("""COMPUTED_VALUE"""),353)</f>
        <v>353</v>
      </c>
      <c r="B354" s="624">
        <f ca="1">IFERROR(__xludf.DUMMYFUNCTION("""COMPUTED_VALUE"""),2392)</f>
        <v>2392</v>
      </c>
      <c r="C354" s="624" t="str">
        <f ca="1">IFERROR(__xludf.DUMMYFUNCTION("""COMPUTED_VALUE"""),"正崴")</f>
        <v>正崴</v>
      </c>
      <c r="D354" s="630">
        <f ca="1">IFERROR(__xludf.DUMMYFUNCTION("""COMPUTED_VALUE"""),0.000123)</f>
        <v>1.2300000000000001E-4</v>
      </c>
      <c r="E354" s="623">
        <f ca="1">IFERROR(__xludf.DUMMYFUNCTION("""COMPUTED_VALUE"""),887)</f>
        <v>887</v>
      </c>
      <c r="F354" s="624">
        <f ca="1">IFERROR(__xludf.DUMMYFUNCTION("""COMPUTED_VALUE"""),3041)</f>
        <v>3041</v>
      </c>
      <c r="G354" s="624" t="str">
        <f ca="1">IFERROR(__xludf.DUMMYFUNCTION("""COMPUTED_VALUE"""),"揚智")</f>
        <v>揚智</v>
      </c>
      <c r="H354" s="632">
        <f ca="1">IFERROR(__xludf.DUMMYFUNCTION("""COMPUTED_VALUE"""),0.000018)</f>
        <v>1.8E-5</v>
      </c>
      <c r="I354" s="62"/>
      <c r="J354" s="62"/>
      <c r="K354" s="63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</row>
    <row r="355" spans="1:41" ht="15.5">
      <c r="A355" s="623">
        <f ca="1">IFERROR(__xludf.DUMMYFUNCTION("""COMPUTED_VALUE"""),354)</f>
        <v>354</v>
      </c>
      <c r="B355" s="624">
        <f ca="1">IFERROR(__xludf.DUMMYFUNCTION("""COMPUTED_VALUE"""),3592)</f>
        <v>3592</v>
      </c>
      <c r="C355" s="624" t="str">
        <f ca="1">IFERROR(__xludf.DUMMYFUNCTION("""COMPUTED_VALUE"""),"瑞鼎")</f>
        <v>瑞鼎</v>
      </c>
      <c r="D355" s="630">
        <f ca="1">IFERROR(__xludf.DUMMYFUNCTION("""COMPUTED_VALUE"""),0.000123)</f>
        <v>1.2300000000000001E-4</v>
      </c>
      <c r="E355" s="623">
        <f ca="1">IFERROR(__xludf.DUMMYFUNCTION("""COMPUTED_VALUE"""),888)</f>
        <v>888</v>
      </c>
      <c r="F355" s="624">
        <f ca="1">IFERROR(__xludf.DUMMYFUNCTION("""COMPUTED_VALUE"""),3052)</f>
        <v>3052</v>
      </c>
      <c r="G355" s="624" t="str">
        <f ca="1">IFERROR(__xludf.DUMMYFUNCTION("""COMPUTED_VALUE"""),"夆典")</f>
        <v>夆典</v>
      </c>
      <c r="H355" s="632">
        <f ca="1">IFERROR(__xludf.DUMMYFUNCTION("""COMPUTED_VALUE"""),0.000018)</f>
        <v>1.8E-5</v>
      </c>
      <c r="I355" s="62"/>
      <c r="J355" s="62"/>
      <c r="K355" s="63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</row>
    <row r="356" spans="1:41" ht="15.5">
      <c r="A356" s="623">
        <f ca="1">IFERROR(__xludf.DUMMYFUNCTION("""COMPUTED_VALUE"""),355)</f>
        <v>355</v>
      </c>
      <c r="B356" s="624">
        <f ca="1">IFERROR(__xludf.DUMMYFUNCTION("""COMPUTED_VALUE"""),3704)</f>
        <v>3704</v>
      </c>
      <c r="C356" s="624" t="str">
        <f ca="1">IFERROR(__xludf.DUMMYFUNCTION("""COMPUTED_VALUE"""),"合勤控")</f>
        <v>合勤控</v>
      </c>
      <c r="D356" s="630">
        <f ca="1">IFERROR(__xludf.DUMMYFUNCTION("""COMPUTED_VALUE"""),0.000122)</f>
        <v>1.22E-4</v>
      </c>
      <c r="E356" s="623">
        <f ca="1">IFERROR(__xludf.DUMMYFUNCTION("""COMPUTED_VALUE"""),889)</f>
        <v>889</v>
      </c>
      <c r="F356" s="624">
        <f ca="1">IFERROR(__xludf.DUMMYFUNCTION("""COMPUTED_VALUE"""),2429)</f>
        <v>2429</v>
      </c>
      <c r="G356" s="624" t="str">
        <f ca="1">IFERROR(__xludf.DUMMYFUNCTION("""COMPUTED_VALUE"""),"銘旺科")</f>
        <v>銘旺科</v>
      </c>
      <c r="H356" s="632">
        <f ca="1">IFERROR(__xludf.DUMMYFUNCTION("""COMPUTED_VALUE"""),0.000018)</f>
        <v>1.8E-5</v>
      </c>
      <c r="I356" s="62"/>
      <c r="J356" s="62"/>
      <c r="K356" s="63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</row>
    <row r="357" spans="1:41" ht="15.5">
      <c r="A357" s="623">
        <f ca="1">IFERROR(__xludf.DUMMYFUNCTION("""COMPUTED_VALUE"""),356)</f>
        <v>356</v>
      </c>
      <c r="B357" s="624">
        <f ca="1">IFERROR(__xludf.DUMMYFUNCTION("""COMPUTED_VALUE"""),4770)</f>
        <v>4770</v>
      </c>
      <c r="C357" s="624" t="str">
        <f ca="1">IFERROR(__xludf.DUMMYFUNCTION("""COMPUTED_VALUE"""),"上品")</f>
        <v>上品</v>
      </c>
      <c r="D357" s="630">
        <f ca="1">IFERROR(__xludf.DUMMYFUNCTION("""COMPUTED_VALUE"""),0.000122)</f>
        <v>1.22E-4</v>
      </c>
      <c r="E357" s="623">
        <f ca="1">IFERROR(__xludf.DUMMYFUNCTION("""COMPUTED_VALUE"""),890)</f>
        <v>890</v>
      </c>
      <c r="F357" s="624">
        <f ca="1">IFERROR(__xludf.DUMMYFUNCTION("""COMPUTED_VALUE"""),2611)</f>
        <v>2611</v>
      </c>
      <c r="G357" s="624" t="str">
        <f ca="1">IFERROR(__xludf.DUMMYFUNCTION("""COMPUTED_VALUE"""),"志信")</f>
        <v>志信</v>
      </c>
      <c r="H357" s="632">
        <f ca="1">IFERROR(__xludf.DUMMYFUNCTION("""COMPUTED_VALUE"""),0.000018)</f>
        <v>1.8E-5</v>
      </c>
      <c r="I357" s="62"/>
      <c r="J357" s="62"/>
      <c r="K357" s="63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</row>
    <row r="358" spans="1:41" ht="15.5">
      <c r="A358" s="623">
        <f ca="1">IFERROR(__xludf.DUMMYFUNCTION("""COMPUTED_VALUE"""),357)</f>
        <v>357</v>
      </c>
      <c r="B358" s="624">
        <f ca="1">IFERROR(__xludf.DUMMYFUNCTION("""COMPUTED_VALUE"""),6937)</f>
        <v>6937</v>
      </c>
      <c r="C358" s="624" t="str">
        <f ca="1">IFERROR(__xludf.DUMMYFUNCTION("""COMPUTED_VALUE"""),"天虹")</f>
        <v>天虹</v>
      </c>
      <c r="D358" s="630">
        <f ca="1">IFERROR(__xludf.DUMMYFUNCTION("""COMPUTED_VALUE"""),0.000122)</f>
        <v>1.22E-4</v>
      </c>
      <c r="E358" s="623">
        <f ca="1">IFERROR(__xludf.DUMMYFUNCTION("""COMPUTED_VALUE"""),891)</f>
        <v>891</v>
      </c>
      <c r="F358" s="624">
        <f ca="1">IFERROR(__xludf.DUMMYFUNCTION("""COMPUTED_VALUE"""),3092)</f>
        <v>3092</v>
      </c>
      <c r="G358" s="624" t="str">
        <f ca="1">IFERROR(__xludf.DUMMYFUNCTION("""COMPUTED_VALUE"""),"鴻碩")</f>
        <v>鴻碩</v>
      </c>
      <c r="H358" s="632">
        <f ca="1">IFERROR(__xludf.DUMMYFUNCTION("""COMPUTED_VALUE"""),0.000017)</f>
        <v>1.7E-5</v>
      </c>
      <c r="I358" s="62"/>
      <c r="J358" s="62"/>
      <c r="K358" s="63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</row>
    <row r="359" spans="1:41" ht="15.5">
      <c r="A359" s="623">
        <f ca="1">IFERROR(__xludf.DUMMYFUNCTION("""COMPUTED_VALUE"""),358)</f>
        <v>358</v>
      </c>
      <c r="B359" s="624">
        <f ca="1">IFERROR(__xludf.DUMMYFUNCTION("""COMPUTED_VALUE"""),3703)</f>
        <v>3703</v>
      </c>
      <c r="C359" s="624" t="str">
        <f ca="1">IFERROR(__xludf.DUMMYFUNCTION("""COMPUTED_VALUE"""),"欣陸")</f>
        <v>欣陸</v>
      </c>
      <c r="D359" s="630">
        <f ca="1">IFERROR(__xludf.DUMMYFUNCTION("""COMPUTED_VALUE"""),0.000121)</f>
        <v>1.21E-4</v>
      </c>
      <c r="E359" s="623">
        <f ca="1">IFERROR(__xludf.DUMMYFUNCTION("""COMPUTED_VALUE"""),892)</f>
        <v>892</v>
      </c>
      <c r="F359" s="624">
        <f ca="1">IFERROR(__xludf.DUMMYFUNCTION("""COMPUTED_VALUE"""),3040)</f>
        <v>3040</v>
      </c>
      <c r="G359" s="624" t="str">
        <f ca="1">IFERROR(__xludf.DUMMYFUNCTION("""COMPUTED_VALUE"""),"遠見")</f>
        <v>遠見</v>
      </c>
      <c r="H359" s="632">
        <f ca="1">IFERROR(__xludf.DUMMYFUNCTION("""COMPUTED_VALUE"""),0.000017)</f>
        <v>1.7E-5</v>
      </c>
      <c r="I359" s="62"/>
      <c r="J359" s="62"/>
      <c r="K359" s="63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</row>
    <row r="360" spans="1:41" ht="15.5">
      <c r="A360" s="623">
        <f ca="1">IFERROR(__xludf.DUMMYFUNCTION("""COMPUTED_VALUE"""),359)</f>
        <v>359</v>
      </c>
      <c r="B360" s="624">
        <f ca="1">IFERROR(__xludf.DUMMYFUNCTION("""COMPUTED_VALUE"""),3029)</f>
        <v>3029</v>
      </c>
      <c r="C360" s="624" t="str">
        <f ca="1">IFERROR(__xludf.DUMMYFUNCTION("""COMPUTED_VALUE"""),"零壹")</f>
        <v>零壹</v>
      </c>
      <c r="D360" s="630">
        <f ca="1">IFERROR(__xludf.DUMMYFUNCTION("""COMPUTED_VALUE"""),0.000121)</f>
        <v>1.21E-4</v>
      </c>
      <c r="E360" s="623">
        <f ca="1">IFERROR(__xludf.DUMMYFUNCTION("""COMPUTED_VALUE"""),893)</f>
        <v>893</v>
      </c>
      <c r="F360" s="624">
        <f ca="1">IFERROR(__xludf.DUMMYFUNCTION("""COMPUTED_VALUE"""),1531)</f>
        <v>1531</v>
      </c>
      <c r="G360" s="624" t="str">
        <f ca="1">IFERROR(__xludf.DUMMYFUNCTION("""COMPUTED_VALUE"""),"高林股")</f>
        <v>高林股</v>
      </c>
      <c r="H360" s="632">
        <f ca="1">IFERROR(__xludf.DUMMYFUNCTION("""COMPUTED_VALUE"""),0.000017)</f>
        <v>1.7E-5</v>
      </c>
      <c r="I360" s="62"/>
      <c r="J360" s="62"/>
      <c r="K360" s="63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</row>
    <row r="361" spans="1:41" ht="15.5">
      <c r="A361" s="623">
        <f ca="1">IFERROR(__xludf.DUMMYFUNCTION("""COMPUTED_VALUE"""),360)</f>
        <v>360</v>
      </c>
      <c r="B361" s="624">
        <f ca="1">IFERROR(__xludf.DUMMYFUNCTION("""COMPUTED_VALUE"""),1312)</f>
        <v>1312</v>
      </c>
      <c r="C361" s="624" t="str">
        <f ca="1">IFERROR(__xludf.DUMMYFUNCTION("""COMPUTED_VALUE"""),"國喬")</f>
        <v>國喬</v>
      </c>
      <c r="D361" s="630">
        <f ca="1">IFERROR(__xludf.DUMMYFUNCTION("""COMPUTED_VALUE"""),0.000121)</f>
        <v>1.21E-4</v>
      </c>
      <c r="E361" s="623">
        <f ca="1">IFERROR(__xludf.DUMMYFUNCTION("""COMPUTED_VALUE"""),894)</f>
        <v>894</v>
      </c>
      <c r="F361" s="624">
        <f ca="1">IFERROR(__xludf.DUMMYFUNCTION("""COMPUTED_VALUE"""),2239)</f>
        <v>2239</v>
      </c>
      <c r="G361" s="624" t="str">
        <f ca="1">IFERROR(__xludf.DUMMYFUNCTION("""COMPUTED_VALUE"""),"英利-KY")</f>
        <v>英利-KY</v>
      </c>
      <c r="H361" s="632">
        <f ca="1">IFERROR(__xludf.DUMMYFUNCTION("""COMPUTED_VALUE"""),0.000017)</f>
        <v>1.7E-5</v>
      </c>
      <c r="I361" s="62"/>
      <c r="J361" s="62"/>
      <c r="K361" s="63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</row>
    <row r="362" spans="1:41" ht="15.5">
      <c r="A362" s="623">
        <f ca="1">IFERROR(__xludf.DUMMYFUNCTION("""COMPUTED_VALUE"""),361)</f>
        <v>361</v>
      </c>
      <c r="B362" s="624">
        <f ca="1">IFERROR(__xludf.DUMMYFUNCTION("""COMPUTED_VALUE"""),6719)</f>
        <v>6719</v>
      </c>
      <c r="C362" s="624" t="str">
        <f ca="1">IFERROR(__xludf.DUMMYFUNCTION("""COMPUTED_VALUE"""),"力智")</f>
        <v>力智</v>
      </c>
      <c r="D362" s="630">
        <f ca="1">IFERROR(__xludf.DUMMYFUNCTION("""COMPUTED_VALUE"""),0.00012)</f>
        <v>1.2E-4</v>
      </c>
      <c r="E362" s="623">
        <f ca="1">IFERROR(__xludf.DUMMYFUNCTION("""COMPUTED_VALUE"""),895)</f>
        <v>895</v>
      </c>
      <c r="F362" s="624">
        <f ca="1">IFERROR(__xludf.DUMMYFUNCTION("""COMPUTED_VALUE"""),2038)</f>
        <v>2038</v>
      </c>
      <c r="G362" s="624" t="str">
        <f ca="1">IFERROR(__xludf.DUMMYFUNCTION("""COMPUTED_VALUE"""),"海光")</f>
        <v>海光</v>
      </c>
      <c r="H362" s="632">
        <f ca="1">IFERROR(__xludf.DUMMYFUNCTION("""COMPUTED_VALUE"""),0.000017)</f>
        <v>1.7E-5</v>
      </c>
      <c r="I362" s="62"/>
      <c r="J362" s="62"/>
      <c r="K362" s="63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</row>
    <row r="363" spans="1:41" ht="15.5">
      <c r="A363" s="623">
        <f ca="1">IFERROR(__xludf.DUMMYFUNCTION("""COMPUTED_VALUE"""),362)</f>
        <v>362</v>
      </c>
      <c r="B363" s="624">
        <f ca="1">IFERROR(__xludf.DUMMYFUNCTION("""COMPUTED_VALUE"""),5007)</f>
        <v>5007</v>
      </c>
      <c r="C363" s="624" t="str">
        <f ca="1">IFERROR(__xludf.DUMMYFUNCTION("""COMPUTED_VALUE"""),"三星")</f>
        <v>三星</v>
      </c>
      <c r="D363" s="630">
        <f ca="1">IFERROR(__xludf.DUMMYFUNCTION("""COMPUTED_VALUE"""),0.000119)</f>
        <v>1.1900000000000001E-4</v>
      </c>
      <c r="E363" s="623">
        <f ca="1">IFERROR(__xludf.DUMMYFUNCTION("""COMPUTED_VALUE"""),896)</f>
        <v>896</v>
      </c>
      <c r="F363" s="624">
        <f ca="1">IFERROR(__xludf.DUMMYFUNCTION("""COMPUTED_VALUE"""),6133)</f>
        <v>6133</v>
      </c>
      <c r="G363" s="624" t="str">
        <f ca="1">IFERROR(__xludf.DUMMYFUNCTION("""COMPUTED_VALUE"""),"金橋")</f>
        <v>金橋</v>
      </c>
      <c r="H363" s="632">
        <f ca="1">IFERROR(__xludf.DUMMYFUNCTION("""COMPUTED_VALUE"""),0.000017)</f>
        <v>1.7E-5</v>
      </c>
      <c r="I363" s="62"/>
      <c r="J363" s="62"/>
      <c r="K363" s="63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</row>
    <row r="364" spans="1:41" ht="15.5">
      <c r="A364" s="623">
        <f ca="1">IFERROR(__xludf.DUMMYFUNCTION("""COMPUTED_VALUE"""),363)</f>
        <v>363</v>
      </c>
      <c r="B364" s="624">
        <f ca="1">IFERROR(__xludf.DUMMYFUNCTION("""COMPUTED_VALUE"""),2530)</f>
        <v>2530</v>
      </c>
      <c r="C364" s="624" t="str">
        <f ca="1">IFERROR(__xludf.DUMMYFUNCTION("""COMPUTED_VALUE"""),"華建")</f>
        <v>華建</v>
      </c>
      <c r="D364" s="630">
        <f ca="1">IFERROR(__xludf.DUMMYFUNCTION("""COMPUTED_VALUE"""),0.000119)</f>
        <v>1.1900000000000001E-4</v>
      </c>
      <c r="E364" s="623">
        <f ca="1">IFERROR(__xludf.DUMMYFUNCTION("""COMPUTED_VALUE"""),897)</f>
        <v>897</v>
      </c>
      <c r="F364" s="624">
        <f ca="1">IFERROR(__xludf.DUMMYFUNCTION("""COMPUTED_VALUE"""),6405)</f>
        <v>6405</v>
      </c>
      <c r="G364" s="624" t="str">
        <f ca="1">IFERROR(__xludf.DUMMYFUNCTION("""COMPUTED_VALUE"""),"悅城")</f>
        <v>悅城</v>
      </c>
      <c r="H364" s="632">
        <f ca="1">IFERROR(__xludf.DUMMYFUNCTION("""COMPUTED_VALUE"""),0.000017)</f>
        <v>1.7E-5</v>
      </c>
      <c r="I364" s="62"/>
      <c r="J364" s="62"/>
      <c r="K364" s="63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</row>
    <row r="365" spans="1:41" ht="15.5">
      <c r="A365" s="623">
        <f ca="1">IFERROR(__xludf.DUMMYFUNCTION("""COMPUTED_VALUE"""),364)</f>
        <v>364</v>
      </c>
      <c r="B365" s="624">
        <f ca="1">IFERROR(__xludf.DUMMYFUNCTION("""COMPUTED_VALUE"""),1712)</f>
        <v>1712</v>
      </c>
      <c r="C365" s="624" t="str">
        <f ca="1">IFERROR(__xludf.DUMMYFUNCTION("""COMPUTED_VALUE"""),"興農")</f>
        <v>興農</v>
      </c>
      <c r="D365" s="630">
        <f ca="1">IFERROR(__xludf.DUMMYFUNCTION("""COMPUTED_VALUE"""),0.000117)</f>
        <v>1.17E-4</v>
      </c>
      <c r="E365" s="623">
        <f ca="1">IFERROR(__xludf.DUMMYFUNCTION("""COMPUTED_VALUE"""),898)</f>
        <v>898</v>
      </c>
      <c r="F365" s="624">
        <f ca="1">IFERROR(__xludf.DUMMYFUNCTION("""COMPUTED_VALUE"""),3437)</f>
        <v>3437</v>
      </c>
      <c r="G365" s="624" t="str">
        <f ca="1">IFERROR(__xludf.DUMMYFUNCTION("""COMPUTED_VALUE"""),"榮創")</f>
        <v>榮創</v>
      </c>
      <c r="H365" s="632">
        <f ca="1">IFERROR(__xludf.DUMMYFUNCTION("""COMPUTED_VALUE"""),0.000017)</f>
        <v>1.7E-5</v>
      </c>
      <c r="I365" s="62"/>
      <c r="J365" s="62"/>
      <c r="K365" s="63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</row>
    <row r="366" spans="1:41" ht="15.5">
      <c r="A366" s="623">
        <f ca="1">IFERROR(__xludf.DUMMYFUNCTION("""COMPUTED_VALUE"""),365)</f>
        <v>365</v>
      </c>
      <c r="B366" s="624">
        <f ca="1">IFERROR(__xludf.DUMMYFUNCTION("""COMPUTED_VALUE"""),2489)</f>
        <v>2489</v>
      </c>
      <c r="C366" s="624" t="str">
        <f ca="1">IFERROR(__xludf.DUMMYFUNCTION("""COMPUTED_VALUE"""),"瑞軒")</f>
        <v>瑞軒</v>
      </c>
      <c r="D366" s="630">
        <f ca="1">IFERROR(__xludf.DUMMYFUNCTION("""COMPUTED_VALUE"""),0.000116)</f>
        <v>1.16E-4</v>
      </c>
      <c r="E366" s="623">
        <f ca="1">IFERROR(__xludf.DUMMYFUNCTION("""COMPUTED_VALUE"""),899)</f>
        <v>899</v>
      </c>
      <c r="F366" s="624">
        <f ca="1">IFERROR(__xludf.DUMMYFUNCTION("""COMPUTED_VALUE"""),4557)</f>
        <v>4557</v>
      </c>
      <c r="G366" s="624" t="str">
        <f ca="1">IFERROR(__xludf.DUMMYFUNCTION("""COMPUTED_VALUE"""),"永新-KY")</f>
        <v>永新-KY</v>
      </c>
      <c r="H366" s="632">
        <f ca="1">IFERROR(__xludf.DUMMYFUNCTION("""COMPUTED_VALUE"""),0.000017)</f>
        <v>1.7E-5</v>
      </c>
      <c r="I366" s="62"/>
      <c r="J366" s="62"/>
      <c r="K366" s="63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</row>
    <row r="367" spans="1:41" ht="15.5">
      <c r="A367" s="623">
        <f ca="1">IFERROR(__xludf.DUMMYFUNCTION("""COMPUTED_VALUE"""),366)</f>
        <v>366</v>
      </c>
      <c r="B367" s="624">
        <f ca="1">IFERROR(__xludf.DUMMYFUNCTION("""COMPUTED_VALUE"""),3028)</f>
        <v>3028</v>
      </c>
      <c r="C367" s="624" t="str">
        <f ca="1">IFERROR(__xludf.DUMMYFUNCTION("""COMPUTED_VALUE"""),"增你強")</f>
        <v>增你強</v>
      </c>
      <c r="D367" s="630">
        <f ca="1">IFERROR(__xludf.DUMMYFUNCTION("""COMPUTED_VALUE"""),0.000114)</f>
        <v>1.1400000000000001E-4</v>
      </c>
      <c r="E367" s="623">
        <f ca="1">IFERROR(__xludf.DUMMYFUNCTION("""COMPUTED_VALUE"""),900)</f>
        <v>900</v>
      </c>
      <c r="F367" s="624">
        <f ca="1">IFERROR(__xludf.DUMMYFUNCTION("""COMPUTED_VALUE"""),4106)</f>
        <v>4106</v>
      </c>
      <c r="G367" s="624" t="str">
        <f ca="1">IFERROR(__xludf.DUMMYFUNCTION("""COMPUTED_VALUE"""),"雃博")</f>
        <v>雃博</v>
      </c>
      <c r="H367" s="632">
        <f ca="1">IFERROR(__xludf.DUMMYFUNCTION("""COMPUTED_VALUE"""),0.000017)</f>
        <v>1.7E-5</v>
      </c>
      <c r="I367" s="62"/>
      <c r="J367" s="62"/>
      <c r="K367" s="63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</row>
    <row r="368" spans="1:41" ht="15.5">
      <c r="A368" s="623">
        <f ca="1">IFERROR(__xludf.DUMMYFUNCTION("""COMPUTED_VALUE"""),367)</f>
        <v>367</v>
      </c>
      <c r="B368" s="624">
        <f ca="1">IFERROR(__xludf.DUMMYFUNCTION("""COMPUTED_VALUE"""),2402)</f>
        <v>2402</v>
      </c>
      <c r="C368" s="624" t="str">
        <f ca="1">IFERROR(__xludf.DUMMYFUNCTION("""COMPUTED_VALUE"""),"毅嘉")</f>
        <v>毅嘉</v>
      </c>
      <c r="D368" s="630">
        <f ca="1">IFERROR(__xludf.DUMMYFUNCTION("""COMPUTED_VALUE"""),0.000113)</f>
        <v>1.13E-4</v>
      </c>
      <c r="E368" s="623">
        <f ca="1">IFERROR(__xludf.DUMMYFUNCTION("""COMPUTED_VALUE"""),901)</f>
        <v>901</v>
      </c>
      <c r="F368" s="624">
        <f ca="1">IFERROR(__xludf.DUMMYFUNCTION("""COMPUTED_VALUE"""),6952)</f>
        <v>6952</v>
      </c>
      <c r="G368" s="624" t="str">
        <f ca="1">IFERROR(__xludf.DUMMYFUNCTION("""COMPUTED_VALUE"""),"大武山")</f>
        <v>大武山</v>
      </c>
      <c r="H368" s="632">
        <f ca="1">IFERROR(__xludf.DUMMYFUNCTION("""COMPUTED_VALUE"""),0.000017)</f>
        <v>1.7E-5</v>
      </c>
      <c r="I368" s="62"/>
      <c r="J368" s="62"/>
      <c r="K368" s="63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</row>
    <row r="369" spans="1:41" ht="15.5">
      <c r="A369" s="623">
        <f ca="1">IFERROR(__xludf.DUMMYFUNCTION("""COMPUTED_VALUE"""),368)</f>
        <v>368</v>
      </c>
      <c r="B369" s="624">
        <f ca="1">IFERROR(__xludf.DUMMYFUNCTION("""COMPUTED_VALUE"""),6269)</f>
        <v>6269</v>
      </c>
      <c r="C369" s="624" t="str">
        <f ca="1">IFERROR(__xludf.DUMMYFUNCTION("""COMPUTED_VALUE"""),"台郡")</f>
        <v>台郡</v>
      </c>
      <c r="D369" s="630">
        <f ca="1">IFERROR(__xludf.DUMMYFUNCTION("""COMPUTED_VALUE"""),0.000113)</f>
        <v>1.13E-4</v>
      </c>
      <c r="E369" s="623">
        <f ca="1">IFERROR(__xludf.DUMMYFUNCTION("""COMPUTED_VALUE"""),902)</f>
        <v>902</v>
      </c>
      <c r="F369" s="624">
        <f ca="1">IFERROR(__xludf.DUMMYFUNCTION("""COMPUTED_VALUE"""),7732)</f>
        <v>7732</v>
      </c>
      <c r="G369" s="624" t="str">
        <f ca="1">IFERROR(__xludf.DUMMYFUNCTION("""COMPUTED_VALUE"""),"金興精密")</f>
        <v>金興精密</v>
      </c>
      <c r="H369" s="632">
        <f ca="1">IFERROR(__xludf.DUMMYFUNCTION("""COMPUTED_VALUE"""),0.000016)</f>
        <v>1.5999999999999999E-5</v>
      </c>
      <c r="I369" s="62"/>
      <c r="J369" s="62"/>
      <c r="K369" s="63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</row>
    <row r="370" spans="1:41" ht="15.5">
      <c r="A370" s="623">
        <f ca="1">IFERROR(__xludf.DUMMYFUNCTION("""COMPUTED_VALUE"""),369)</f>
        <v>369</v>
      </c>
      <c r="B370" s="624">
        <f ca="1">IFERROR(__xludf.DUMMYFUNCTION("""COMPUTED_VALUE"""),6525)</f>
        <v>6525</v>
      </c>
      <c r="C370" s="624" t="str">
        <f ca="1">IFERROR(__xludf.DUMMYFUNCTION("""COMPUTED_VALUE"""),"捷敏-KY")</f>
        <v>捷敏-KY</v>
      </c>
      <c r="D370" s="630">
        <f ca="1">IFERROR(__xludf.DUMMYFUNCTION("""COMPUTED_VALUE"""),0.000113)</f>
        <v>1.13E-4</v>
      </c>
      <c r="E370" s="623">
        <f ca="1">IFERROR(__xludf.DUMMYFUNCTION("""COMPUTED_VALUE"""),903)</f>
        <v>903</v>
      </c>
      <c r="F370" s="624">
        <f ca="1">IFERROR(__xludf.DUMMYFUNCTION("""COMPUTED_VALUE"""),7760)</f>
        <v>7760</v>
      </c>
      <c r="G370" s="624" t="str">
        <f ca="1">IFERROR(__xludf.DUMMYFUNCTION("""COMPUTED_VALUE"""),"享溫馨")</f>
        <v>享溫馨</v>
      </c>
      <c r="H370" s="632">
        <f ca="1">IFERROR(__xludf.DUMMYFUNCTION("""COMPUTED_VALUE"""),0.000016)</f>
        <v>1.5999999999999999E-5</v>
      </c>
      <c r="I370" s="62"/>
      <c r="J370" s="62"/>
      <c r="K370" s="63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</row>
    <row r="371" spans="1:41" ht="15.5">
      <c r="A371" s="623">
        <f ca="1">IFERROR(__xludf.DUMMYFUNCTION("""COMPUTED_VALUE"""),370)</f>
        <v>370</v>
      </c>
      <c r="B371" s="624">
        <f ca="1">IFERROR(__xludf.DUMMYFUNCTION("""COMPUTED_VALUE"""),9930)</f>
        <v>9930</v>
      </c>
      <c r="C371" s="624" t="str">
        <f ca="1">IFERROR(__xludf.DUMMYFUNCTION("""COMPUTED_VALUE"""),"中聯資源")</f>
        <v>中聯資源</v>
      </c>
      <c r="D371" s="630">
        <f ca="1">IFERROR(__xludf.DUMMYFUNCTION("""COMPUTED_VALUE"""),0.000112)</f>
        <v>1.12E-4</v>
      </c>
      <c r="E371" s="623">
        <f ca="1">IFERROR(__xludf.DUMMYFUNCTION("""COMPUTED_VALUE"""),904)</f>
        <v>904</v>
      </c>
      <c r="F371" s="624">
        <f ca="1">IFERROR(__xludf.DUMMYFUNCTION("""COMPUTED_VALUE"""),6936)</f>
        <v>6936</v>
      </c>
      <c r="G371" s="624" t="str">
        <f ca="1">IFERROR(__xludf.DUMMYFUNCTION("""COMPUTED_VALUE"""),"永鴻生技")</f>
        <v>永鴻生技</v>
      </c>
      <c r="H371" s="632">
        <f ca="1">IFERROR(__xludf.DUMMYFUNCTION("""COMPUTED_VALUE"""),0.000016)</f>
        <v>1.5999999999999999E-5</v>
      </c>
      <c r="I371" s="62"/>
      <c r="J371" s="62"/>
      <c r="K371" s="63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</row>
    <row r="372" spans="1:41" ht="15.5">
      <c r="A372" s="623">
        <f ca="1">IFERROR(__xludf.DUMMYFUNCTION("""COMPUTED_VALUE"""),371)</f>
        <v>371</v>
      </c>
      <c r="B372" s="624">
        <f ca="1">IFERROR(__xludf.DUMMYFUNCTION("""COMPUTED_VALUE"""),2478)</f>
        <v>2478</v>
      </c>
      <c r="C372" s="624" t="str">
        <f ca="1">IFERROR(__xludf.DUMMYFUNCTION("""COMPUTED_VALUE"""),"大毅")</f>
        <v>大毅</v>
      </c>
      <c r="D372" s="630">
        <f ca="1">IFERROR(__xludf.DUMMYFUNCTION("""COMPUTED_VALUE"""),0.000112)</f>
        <v>1.12E-4</v>
      </c>
      <c r="E372" s="623">
        <f ca="1">IFERROR(__xludf.DUMMYFUNCTION("""COMPUTED_VALUE"""),905)</f>
        <v>905</v>
      </c>
      <c r="F372" s="624">
        <f ca="1">IFERROR(__xludf.DUMMYFUNCTION("""COMPUTED_VALUE"""),6906)</f>
        <v>6906</v>
      </c>
      <c r="G372" s="624" t="str">
        <f ca="1">IFERROR(__xludf.DUMMYFUNCTION("""COMPUTED_VALUE"""),"現觀科")</f>
        <v>現觀科</v>
      </c>
      <c r="H372" s="632">
        <f ca="1">IFERROR(__xludf.DUMMYFUNCTION("""COMPUTED_VALUE"""),0.000016)</f>
        <v>1.5999999999999999E-5</v>
      </c>
      <c r="I372" s="62"/>
      <c r="J372" s="62"/>
      <c r="K372" s="63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</row>
    <row r="373" spans="1:41" ht="15.5">
      <c r="A373" s="623">
        <f ca="1">IFERROR(__xludf.DUMMYFUNCTION("""COMPUTED_VALUE"""),372)</f>
        <v>372</v>
      </c>
      <c r="B373" s="624">
        <f ca="1">IFERROR(__xludf.DUMMYFUNCTION("""COMPUTED_VALUE"""),3013)</f>
        <v>3013</v>
      </c>
      <c r="C373" s="624" t="str">
        <f ca="1">IFERROR(__xludf.DUMMYFUNCTION("""COMPUTED_VALUE"""),"晟銘電")</f>
        <v>晟銘電</v>
      </c>
      <c r="D373" s="630">
        <f ca="1">IFERROR(__xludf.DUMMYFUNCTION("""COMPUTED_VALUE"""),0.000112)</f>
        <v>1.12E-4</v>
      </c>
      <c r="E373" s="623">
        <f ca="1">IFERROR(__xludf.DUMMYFUNCTION("""COMPUTED_VALUE"""),906)</f>
        <v>906</v>
      </c>
      <c r="F373" s="624">
        <f ca="1">IFERROR(__xludf.DUMMYFUNCTION("""COMPUTED_VALUE"""),6796)</f>
        <v>6796</v>
      </c>
      <c r="G373" s="624" t="str">
        <f ca="1">IFERROR(__xludf.DUMMYFUNCTION("""COMPUTED_VALUE"""),"晉弘")</f>
        <v>晉弘</v>
      </c>
      <c r="H373" s="632">
        <f ca="1">IFERROR(__xludf.DUMMYFUNCTION("""COMPUTED_VALUE"""),0.000016)</f>
        <v>1.5999999999999999E-5</v>
      </c>
      <c r="I373" s="62"/>
      <c r="J373" s="62"/>
      <c r="K373" s="63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</row>
    <row r="374" spans="1:41" ht="15.5">
      <c r="A374" s="623">
        <f ca="1">IFERROR(__xludf.DUMMYFUNCTION("""COMPUTED_VALUE"""),373)</f>
        <v>373</v>
      </c>
      <c r="B374" s="624">
        <f ca="1">IFERROR(__xludf.DUMMYFUNCTION("""COMPUTED_VALUE"""),2466)</f>
        <v>2466</v>
      </c>
      <c r="C374" s="624" t="str">
        <f ca="1">IFERROR(__xludf.DUMMYFUNCTION("""COMPUTED_VALUE"""),"冠西電")</f>
        <v>冠西電</v>
      </c>
      <c r="D374" s="630">
        <f ca="1">IFERROR(__xludf.DUMMYFUNCTION("""COMPUTED_VALUE"""),0.000111)</f>
        <v>1.11E-4</v>
      </c>
      <c r="E374" s="623">
        <f ca="1">IFERROR(__xludf.DUMMYFUNCTION("""COMPUTED_VALUE"""),907)</f>
        <v>907</v>
      </c>
      <c r="F374" s="624">
        <f ca="1">IFERROR(__xludf.DUMMYFUNCTION("""COMPUTED_VALUE"""),4108)</f>
        <v>4108</v>
      </c>
      <c r="G374" s="624" t="str">
        <f ca="1">IFERROR(__xludf.DUMMYFUNCTION("""COMPUTED_VALUE"""),"懷特")</f>
        <v>懷特</v>
      </c>
      <c r="H374" s="632">
        <f ca="1">IFERROR(__xludf.DUMMYFUNCTION("""COMPUTED_VALUE"""),0.000016)</f>
        <v>1.5999999999999999E-5</v>
      </c>
      <c r="I374" s="62"/>
      <c r="J374" s="62"/>
      <c r="K374" s="63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</row>
    <row r="375" spans="1:41" ht="15.5">
      <c r="A375" s="623">
        <f ca="1">IFERROR(__xludf.DUMMYFUNCTION("""COMPUTED_VALUE"""),374)</f>
        <v>374</v>
      </c>
      <c r="B375" s="624">
        <f ca="1">IFERROR(__xludf.DUMMYFUNCTION("""COMPUTED_VALUE"""),9925)</f>
        <v>9925</v>
      </c>
      <c r="C375" s="624" t="str">
        <f ca="1">IFERROR(__xludf.DUMMYFUNCTION("""COMPUTED_VALUE"""),"新保")</f>
        <v>新保</v>
      </c>
      <c r="D375" s="630">
        <f ca="1">IFERROR(__xludf.DUMMYFUNCTION("""COMPUTED_VALUE"""),0.000111)</f>
        <v>1.11E-4</v>
      </c>
      <c r="E375" s="623">
        <f ca="1">IFERROR(__xludf.DUMMYFUNCTION("""COMPUTED_VALUE"""),908)</f>
        <v>908</v>
      </c>
      <c r="F375" s="624">
        <f ca="1">IFERROR(__xludf.DUMMYFUNCTION("""COMPUTED_VALUE"""),4414)</f>
        <v>4414</v>
      </c>
      <c r="G375" s="624" t="str">
        <f ca="1">IFERROR(__xludf.DUMMYFUNCTION("""COMPUTED_VALUE"""),"如興")</f>
        <v>如興</v>
      </c>
      <c r="H375" s="632">
        <f ca="1">IFERROR(__xludf.DUMMYFUNCTION("""COMPUTED_VALUE"""),0.000016)</f>
        <v>1.5999999999999999E-5</v>
      </c>
      <c r="I375" s="62"/>
      <c r="J375" s="62"/>
      <c r="K375" s="63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</row>
    <row r="376" spans="1:41" ht="15.5">
      <c r="A376" s="623">
        <f ca="1">IFERROR(__xludf.DUMMYFUNCTION("""COMPUTED_VALUE"""),375)</f>
        <v>375</v>
      </c>
      <c r="B376" s="624">
        <f ca="1">IFERROR(__xludf.DUMMYFUNCTION("""COMPUTED_VALUE"""),6024)</f>
        <v>6024</v>
      </c>
      <c r="C376" s="624" t="str">
        <f ca="1">IFERROR(__xludf.DUMMYFUNCTION("""COMPUTED_VALUE"""),"群益期")</f>
        <v>群益期</v>
      </c>
      <c r="D376" s="630">
        <f ca="1">IFERROR(__xludf.DUMMYFUNCTION("""COMPUTED_VALUE"""),0.000111)</f>
        <v>1.11E-4</v>
      </c>
      <c r="E376" s="623">
        <f ca="1">IFERROR(__xludf.DUMMYFUNCTION("""COMPUTED_VALUE"""),909)</f>
        <v>909</v>
      </c>
      <c r="F376" s="624">
        <f ca="1">IFERROR(__xludf.DUMMYFUNCTION("""COMPUTED_VALUE"""),3346)</f>
        <v>3346</v>
      </c>
      <c r="G376" s="624" t="str">
        <f ca="1">IFERROR(__xludf.DUMMYFUNCTION("""COMPUTED_VALUE"""),"麗清")</f>
        <v>麗清</v>
      </c>
      <c r="H376" s="632">
        <f ca="1">IFERROR(__xludf.DUMMYFUNCTION("""COMPUTED_VALUE"""),0.000016)</f>
        <v>1.5999999999999999E-5</v>
      </c>
      <c r="I376" s="62"/>
      <c r="J376" s="62"/>
      <c r="K376" s="63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</row>
    <row r="377" spans="1:41" ht="15.5">
      <c r="A377" s="623">
        <f ca="1">IFERROR(__xludf.DUMMYFUNCTION("""COMPUTED_VALUE"""),376)</f>
        <v>376</v>
      </c>
      <c r="B377" s="624">
        <f ca="1">IFERROR(__xludf.DUMMYFUNCTION("""COMPUTED_VALUE"""),5284)</f>
        <v>5284</v>
      </c>
      <c r="C377" s="624" t="str">
        <f ca="1">IFERROR(__xludf.DUMMYFUNCTION("""COMPUTED_VALUE"""),"jpp-KY")</f>
        <v>jpp-KY</v>
      </c>
      <c r="D377" s="630">
        <f ca="1">IFERROR(__xludf.DUMMYFUNCTION("""COMPUTED_VALUE"""),0.000109)</f>
        <v>1.0900000000000001E-4</v>
      </c>
      <c r="E377" s="623">
        <f ca="1">IFERROR(__xludf.DUMMYFUNCTION("""COMPUTED_VALUE"""),910)</f>
        <v>910</v>
      </c>
      <c r="F377" s="624">
        <f ca="1">IFERROR(__xludf.DUMMYFUNCTION("""COMPUTED_VALUE"""),3652)</f>
        <v>3652</v>
      </c>
      <c r="G377" s="624" t="str">
        <f ca="1">IFERROR(__xludf.DUMMYFUNCTION("""COMPUTED_VALUE"""),"精聯")</f>
        <v>精聯</v>
      </c>
      <c r="H377" s="632">
        <f ca="1">IFERROR(__xludf.DUMMYFUNCTION("""COMPUTED_VALUE"""),0.000016)</f>
        <v>1.5999999999999999E-5</v>
      </c>
      <c r="I377" s="62"/>
      <c r="J377" s="62"/>
      <c r="K377" s="63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</row>
    <row r="378" spans="1:41" ht="15.5">
      <c r="A378" s="623">
        <f ca="1">IFERROR(__xludf.DUMMYFUNCTION("""COMPUTED_VALUE"""),377)</f>
        <v>377</v>
      </c>
      <c r="B378" s="624">
        <f ca="1">IFERROR(__xludf.DUMMYFUNCTION("""COMPUTED_VALUE"""),6753)</f>
        <v>6753</v>
      </c>
      <c r="C378" s="624" t="str">
        <f ca="1">IFERROR(__xludf.DUMMYFUNCTION("""COMPUTED_VALUE"""),"龍德造船")</f>
        <v>龍德造船</v>
      </c>
      <c r="D378" s="630">
        <f ca="1">IFERROR(__xludf.DUMMYFUNCTION("""COMPUTED_VALUE"""),0.000109)</f>
        <v>1.0900000000000001E-4</v>
      </c>
      <c r="E378" s="623">
        <f ca="1">IFERROR(__xludf.DUMMYFUNCTION("""COMPUTED_VALUE"""),911)</f>
        <v>911</v>
      </c>
      <c r="F378" s="624">
        <f ca="1">IFERROR(__xludf.DUMMYFUNCTION("""COMPUTED_VALUE"""),6243)</f>
        <v>6243</v>
      </c>
      <c r="G378" s="624" t="str">
        <f ca="1">IFERROR(__xludf.DUMMYFUNCTION("""COMPUTED_VALUE"""),"迅杰")</f>
        <v>迅杰</v>
      </c>
      <c r="H378" s="632">
        <f ca="1">IFERROR(__xludf.DUMMYFUNCTION("""COMPUTED_VALUE"""),0.000016)</f>
        <v>1.5999999999999999E-5</v>
      </c>
      <c r="I378" s="62"/>
      <c r="J378" s="62"/>
      <c r="K378" s="63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</row>
    <row r="379" spans="1:41" ht="15.5">
      <c r="A379" s="623">
        <f ca="1">IFERROR(__xludf.DUMMYFUNCTION("""COMPUTED_VALUE"""),378)</f>
        <v>378</v>
      </c>
      <c r="B379" s="624">
        <f ca="1">IFERROR(__xludf.DUMMYFUNCTION("""COMPUTED_VALUE"""),6962)</f>
        <v>6962</v>
      </c>
      <c r="C379" s="624" t="str">
        <f ca="1">IFERROR(__xludf.DUMMYFUNCTION("""COMPUTED_VALUE"""),"奕力-KY")</f>
        <v>奕力-KY</v>
      </c>
      <c r="D379" s="630">
        <f ca="1">IFERROR(__xludf.DUMMYFUNCTION("""COMPUTED_VALUE"""),0.000109)</f>
        <v>1.0900000000000001E-4</v>
      </c>
      <c r="E379" s="623">
        <f ca="1">IFERROR(__xludf.DUMMYFUNCTION("""COMPUTED_VALUE"""),912)</f>
        <v>912</v>
      </c>
      <c r="F379" s="624">
        <f ca="1">IFERROR(__xludf.DUMMYFUNCTION("""COMPUTED_VALUE"""),6226)</f>
        <v>6226</v>
      </c>
      <c r="G379" s="624" t="str">
        <f ca="1">IFERROR(__xludf.DUMMYFUNCTION("""COMPUTED_VALUE"""),"光鼎")</f>
        <v>光鼎</v>
      </c>
      <c r="H379" s="632">
        <f ca="1">IFERROR(__xludf.DUMMYFUNCTION("""COMPUTED_VALUE"""),0.000016)</f>
        <v>1.5999999999999999E-5</v>
      </c>
      <c r="I379" s="62"/>
      <c r="J379" s="62"/>
      <c r="K379" s="63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</row>
    <row r="380" spans="1:41" ht="15.5">
      <c r="A380" s="623">
        <f ca="1">IFERROR(__xludf.DUMMYFUNCTION("""COMPUTED_VALUE"""),379)</f>
        <v>379</v>
      </c>
      <c r="B380" s="624">
        <f ca="1">IFERROR(__xludf.DUMMYFUNCTION("""COMPUTED_VALUE"""),1789)</f>
        <v>1789</v>
      </c>
      <c r="C380" s="624" t="str">
        <f ca="1">IFERROR(__xludf.DUMMYFUNCTION("""COMPUTED_VALUE"""),"神隆")</f>
        <v>神隆</v>
      </c>
      <c r="D380" s="630">
        <f ca="1">IFERROR(__xludf.DUMMYFUNCTION("""COMPUTED_VALUE"""),0.000109)</f>
        <v>1.0900000000000001E-4</v>
      </c>
      <c r="E380" s="623">
        <f ca="1">IFERROR(__xludf.DUMMYFUNCTION("""COMPUTED_VALUE"""),913)</f>
        <v>913</v>
      </c>
      <c r="F380" s="624">
        <f ca="1">IFERROR(__xludf.DUMMYFUNCTION("""COMPUTED_VALUE"""),2115)</f>
        <v>2115</v>
      </c>
      <c r="G380" s="624" t="str">
        <f ca="1">IFERROR(__xludf.DUMMYFUNCTION("""COMPUTED_VALUE"""),"六暉-KY")</f>
        <v>六暉-KY</v>
      </c>
      <c r="H380" s="632">
        <f ca="1">IFERROR(__xludf.DUMMYFUNCTION("""COMPUTED_VALUE"""),0.000016)</f>
        <v>1.5999999999999999E-5</v>
      </c>
      <c r="I380" s="62"/>
      <c r="J380" s="62"/>
      <c r="K380" s="63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</row>
    <row r="381" spans="1:41" ht="15.5">
      <c r="A381" s="623">
        <f ca="1">IFERROR(__xludf.DUMMYFUNCTION("""COMPUTED_VALUE"""),380)</f>
        <v>380</v>
      </c>
      <c r="B381" s="624">
        <f ca="1">IFERROR(__xludf.DUMMYFUNCTION("""COMPUTED_VALUE"""),2426)</f>
        <v>2426</v>
      </c>
      <c r="C381" s="624" t="str">
        <f ca="1">IFERROR(__xludf.DUMMYFUNCTION("""COMPUTED_VALUE"""),"鼎元")</f>
        <v>鼎元</v>
      </c>
      <c r="D381" s="630">
        <f ca="1">IFERROR(__xludf.DUMMYFUNCTION("""COMPUTED_VALUE"""),0.000108)</f>
        <v>1.08E-4</v>
      </c>
      <c r="E381" s="623">
        <f ca="1">IFERROR(__xludf.DUMMYFUNCTION("""COMPUTED_VALUE"""),914)</f>
        <v>914</v>
      </c>
      <c r="F381" s="624">
        <f ca="1">IFERROR(__xludf.DUMMYFUNCTION("""COMPUTED_VALUE"""),1468)</f>
        <v>1468</v>
      </c>
      <c r="G381" s="624" t="str">
        <f ca="1">IFERROR(__xludf.DUMMYFUNCTION("""COMPUTED_VALUE"""),"昶和")</f>
        <v>昶和</v>
      </c>
      <c r="H381" s="632">
        <f ca="1">IFERROR(__xludf.DUMMYFUNCTION("""COMPUTED_VALUE"""),0.000016)</f>
        <v>1.5999999999999999E-5</v>
      </c>
      <c r="I381" s="62"/>
      <c r="J381" s="62"/>
      <c r="K381" s="63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</row>
    <row r="382" spans="1:41" ht="15.5">
      <c r="A382" s="623">
        <f ca="1">IFERROR(__xludf.DUMMYFUNCTION("""COMPUTED_VALUE"""),381)</f>
        <v>381</v>
      </c>
      <c r="B382" s="624">
        <f ca="1">IFERROR(__xludf.DUMMYFUNCTION("""COMPUTED_VALUE"""),7788)</f>
        <v>7788</v>
      </c>
      <c r="C382" s="624" t="str">
        <f ca="1">IFERROR(__xludf.DUMMYFUNCTION("""COMPUTED_VALUE"""),"松川精密")</f>
        <v>松川精密</v>
      </c>
      <c r="D382" s="630">
        <f ca="1">IFERROR(__xludf.DUMMYFUNCTION("""COMPUTED_VALUE"""),0.000108)</f>
        <v>1.08E-4</v>
      </c>
      <c r="E382" s="623">
        <f ca="1">IFERROR(__xludf.DUMMYFUNCTION("""COMPUTED_VALUE"""),915)</f>
        <v>915</v>
      </c>
      <c r="F382" s="624">
        <f ca="1">IFERROR(__xludf.DUMMYFUNCTION("""COMPUTED_VALUE"""),1325)</f>
        <v>1325</v>
      </c>
      <c r="G382" s="624" t="str">
        <f ca="1">IFERROR(__xludf.DUMMYFUNCTION("""COMPUTED_VALUE"""),"恆大")</f>
        <v>恆大</v>
      </c>
      <c r="H382" s="632">
        <f ca="1">IFERROR(__xludf.DUMMYFUNCTION("""COMPUTED_VALUE"""),0.000016)</f>
        <v>1.5999999999999999E-5</v>
      </c>
      <c r="I382" s="62"/>
      <c r="J382" s="62"/>
      <c r="K382" s="63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</row>
    <row r="383" spans="1:41" ht="15.5">
      <c r="A383" s="623">
        <f ca="1">IFERROR(__xludf.DUMMYFUNCTION("""COMPUTED_VALUE"""),382)</f>
        <v>382</v>
      </c>
      <c r="B383" s="624">
        <f ca="1">IFERROR(__xludf.DUMMYFUNCTION("""COMPUTED_VALUE"""),9940)</f>
        <v>9940</v>
      </c>
      <c r="C383" s="624" t="str">
        <f ca="1">IFERROR(__xludf.DUMMYFUNCTION("""COMPUTED_VALUE"""),"信義")</f>
        <v>信義</v>
      </c>
      <c r="D383" s="630">
        <f ca="1">IFERROR(__xludf.DUMMYFUNCTION("""COMPUTED_VALUE"""),0.000107)</f>
        <v>1.07E-4</v>
      </c>
      <c r="E383" s="623">
        <f ca="1">IFERROR(__xludf.DUMMYFUNCTION("""COMPUTED_VALUE"""),916)</f>
        <v>916</v>
      </c>
      <c r="F383" s="624">
        <f ca="1">IFERROR(__xludf.DUMMYFUNCTION("""COMPUTED_VALUE"""),2468)</f>
        <v>2468</v>
      </c>
      <c r="G383" s="624" t="str">
        <f ca="1">IFERROR(__xludf.DUMMYFUNCTION("""COMPUTED_VALUE"""),"華經")</f>
        <v>華經</v>
      </c>
      <c r="H383" s="632">
        <f ca="1">IFERROR(__xludf.DUMMYFUNCTION("""COMPUTED_VALUE"""),0.000016)</f>
        <v>1.5999999999999999E-5</v>
      </c>
      <c r="I383" s="62"/>
      <c r="J383" s="62"/>
      <c r="K383" s="63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</row>
    <row r="384" spans="1:41" ht="15.5">
      <c r="A384" s="623">
        <f ca="1">IFERROR(__xludf.DUMMYFUNCTION("""COMPUTED_VALUE"""),383)</f>
        <v>383</v>
      </c>
      <c r="B384" s="624">
        <f ca="1">IFERROR(__xludf.DUMMYFUNCTION("""COMPUTED_VALUE"""),9908)</f>
        <v>9908</v>
      </c>
      <c r="C384" s="624" t="str">
        <f ca="1">IFERROR(__xludf.DUMMYFUNCTION("""COMPUTED_VALUE"""),"大台北")</f>
        <v>大台北</v>
      </c>
      <c r="D384" s="630">
        <f ca="1">IFERROR(__xludf.DUMMYFUNCTION("""COMPUTED_VALUE"""),0.000107)</f>
        <v>1.07E-4</v>
      </c>
      <c r="E384" s="623">
        <f ca="1">IFERROR(__xludf.DUMMYFUNCTION("""COMPUTED_VALUE"""),917)</f>
        <v>917</v>
      </c>
      <c r="F384" s="624">
        <f ca="1">IFERROR(__xludf.DUMMYFUNCTION("""COMPUTED_VALUE"""),2471)</f>
        <v>2471</v>
      </c>
      <c r="G384" s="624" t="str">
        <f ca="1">IFERROR(__xludf.DUMMYFUNCTION("""COMPUTED_VALUE"""),"資通")</f>
        <v>資通</v>
      </c>
      <c r="H384" s="632">
        <f ca="1">IFERROR(__xludf.DUMMYFUNCTION("""COMPUTED_VALUE"""),0.000016)</f>
        <v>1.5999999999999999E-5</v>
      </c>
      <c r="I384" s="62"/>
      <c r="J384" s="62"/>
      <c r="K384" s="63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</row>
    <row r="385" spans="1:41" ht="15.5">
      <c r="A385" s="623">
        <f ca="1">IFERROR(__xludf.DUMMYFUNCTION("""COMPUTED_VALUE"""),384)</f>
        <v>384</v>
      </c>
      <c r="B385" s="624">
        <f ca="1">IFERROR(__xludf.DUMMYFUNCTION("""COMPUTED_VALUE"""),4536)</f>
        <v>4536</v>
      </c>
      <c r="C385" s="624" t="str">
        <f ca="1">IFERROR(__xludf.DUMMYFUNCTION("""COMPUTED_VALUE"""),"拓凱")</f>
        <v>拓凱</v>
      </c>
      <c r="D385" s="630">
        <f ca="1">IFERROR(__xludf.DUMMYFUNCTION("""COMPUTED_VALUE"""),0.000107)</f>
        <v>1.07E-4</v>
      </c>
      <c r="E385" s="623">
        <f ca="1">IFERROR(__xludf.DUMMYFUNCTION("""COMPUTED_VALUE"""),918)</f>
        <v>918</v>
      </c>
      <c r="F385" s="624">
        <f ca="1">IFERROR(__xludf.DUMMYFUNCTION("""COMPUTED_VALUE"""),2440)</f>
        <v>2440</v>
      </c>
      <c r="G385" s="624" t="str">
        <f ca="1">IFERROR(__xludf.DUMMYFUNCTION("""COMPUTED_VALUE"""),"太空梭")</f>
        <v>太空梭</v>
      </c>
      <c r="H385" s="632">
        <f ca="1">IFERROR(__xludf.DUMMYFUNCTION("""COMPUTED_VALUE"""),0.000015)</f>
        <v>1.5E-5</v>
      </c>
      <c r="I385" s="62"/>
      <c r="J385" s="62"/>
      <c r="K385" s="63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</row>
    <row r="386" spans="1:41" ht="15.5">
      <c r="A386" s="623">
        <f ca="1">IFERROR(__xludf.DUMMYFUNCTION("""COMPUTED_VALUE"""),385)</f>
        <v>385</v>
      </c>
      <c r="B386" s="624">
        <f ca="1">IFERROR(__xludf.DUMMYFUNCTION("""COMPUTED_VALUE"""),3022)</f>
        <v>3022</v>
      </c>
      <c r="C386" s="624" t="str">
        <f ca="1">IFERROR(__xludf.DUMMYFUNCTION("""COMPUTED_VALUE"""),"威強電")</f>
        <v>威強電</v>
      </c>
      <c r="D386" s="630">
        <f ca="1">IFERROR(__xludf.DUMMYFUNCTION("""COMPUTED_VALUE"""),0.000107)</f>
        <v>1.07E-4</v>
      </c>
      <c r="E386" s="623">
        <f ca="1">IFERROR(__xludf.DUMMYFUNCTION("""COMPUTED_VALUE"""),919)</f>
        <v>919</v>
      </c>
      <c r="F386" s="624">
        <f ca="1">IFERROR(__xludf.DUMMYFUNCTION("""COMPUTED_VALUE"""),3027)</f>
        <v>3027</v>
      </c>
      <c r="G386" s="624" t="str">
        <f ca="1">IFERROR(__xludf.DUMMYFUNCTION("""COMPUTED_VALUE"""),"盛達")</f>
        <v>盛達</v>
      </c>
      <c r="H386" s="632">
        <f ca="1">IFERROR(__xludf.DUMMYFUNCTION("""COMPUTED_VALUE"""),0.000015)</f>
        <v>1.5E-5</v>
      </c>
      <c r="I386" s="62"/>
      <c r="J386" s="62"/>
      <c r="K386" s="63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</row>
    <row r="387" spans="1:41" ht="15.5">
      <c r="A387" s="623">
        <f ca="1">IFERROR(__xludf.DUMMYFUNCTION("""COMPUTED_VALUE"""),386)</f>
        <v>386</v>
      </c>
      <c r="B387" s="624">
        <f ca="1">IFERROR(__xludf.DUMMYFUNCTION("""COMPUTED_VALUE"""),2832)</f>
        <v>2832</v>
      </c>
      <c r="C387" s="624" t="str">
        <f ca="1">IFERROR(__xludf.DUMMYFUNCTION("""COMPUTED_VALUE"""),"台產")</f>
        <v>台產</v>
      </c>
      <c r="D387" s="630">
        <f ca="1">IFERROR(__xludf.DUMMYFUNCTION("""COMPUTED_VALUE"""),0.000107)</f>
        <v>1.07E-4</v>
      </c>
      <c r="E387" s="623">
        <f ca="1">IFERROR(__xludf.DUMMYFUNCTION("""COMPUTED_VALUE"""),920)</f>
        <v>920</v>
      </c>
      <c r="F387" s="624">
        <f ca="1">IFERROR(__xludf.DUMMYFUNCTION("""COMPUTED_VALUE"""),1236)</f>
        <v>1236</v>
      </c>
      <c r="G387" s="624" t="str">
        <f ca="1">IFERROR(__xludf.DUMMYFUNCTION("""COMPUTED_VALUE"""),"宏亞")</f>
        <v>宏亞</v>
      </c>
      <c r="H387" s="632">
        <f ca="1">IFERROR(__xludf.DUMMYFUNCTION("""COMPUTED_VALUE"""),0.000015)</f>
        <v>1.5E-5</v>
      </c>
      <c r="I387" s="62"/>
      <c r="J387" s="62"/>
      <c r="K387" s="63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</row>
    <row r="388" spans="1:41" ht="15.5">
      <c r="A388" s="623">
        <f ca="1">IFERROR(__xludf.DUMMYFUNCTION("""COMPUTED_VALUE"""),387)</f>
        <v>387</v>
      </c>
      <c r="B388" s="624">
        <f ca="1">IFERROR(__xludf.DUMMYFUNCTION("""COMPUTED_VALUE"""),2227)</f>
        <v>2227</v>
      </c>
      <c r="C388" s="624" t="str">
        <f ca="1">IFERROR(__xludf.DUMMYFUNCTION("""COMPUTED_VALUE"""),"裕日車")</f>
        <v>裕日車</v>
      </c>
      <c r="D388" s="630">
        <f ca="1">IFERROR(__xludf.DUMMYFUNCTION("""COMPUTED_VALUE"""),0.000107)</f>
        <v>1.07E-4</v>
      </c>
      <c r="E388" s="623">
        <f ca="1">IFERROR(__xludf.DUMMYFUNCTION("""COMPUTED_VALUE"""),921)</f>
        <v>921</v>
      </c>
      <c r="F388" s="624">
        <f ca="1">IFERROR(__xludf.DUMMYFUNCTION("""COMPUTED_VALUE"""),2250)</f>
        <v>2250</v>
      </c>
      <c r="G388" s="624" t="str">
        <f ca="1">IFERROR(__xludf.DUMMYFUNCTION("""COMPUTED_VALUE"""),"IKKA-KY")</f>
        <v>IKKA-KY</v>
      </c>
      <c r="H388" s="632">
        <f ca="1">IFERROR(__xludf.DUMMYFUNCTION("""COMPUTED_VALUE"""),0.000015)</f>
        <v>1.5E-5</v>
      </c>
      <c r="I388" s="62"/>
      <c r="J388" s="62"/>
      <c r="K388" s="63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</row>
    <row r="389" spans="1:41" ht="15.5">
      <c r="A389" s="623">
        <f ca="1">IFERROR(__xludf.DUMMYFUNCTION("""COMPUTED_VALUE"""),388)</f>
        <v>388</v>
      </c>
      <c r="B389" s="624">
        <f ca="1">IFERROR(__xludf.DUMMYFUNCTION("""COMPUTED_VALUE"""),3380)</f>
        <v>3380</v>
      </c>
      <c r="C389" s="624" t="str">
        <f ca="1">IFERROR(__xludf.DUMMYFUNCTION("""COMPUTED_VALUE"""),"明泰")</f>
        <v>明泰</v>
      </c>
      <c r="D389" s="630">
        <f ca="1">IFERROR(__xludf.DUMMYFUNCTION("""COMPUTED_VALUE"""),0.000106)</f>
        <v>1.06E-4</v>
      </c>
      <c r="E389" s="623">
        <f ca="1">IFERROR(__xludf.DUMMYFUNCTION("""COMPUTED_VALUE"""),922)</f>
        <v>922</v>
      </c>
      <c r="F389" s="624">
        <f ca="1">IFERROR(__xludf.DUMMYFUNCTION("""COMPUTED_VALUE"""),2025)</f>
        <v>2025</v>
      </c>
      <c r="G389" s="624" t="str">
        <f ca="1">IFERROR(__xludf.DUMMYFUNCTION("""COMPUTED_VALUE"""),"千興")</f>
        <v>千興</v>
      </c>
      <c r="H389" s="632">
        <f ca="1">IFERROR(__xludf.DUMMYFUNCTION("""COMPUTED_VALUE"""),0.000015)</f>
        <v>1.5E-5</v>
      </c>
      <c r="I389" s="62"/>
      <c r="J389" s="62"/>
      <c r="K389" s="63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</row>
    <row r="390" spans="1:41" ht="15.5">
      <c r="A390" s="623">
        <f ca="1">IFERROR(__xludf.DUMMYFUNCTION("""COMPUTED_VALUE"""),389)</f>
        <v>389</v>
      </c>
      <c r="B390" s="624">
        <f ca="1">IFERROR(__xludf.DUMMYFUNCTION("""COMPUTED_VALUE"""),7749)</f>
        <v>7749</v>
      </c>
      <c r="C390" s="624" t="str">
        <f ca="1">IFERROR(__xludf.DUMMYFUNCTION("""COMPUTED_VALUE"""),"意騰-KY")</f>
        <v>意騰-KY</v>
      </c>
      <c r="D390" s="630">
        <f ca="1">IFERROR(__xludf.DUMMYFUNCTION("""COMPUTED_VALUE"""),0.000106)</f>
        <v>1.06E-4</v>
      </c>
      <c r="E390" s="623">
        <f ca="1">IFERROR(__xludf.DUMMYFUNCTION("""COMPUTED_VALUE"""),923)</f>
        <v>923</v>
      </c>
      <c r="F390" s="624">
        <f ca="1">IFERROR(__xludf.DUMMYFUNCTION("""COMPUTED_VALUE"""),6216)</f>
        <v>6216</v>
      </c>
      <c r="G390" s="624" t="str">
        <f ca="1">IFERROR(__xludf.DUMMYFUNCTION("""COMPUTED_VALUE"""),"居易")</f>
        <v>居易</v>
      </c>
      <c r="H390" s="632">
        <f ca="1">IFERROR(__xludf.DUMMYFUNCTION("""COMPUTED_VALUE"""),0.000015)</f>
        <v>1.5E-5</v>
      </c>
      <c r="I390" s="62"/>
      <c r="J390" s="62"/>
      <c r="K390" s="63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</row>
    <row r="391" spans="1:41" ht="15.5">
      <c r="A391" s="623">
        <f ca="1">IFERROR(__xludf.DUMMYFUNCTION("""COMPUTED_VALUE"""),390)</f>
        <v>390</v>
      </c>
      <c r="B391" s="624">
        <f ca="1">IFERROR(__xludf.DUMMYFUNCTION("""COMPUTED_VALUE"""),8114)</f>
        <v>8114</v>
      </c>
      <c r="C391" s="624" t="str">
        <f ca="1">IFERROR(__xludf.DUMMYFUNCTION("""COMPUTED_VALUE"""),"振樺電")</f>
        <v>振樺電</v>
      </c>
      <c r="D391" s="630">
        <f ca="1">IFERROR(__xludf.DUMMYFUNCTION("""COMPUTED_VALUE"""),0.000106)</f>
        <v>1.06E-4</v>
      </c>
      <c r="E391" s="623">
        <f ca="1">IFERROR(__xludf.DUMMYFUNCTION("""COMPUTED_VALUE"""),924)</f>
        <v>924</v>
      </c>
      <c r="F391" s="624">
        <f ca="1">IFERROR(__xludf.DUMMYFUNCTION("""COMPUTED_VALUE"""),6142)</f>
        <v>6142</v>
      </c>
      <c r="G391" s="624" t="str">
        <f ca="1">IFERROR(__xludf.DUMMYFUNCTION("""COMPUTED_VALUE"""),"友勁")</f>
        <v>友勁</v>
      </c>
      <c r="H391" s="632">
        <f ca="1">IFERROR(__xludf.DUMMYFUNCTION("""COMPUTED_VALUE"""),0.000015)</f>
        <v>1.5E-5</v>
      </c>
      <c r="I391" s="62"/>
      <c r="J391" s="62"/>
      <c r="K391" s="63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</row>
    <row r="392" spans="1:41" ht="15.5">
      <c r="A392" s="623">
        <f ca="1">IFERROR(__xludf.DUMMYFUNCTION("""COMPUTED_VALUE"""),391)</f>
        <v>391</v>
      </c>
      <c r="B392" s="624">
        <f ca="1">IFERROR(__xludf.DUMMYFUNCTION("""COMPUTED_VALUE"""),1718)</f>
        <v>1718</v>
      </c>
      <c r="C392" s="624" t="str">
        <f ca="1">IFERROR(__xludf.DUMMYFUNCTION("""COMPUTED_VALUE"""),"中纖")</f>
        <v>中纖</v>
      </c>
      <c r="D392" s="630">
        <f ca="1">IFERROR(__xludf.DUMMYFUNCTION("""COMPUTED_VALUE"""),0.000105)</f>
        <v>1.05E-4</v>
      </c>
      <c r="E392" s="623">
        <f ca="1">IFERROR(__xludf.DUMMYFUNCTION("""COMPUTED_VALUE"""),925)</f>
        <v>925</v>
      </c>
      <c r="F392" s="624">
        <f ca="1">IFERROR(__xludf.DUMMYFUNCTION("""COMPUTED_VALUE"""),5244)</f>
        <v>5244</v>
      </c>
      <c r="G392" s="624" t="str">
        <f ca="1">IFERROR(__xludf.DUMMYFUNCTION("""COMPUTED_VALUE"""),"弘凱")</f>
        <v>弘凱</v>
      </c>
      <c r="H392" s="632">
        <f ca="1">IFERROR(__xludf.DUMMYFUNCTION("""COMPUTED_VALUE"""),0.000015)</f>
        <v>1.5E-5</v>
      </c>
      <c r="I392" s="62"/>
      <c r="J392" s="62"/>
      <c r="K392" s="63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</row>
    <row r="393" spans="1:41" ht="15.5">
      <c r="A393" s="623">
        <f ca="1">IFERROR(__xludf.DUMMYFUNCTION("""COMPUTED_VALUE"""),392)</f>
        <v>392</v>
      </c>
      <c r="B393" s="624">
        <f ca="1">IFERROR(__xludf.DUMMYFUNCTION("""COMPUTED_VALUE"""),2401)</f>
        <v>2401</v>
      </c>
      <c r="C393" s="624" t="str">
        <f ca="1">IFERROR(__xludf.DUMMYFUNCTION("""COMPUTED_VALUE"""),"凌陽")</f>
        <v>凌陽</v>
      </c>
      <c r="D393" s="630">
        <f ca="1">IFERROR(__xludf.DUMMYFUNCTION("""COMPUTED_VALUE"""),0.000105)</f>
        <v>1.05E-4</v>
      </c>
      <c r="E393" s="623">
        <f ca="1">IFERROR(__xludf.DUMMYFUNCTION("""COMPUTED_VALUE"""),926)</f>
        <v>926</v>
      </c>
      <c r="F393" s="624">
        <f ca="1">IFERROR(__xludf.DUMMYFUNCTION("""COMPUTED_VALUE"""),3296)</f>
        <v>3296</v>
      </c>
      <c r="G393" s="624" t="str">
        <f ca="1">IFERROR(__xludf.DUMMYFUNCTION("""COMPUTED_VALUE"""),"勝德")</f>
        <v>勝德</v>
      </c>
      <c r="H393" s="632">
        <f ca="1">IFERROR(__xludf.DUMMYFUNCTION("""COMPUTED_VALUE"""),0.000015)</f>
        <v>1.5E-5</v>
      </c>
      <c r="I393" s="62"/>
      <c r="J393" s="62"/>
      <c r="K393" s="63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</row>
    <row r="394" spans="1:41" ht="15.5">
      <c r="A394" s="623">
        <f ca="1">IFERROR(__xludf.DUMMYFUNCTION("""COMPUTED_VALUE"""),393)</f>
        <v>393</v>
      </c>
      <c r="B394" s="624">
        <f ca="1">IFERROR(__xludf.DUMMYFUNCTION("""COMPUTED_VALUE"""),2355)</f>
        <v>2355</v>
      </c>
      <c r="C394" s="624" t="str">
        <f ca="1">IFERROR(__xludf.DUMMYFUNCTION("""COMPUTED_VALUE"""),"敬鵬")</f>
        <v>敬鵬</v>
      </c>
      <c r="D394" s="630">
        <f ca="1">IFERROR(__xludf.DUMMYFUNCTION("""COMPUTED_VALUE"""),0.000104)</f>
        <v>1.0399999999999999E-4</v>
      </c>
      <c r="E394" s="623">
        <f ca="1">IFERROR(__xludf.DUMMYFUNCTION("""COMPUTED_VALUE"""),927)</f>
        <v>927</v>
      </c>
      <c r="F394" s="624">
        <f ca="1">IFERROR(__xludf.DUMMYFUNCTION("""COMPUTED_VALUE"""),3447)</f>
        <v>3447</v>
      </c>
      <c r="G394" s="624" t="str">
        <f ca="1">IFERROR(__xludf.DUMMYFUNCTION("""COMPUTED_VALUE"""),"展達")</f>
        <v>展達</v>
      </c>
      <c r="H394" s="632">
        <f ca="1">IFERROR(__xludf.DUMMYFUNCTION("""COMPUTED_VALUE"""),0.000015)</f>
        <v>1.5E-5</v>
      </c>
      <c r="I394" s="62"/>
      <c r="J394" s="62"/>
      <c r="K394" s="63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</row>
    <row r="395" spans="1:41" ht="15.5">
      <c r="A395" s="623">
        <f ca="1">IFERROR(__xludf.DUMMYFUNCTION("""COMPUTED_VALUE"""),394)</f>
        <v>394</v>
      </c>
      <c r="B395" s="624">
        <f ca="1">IFERROR(__xludf.DUMMYFUNCTION("""COMPUTED_VALUE"""),9802)</f>
        <v>9802</v>
      </c>
      <c r="C395" s="624" t="str">
        <f ca="1">IFERROR(__xludf.DUMMYFUNCTION("""COMPUTED_VALUE"""),"鈺齊-KY")</f>
        <v>鈺齊-KY</v>
      </c>
      <c r="D395" s="630">
        <f ca="1">IFERROR(__xludf.DUMMYFUNCTION("""COMPUTED_VALUE"""),0.000104)</f>
        <v>1.0399999999999999E-4</v>
      </c>
      <c r="E395" s="623">
        <f ca="1">IFERROR(__xludf.DUMMYFUNCTION("""COMPUTED_VALUE"""),928)</f>
        <v>928</v>
      </c>
      <c r="F395" s="624">
        <f ca="1">IFERROR(__xludf.DUMMYFUNCTION("""COMPUTED_VALUE"""),3550)</f>
        <v>3550</v>
      </c>
      <c r="G395" s="624" t="str">
        <f ca="1">IFERROR(__xludf.DUMMYFUNCTION("""COMPUTED_VALUE"""),"聯穎")</f>
        <v>聯穎</v>
      </c>
      <c r="H395" s="632">
        <f ca="1">IFERROR(__xludf.DUMMYFUNCTION("""COMPUTED_VALUE"""),0.000015)</f>
        <v>1.5E-5</v>
      </c>
      <c r="I395" s="62"/>
      <c r="J395" s="62"/>
      <c r="K395" s="63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</row>
    <row r="396" spans="1:41" ht="15.5">
      <c r="A396" s="623">
        <f ca="1">IFERROR(__xludf.DUMMYFUNCTION("""COMPUTED_VALUE"""),395)</f>
        <v>395</v>
      </c>
      <c r="B396" s="624">
        <f ca="1">IFERROR(__xludf.DUMMYFUNCTION("""COMPUTED_VALUE"""),8478)</f>
        <v>8478</v>
      </c>
      <c r="C396" s="624" t="str">
        <f ca="1">IFERROR(__xludf.DUMMYFUNCTION("""COMPUTED_VALUE"""),"東哥遊艇")</f>
        <v>東哥遊艇</v>
      </c>
      <c r="D396" s="630">
        <f ca="1">IFERROR(__xludf.DUMMYFUNCTION("""COMPUTED_VALUE"""),0.000102)</f>
        <v>1.02E-4</v>
      </c>
      <c r="E396" s="623">
        <f ca="1">IFERROR(__xludf.DUMMYFUNCTION("""COMPUTED_VALUE"""),929)</f>
        <v>929</v>
      </c>
      <c r="F396" s="624">
        <f ca="1">IFERROR(__xludf.DUMMYFUNCTION("""COMPUTED_VALUE"""),3557)</f>
        <v>3557</v>
      </c>
      <c r="G396" s="624" t="str">
        <f ca="1">IFERROR(__xludf.DUMMYFUNCTION("""COMPUTED_VALUE"""),"嘉威")</f>
        <v>嘉威</v>
      </c>
      <c r="H396" s="632">
        <f ca="1">IFERROR(__xludf.DUMMYFUNCTION("""COMPUTED_VALUE"""),0.000015)</f>
        <v>1.5E-5</v>
      </c>
      <c r="I396" s="62"/>
      <c r="J396" s="62"/>
      <c r="K396" s="63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</row>
    <row r="397" spans="1:41" ht="15.5">
      <c r="A397" s="623">
        <f ca="1">IFERROR(__xludf.DUMMYFUNCTION("""COMPUTED_VALUE"""),396)</f>
        <v>396</v>
      </c>
      <c r="B397" s="624">
        <f ca="1">IFERROR(__xludf.DUMMYFUNCTION("""COMPUTED_VALUE"""),3705)</f>
        <v>3705</v>
      </c>
      <c r="C397" s="624" t="str">
        <f ca="1">IFERROR(__xludf.DUMMYFUNCTION("""COMPUTED_VALUE"""),"永信")</f>
        <v>永信</v>
      </c>
      <c r="D397" s="630">
        <f ca="1">IFERROR(__xludf.DUMMYFUNCTION("""COMPUTED_VALUE"""),0.000102)</f>
        <v>1.02E-4</v>
      </c>
      <c r="E397" s="623">
        <f ca="1">IFERROR(__xludf.DUMMYFUNCTION("""COMPUTED_VALUE"""),930)</f>
        <v>930</v>
      </c>
      <c r="F397" s="624">
        <f ca="1">IFERROR(__xludf.DUMMYFUNCTION("""COMPUTED_VALUE"""),4148)</f>
        <v>4148</v>
      </c>
      <c r="G397" s="624" t="str">
        <f ca="1">IFERROR(__xludf.DUMMYFUNCTION("""COMPUTED_VALUE"""),"全宇生技-KY")</f>
        <v>全宇生技-KY</v>
      </c>
      <c r="H397" s="632">
        <f ca="1">IFERROR(__xludf.DUMMYFUNCTION("""COMPUTED_VALUE"""),0.000015)</f>
        <v>1.5E-5</v>
      </c>
      <c r="I397" s="62"/>
      <c r="J397" s="62"/>
      <c r="K397" s="63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</row>
    <row r="398" spans="1:41" ht="15.5">
      <c r="A398" s="623">
        <f ca="1">IFERROR(__xludf.DUMMYFUNCTION("""COMPUTED_VALUE"""),397)</f>
        <v>397</v>
      </c>
      <c r="B398" s="624">
        <f ca="1">IFERROR(__xludf.DUMMYFUNCTION("""COMPUTED_VALUE"""),3305)</f>
        <v>3305</v>
      </c>
      <c r="C398" s="624" t="str">
        <f ca="1">IFERROR(__xludf.DUMMYFUNCTION("""COMPUTED_VALUE"""),"昇貿")</f>
        <v>昇貿</v>
      </c>
      <c r="D398" s="630">
        <f ca="1">IFERROR(__xludf.DUMMYFUNCTION("""COMPUTED_VALUE"""),0.000101)</f>
        <v>1.01E-4</v>
      </c>
      <c r="E398" s="623">
        <f ca="1">IFERROR(__xludf.DUMMYFUNCTION("""COMPUTED_VALUE"""),931)</f>
        <v>931</v>
      </c>
      <c r="F398" s="624">
        <f ca="1">IFERROR(__xludf.DUMMYFUNCTION("""COMPUTED_VALUE"""),4155)</f>
        <v>4155</v>
      </c>
      <c r="G398" s="624" t="str">
        <f ca="1">IFERROR(__xludf.DUMMYFUNCTION("""COMPUTED_VALUE"""),"訊映")</f>
        <v>訊映</v>
      </c>
      <c r="H398" s="632">
        <f ca="1">IFERROR(__xludf.DUMMYFUNCTION("""COMPUTED_VALUE"""),0.000015)</f>
        <v>1.5E-5</v>
      </c>
      <c r="I398" s="62"/>
      <c r="J398" s="62"/>
      <c r="K398" s="63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</row>
    <row r="399" spans="1:41" ht="15.5">
      <c r="A399" s="623">
        <f ca="1">IFERROR(__xludf.DUMMYFUNCTION("""COMPUTED_VALUE"""),398)</f>
        <v>398</v>
      </c>
      <c r="B399" s="624">
        <f ca="1">IFERROR(__xludf.DUMMYFUNCTION("""COMPUTED_VALUE"""),6672)</f>
        <v>6672</v>
      </c>
      <c r="C399" s="624" t="str">
        <f ca="1">IFERROR(__xludf.DUMMYFUNCTION("""COMPUTED_VALUE"""),"騰輝電子-KY")</f>
        <v>騰輝電子-KY</v>
      </c>
      <c r="D399" s="630">
        <f ca="1">IFERROR(__xludf.DUMMYFUNCTION("""COMPUTED_VALUE"""),0.000101)</f>
        <v>1.01E-4</v>
      </c>
      <c r="E399" s="623">
        <f ca="1">IFERROR(__xludf.DUMMYFUNCTION("""COMPUTED_VALUE"""),932)</f>
        <v>932</v>
      </c>
      <c r="F399" s="624">
        <f ca="1">IFERROR(__xludf.DUMMYFUNCTION("""COMPUTED_VALUE"""),4560)</f>
        <v>4560</v>
      </c>
      <c r="G399" s="624" t="str">
        <f ca="1">IFERROR(__xludf.DUMMYFUNCTION("""COMPUTED_VALUE"""),"強信-KY")</f>
        <v>強信-KY</v>
      </c>
      <c r="H399" s="632">
        <f ca="1">IFERROR(__xludf.DUMMYFUNCTION("""COMPUTED_VALUE"""),0.000015)</f>
        <v>1.5E-5</v>
      </c>
      <c r="I399" s="62"/>
      <c r="J399" s="62"/>
      <c r="K399" s="63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</row>
    <row r="400" spans="1:41" ht="15.5">
      <c r="A400" s="623">
        <f ca="1">IFERROR(__xludf.DUMMYFUNCTION("""COMPUTED_VALUE"""),399)</f>
        <v>399</v>
      </c>
      <c r="B400" s="624">
        <f ca="1">IFERROR(__xludf.DUMMYFUNCTION("""COMPUTED_VALUE"""),6183)</f>
        <v>6183</v>
      </c>
      <c r="C400" s="624" t="str">
        <f ca="1">IFERROR(__xludf.DUMMYFUNCTION("""COMPUTED_VALUE"""),"關貿")</f>
        <v>關貿</v>
      </c>
      <c r="D400" s="630">
        <f ca="1">IFERROR(__xludf.DUMMYFUNCTION("""COMPUTED_VALUE"""),0.0001)</f>
        <v>1E-4</v>
      </c>
      <c r="E400" s="623">
        <f ca="1">IFERROR(__xludf.DUMMYFUNCTION("""COMPUTED_VALUE"""),933)</f>
        <v>933</v>
      </c>
      <c r="F400" s="624">
        <f ca="1">IFERROR(__xludf.DUMMYFUNCTION("""COMPUTED_VALUE"""),4552)</f>
        <v>4552</v>
      </c>
      <c r="G400" s="624" t="str">
        <f ca="1">IFERROR(__xludf.DUMMYFUNCTION("""COMPUTED_VALUE"""),"力達-KY")</f>
        <v>力達-KY</v>
      </c>
      <c r="H400" s="632">
        <f ca="1">IFERROR(__xludf.DUMMYFUNCTION("""COMPUTED_VALUE"""),0.000015)</f>
        <v>1.5E-5</v>
      </c>
      <c r="I400" s="62"/>
      <c r="J400" s="62"/>
      <c r="K400" s="63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</row>
    <row r="401" spans="1:41" ht="15.5">
      <c r="A401" s="623">
        <f ca="1">IFERROR(__xludf.DUMMYFUNCTION("""COMPUTED_VALUE"""),400)</f>
        <v>400</v>
      </c>
      <c r="B401" s="624">
        <f ca="1">IFERROR(__xludf.DUMMYFUNCTION("""COMPUTED_VALUE"""),1623)</f>
        <v>1623</v>
      </c>
      <c r="C401" s="624" t="str">
        <f ca="1">IFERROR(__xludf.DUMMYFUNCTION("""COMPUTED_VALUE"""),"大東電")</f>
        <v>大東電</v>
      </c>
      <c r="D401" s="630">
        <f ca="1">IFERROR(__xludf.DUMMYFUNCTION("""COMPUTED_VALUE"""),0.0001)</f>
        <v>1E-4</v>
      </c>
      <c r="E401" s="623">
        <f ca="1">IFERROR(__xludf.DUMMYFUNCTION("""COMPUTED_VALUE"""),934)</f>
        <v>934</v>
      </c>
      <c r="F401" s="624">
        <f ca="1">IFERROR(__xludf.DUMMYFUNCTION("""COMPUTED_VALUE"""),4720)</f>
        <v>4720</v>
      </c>
      <c r="G401" s="624" t="str">
        <f ca="1">IFERROR(__xludf.DUMMYFUNCTION("""COMPUTED_VALUE"""),"德淵")</f>
        <v>德淵</v>
      </c>
      <c r="H401" s="632">
        <f ca="1">IFERROR(__xludf.DUMMYFUNCTION("""COMPUTED_VALUE"""),0.000015)</f>
        <v>1.5E-5</v>
      </c>
      <c r="I401" s="62"/>
      <c r="J401" s="62"/>
      <c r="K401" s="63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</row>
    <row r="402" spans="1:41" ht="15.5">
      <c r="A402" s="623">
        <f ca="1">IFERROR(__xludf.DUMMYFUNCTION("""COMPUTED_VALUE"""),401)</f>
        <v>401</v>
      </c>
      <c r="B402" s="624">
        <f ca="1">IFERROR(__xludf.DUMMYFUNCTION("""COMPUTED_VALUE"""),1905)</f>
        <v>1905</v>
      </c>
      <c r="C402" s="624" t="str">
        <f ca="1">IFERROR(__xludf.DUMMYFUNCTION("""COMPUTED_VALUE"""),"華紙")</f>
        <v>華紙</v>
      </c>
      <c r="D402" s="630">
        <f ca="1">IFERROR(__xludf.DUMMYFUNCTION("""COMPUTED_VALUE"""),0.000099)</f>
        <v>9.8999999999999994E-5</v>
      </c>
      <c r="E402" s="623">
        <f ca="1">IFERROR(__xludf.DUMMYFUNCTION("""COMPUTED_VALUE"""),935)</f>
        <v>935</v>
      </c>
      <c r="F402" s="624">
        <f ca="1">IFERROR(__xludf.DUMMYFUNCTION("""COMPUTED_VALUE"""),4588)</f>
        <v>4588</v>
      </c>
      <c r="G402" s="624" t="str">
        <f ca="1">IFERROR(__xludf.DUMMYFUNCTION("""COMPUTED_VALUE"""),"玖鼎電力")</f>
        <v>玖鼎電力</v>
      </c>
      <c r="H402" s="632">
        <f ca="1">IFERROR(__xludf.DUMMYFUNCTION("""COMPUTED_VALUE"""),0.000015)</f>
        <v>1.5E-5</v>
      </c>
      <c r="I402" s="62"/>
      <c r="J402" s="62"/>
      <c r="K402" s="63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</row>
    <row r="403" spans="1:41" ht="15.5">
      <c r="A403" s="623">
        <f ca="1">IFERROR(__xludf.DUMMYFUNCTION("""COMPUTED_VALUE"""),402)</f>
        <v>402</v>
      </c>
      <c r="B403" s="624">
        <f ca="1">IFERROR(__xludf.DUMMYFUNCTION("""COMPUTED_VALUE"""),2511)</f>
        <v>2511</v>
      </c>
      <c r="C403" s="624" t="str">
        <f ca="1">IFERROR(__xludf.DUMMYFUNCTION("""COMPUTED_VALUE"""),"太子")</f>
        <v>太子</v>
      </c>
      <c r="D403" s="630">
        <f ca="1">IFERROR(__xludf.DUMMYFUNCTION("""COMPUTED_VALUE"""),0.000099)</f>
        <v>9.8999999999999994E-5</v>
      </c>
      <c r="E403" s="623">
        <f ca="1">IFERROR(__xludf.DUMMYFUNCTION("""COMPUTED_VALUE"""),936)</f>
        <v>936</v>
      </c>
      <c r="F403" s="624">
        <f ca="1">IFERROR(__xludf.DUMMYFUNCTION("""COMPUTED_VALUE"""),4582)</f>
        <v>4582</v>
      </c>
      <c r="G403" s="624" t="str">
        <f ca="1">IFERROR(__xludf.DUMMYFUNCTION("""COMPUTED_VALUE"""),"聚恆-創")</f>
        <v>聚恆-創</v>
      </c>
      <c r="H403" s="632">
        <f ca="1">IFERROR(__xludf.DUMMYFUNCTION("""COMPUTED_VALUE"""),0.000015)</f>
        <v>1.5E-5</v>
      </c>
      <c r="I403" s="62"/>
      <c r="J403" s="62"/>
      <c r="K403" s="63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</row>
    <row r="404" spans="1:41" ht="15.5">
      <c r="A404" s="623">
        <f ca="1">IFERROR(__xludf.DUMMYFUNCTION("""COMPUTED_VALUE"""),403)</f>
        <v>403</v>
      </c>
      <c r="B404" s="624">
        <f ca="1">IFERROR(__xludf.DUMMYFUNCTION("""COMPUTED_VALUE"""),6901)</f>
        <v>6901</v>
      </c>
      <c r="C404" s="624" t="str">
        <f ca="1">IFERROR(__xludf.DUMMYFUNCTION("""COMPUTED_VALUE"""),"鑽石投資")</f>
        <v>鑽石投資</v>
      </c>
      <c r="D404" s="630">
        <f ca="1">IFERROR(__xludf.DUMMYFUNCTION("""COMPUTED_VALUE"""),0.000099)</f>
        <v>9.8999999999999994E-5</v>
      </c>
      <c r="E404" s="623">
        <f ca="1">IFERROR(__xludf.DUMMYFUNCTION("""COMPUTED_VALUE"""),937)</f>
        <v>937</v>
      </c>
      <c r="F404" s="624">
        <f ca="1">IFERROR(__xludf.DUMMYFUNCTION("""COMPUTED_VALUE"""),6835)</f>
        <v>6835</v>
      </c>
      <c r="G404" s="624" t="str">
        <f ca="1">IFERROR(__xludf.DUMMYFUNCTION("""COMPUTED_VALUE"""),"圓裕")</f>
        <v>圓裕</v>
      </c>
      <c r="H404" s="632">
        <f ca="1">IFERROR(__xludf.DUMMYFUNCTION("""COMPUTED_VALUE"""),0.000015)</f>
        <v>1.5E-5</v>
      </c>
      <c r="I404" s="62"/>
      <c r="J404" s="62"/>
      <c r="K404" s="63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</row>
    <row r="405" spans="1:41" ht="15.5">
      <c r="A405" s="623">
        <f ca="1">IFERROR(__xludf.DUMMYFUNCTION("""COMPUTED_VALUE"""),404)</f>
        <v>404</v>
      </c>
      <c r="B405" s="624">
        <f ca="1">IFERROR(__xludf.DUMMYFUNCTION("""COMPUTED_VALUE"""),6768)</f>
        <v>6768</v>
      </c>
      <c r="C405" s="624" t="str">
        <f ca="1">IFERROR(__xludf.DUMMYFUNCTION("""COMPUTED_VALUE"""),"志強-KY")</f>
        <v>志強-KY</v>
      </c>
      <c r="D405" s="630">
        <f ca="1">IFERROR(__xludf.DUMMYFUNCTION("""COMPUTED_VALUE"""),0.000098)</f>
        <v>9.7999999999999997E-5</v>
      </c>
      <c r="E405" s="623">
        <f ca="1">IFERROR(__xludf.DUMMYFUNCTION("""COMPUTED_VALUE"""),938)</f>
        <v>938</v>
      </c>
      <c r="F405" s="624">
        <f ca="1">IFERROR(__xludf.DUMMYFUNCTION("""COMPUTED_VALUE"""),6924)</f>
        <v>6924</v>
      </c>
      <c r="G405" s="624" t="str">
        <f ca="1">IFERROR(__xludf.DUMMYFUNCTION("""COMPUTED_VALUE"""),"榮惠-KY創")</f>
        <v>榮惠-KY創</v>
      </c>
      <c r="H405" s="632">
        <f ca="1">IFERROR(__xludf.DUMMYFUNCTION("""COMPUTED_VALUE"""),0.000015)</f>
        <v>1.5E-5</v>
      </c>
      <c r="I405" s="62"/>
      <c r="J405" s="62"/>
      <c r="K405" s="63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</row>
    <row r="406" spans="1:41" ht="15.5">
      <c r="A406" s="623">
        <f ca="1">IFERROR(__xludf.DUMMYFUNCTION("""COMPUTED_VALUE"""),405)</f>
        <v>405</v>
      </c>
      <c r="B406" s="624">
        <f ca="1">IFERROR(__xludf.DUMMYFUNCTION("""COMPUTED_VALUE"""),3605)</f>
        <v>3605</v>
      </c>
      <c r="C406" s="624" t="str">
        <f ca="1">IFERROR(__xludf.DUMMYFUNCTION("""COMPUTED_VALUE"""),"宏致")</f>
        <v>宏致</v>
      </c>
      <c r="D406" s="630">
        <f ca="1">IFERROR(__xludf.DUMMYFUNCTION("""COMPUTED_VALUE"""),0.000098)</f>
        <v>9.7999999999999997E-5</v>
      </c>
      <c r="E406" s="623">
        <f ca="1">IFERROR(__xludf.DUMMYFUNCTION("""COMPUTED_VALUE"""),939)</f>
        <v>939</v>
      </c>
      <c r="F406" s="624">
        <f ca="1">IFERROR(__xludf.DUMMYFUNCTION("""COMPUTED_VALUE"""),6666)</f>
        <v>6666</v>
      </c>
      <c r="G406" s="624" t="str">
        <f ca="1">IFERROR(__xludf.DUMMYFUNCTION("""COMPUTED_VALUE"""),"羅麗芬-KY")</f>
        <v>羅麗芬-KY</v>
      </c>
      <c r="H406" s="632">
        <f ca="1">IFERROR(__xludf.DUMMYFUNCTION("""COMPUTED_VALUE"""),0.000015)</f>
        <v>1.5E-5</v>
      </c>
      <c r="I406" s="62"/>
      <c r="J406" s="62"/>
      <c r="K406" s="63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</row>
    <row r="407" spans="1:41" ht="15.5">
      <c r="A407" s="623">
        <f ca="1">IFERROR(__xludf.DUMMYFUNCTION("""COMPUTED_VALUE"""),406)</f>
        <v>406</v>
      </c>
      <c r="B407" s="624">
        <f ca="1">IFERROR(__xludf.DUMMYFUNCTION("""COMPUTED_VALUE"""),2731)</f>
        <v>2731</v>
      </c>
      <c r="C407" s="624" t="str">
        <f ca="1">IFERROR(__xludf.DUMMYFUNCTION("""COMPUTED_VALUE"""),"雄獅")</f>
        <v>雄獅</v>
      </c>
      <c r="D407" s="630">
        <f ca="1">IFERROR(__xludf.DUMMYFUNCTION("""COMPUTED_VALUE"""),0.000098)</f>
        <v>9.7999999999999997E-5</v>
      </c>
      <c r="E407" s="623">
        <f ca="1">IFERROR(__xludf.DUMMYFUNCTION("""COMPUTED_VALUE"""),940)</f>
        <v>940</v>
      </c>
      <c r="F407" s="624">
        <f ca="1">IFERROR(__xludf.DUMMYFUNCTION("""COMPUTED_VALUE"""),6698)</f>
        <v>6698</v>
      </c>
      <c r="G407" s="624" t="str">
        <f ca="1">IFERROR(__xludf.DUMMYFUNCTION("""COMPUTED_VALUE"""),"旭暉應材")</f>
        <v>旭暉應材</v>
      </c>
      <c r="H407" s="632">
        <f ca="1">IFERROR(__xludf.DUMMYFUNCTION("""COMPUTED_VALUE"""),0.000015)</f>
        <v>1.5E-5</v>
      </c>
      <c r="I407" s="62"/>
      <c r="J407" s="62"/>
      <c r="K407" s="63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</row>
    <row r="408" spans="1:41" ht="15.5">
      <c r="A408" s="623">
        <f ca="1">IFERROR(__xludf.DUMMYFUNCTION("""COMPUTED_VALUE"""),407)</f>
        <v>407</v>
      </c>
      <c r="B408" s="624">
        <f ca="1">IFERROR(__xludf.DUMMYFUNCTION("""COMPUTED_VALUE"""),3135)</f>
        <v>3135</v>
      </c>
      <c r="C408" s="624" t="str">
        <f ca="1">IFERROR(__xludf.DUMMYFUNCTION("""COMPUTED_VALUE"""),"凌航")</f>
        <v>凌航</v>
      </c>
      <c r="D408" s="630">
        <f ca="1">IFERROR(__xludf.DUMMYFUNCTION("""COMPUTED_VALUE"""),0.000098)</f>
        <v>9.7999999999999997E-5</v>
      </c>
      <c r="E408" s="623">
        <f ca="1">IFERROR(__xludf.DUMMYFUNCTION("""COMPUTED_VALUE"""),941)</f>
        <v>941</v>
      </c>
      <c r="F408" s="624">
        <f ca="1">IFERROR(__xludf.DUMMYFUNCTION("""COMPUTED_VALUE"""),8072)</f>
        <v>8072</v>
      </c>
      <c r="G408" s="624" t="str">
        <f ca="1">IFERROR(__xludf.DUMMYFUNCTION("""COMPUTED_VALUE"""),"陞泰")</f>
        <v>陞泰</v>
      </c>
      <c r="H408" s="632">
        <f ca="1">IFERROR(__xludf.DUMMYFUNCTION("""COMPUTED_VALUE"""),0.000015)</f>
        <v>1.5E-5</v>
      </c>
      <c r="I408" s="62"/>
      <c r="J408" s="62"/>
      <c r="K408" s="63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</row>
    <row r="409" spans="1:41" ht="15.5">
      <c r="A409" s="623">
        <f ca="1">IFERROR(__xludf.DUMMYFUNCTION("""COMPUTED_VALUE"""),408)</f>
        <v>408</v>
      </c>
      <c r="B409" s="624">
        <f ca="1">IFERROR(__xludf.DUMMYFUNCTION("""COMPUTED_VALUE"""),2010)</f>
        <v>2010</v>
      </c>
      <c r="C409" s="624" t="str">
        <f ca="1">IFERROR(__xludf.DUMMYFUNCTION("""COMPUTED_VALUE"""),"春源")</f>
        <v>春源</v>
      </c>
      <c r="D409" s="630">
        <f ca="1">IFERROR(__xludf.DUMMYFUNCTION("""COMPUTED_VALUE"""),0.000098)</f>
        <v>9.7999999999999997E-5</v>
      </c>
      <c r="E409" s="623">
        <f ca="1">IFERROR(__xludf.DUMMYFUNCTION("""COMPUTED_VALUE"""),942)</f>
        <v>942</v>
      </c>
      <c r="F409" s="624">
        <f ca="1">IFERROR(__xludf.DUMMYFUNCTION("""COMPUTED_VALUE"""),7705)</f>
        <v>7705</v>
      </c>
      <c r="G409" s="624" t="str">
        <f ca="1">IFERROR(__xludf.DUMMYFUNCTION("""COMPUTED_VALUE"""),"三商餐飲")</f>
        <v>三商餐飲</v>
      </c>
      <c r="H409" s="632">
        <f ca="1">IFERROR(__xludf.DUMMYFUNCTION("""COMPUTED_VALUE"""),0.000014)</f>
        <v>1.4E-5</v>
      </c>
      <c r="I409" s="62"/>
      <c r="J409" s="62"/>
      <c r="K409" s="63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</row>
    <row r="410" spans="1:41" ht="15.5">
      <c r="A410" s="623">
        <f ca="1">IFERROR(__xludf.DUMMYFUNCTION("""COMPUTED_VALUE"""),409)</f>
        <v>409</v>
      </c>
      <c r="B410" s="624">
        <f ca="1">IFERROR(__xludf.DUMMYFUNCTION("""COMPUTED_VALUE"""),1313)</f>
        <v>1313</v>
      </c>
      <c r="C410" s="624" t="str">
        <f ca="1">IFERROR(__xludf.DUMMYFUNCTION("""COMPUTED_VALUE"""),"聯成")</f>
        <v>聯成</v>
      </c>
      <c r="D410" s="630">
        <f ca="1">IFERROR(__xludf.DUMMYFUNCTION("""COMPUTED_VALUE"""),0.000098)</f>
        <v>9.7999999999999997E-5</v>
      </c>
      <c r="E410" s="623">
        <f ca="1">IFERROR(__xludf.DUMMYFUNCTION("""COMPUTED_VALUE"""),943)</f>
        <v>943</v>
      </c>
      <c r="F410" s="624">
        <f ca="1">IFERROR(__xludf.DUMMYFUNCTION("""COMPUTED_VALUE"""),6807)</f>
        <v>6807</v>
      </c>
      <c r="G410" s="624" t="str">
        <f ca="1">IFERROR(__xludf.DUMMYFUNCTION("""COMPUTED_VALUE"""),"峰源-KY")</f>
        <v>峰源-KY</v>
      </c>
      <c r="H410" s="632">
        <f ca="1">IFERROR(__xludf.DUMMYFUNCTION("""COMPUTED_VALUE"""),0.000014)</f>
        <v>1.4E-5</v>
      </c>
      <c r="I410" s="62"/>
      <c r="J410" s="62"/>
      <c r="K410" s="63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</row>
    <row r="411" spans="1:41" ht="15.5">
      <c r="A411" s="623">
        <f ca="1">IFERROR(__xludf.DUMMYFUNCTION("""COMPUTED_VALUE"""),410)</f>
        <v>410</v>
      </c>
      <c r="B411" s="624">
        <f ca="1">IFERROR(__xludf.DUMMYFUNCTION("""COMPUTED_VALUE"""),1234)</f>
        <v>1234</v>
      </c>
      <c r="C411" s="624" t="str">
        <f ca="1">IFERROR(__xludf.DUMMYFUNCTION("""COMPUTED_VALUE"""),"黑松")</f>
        <v>黑松</v>
      </c>
      <c r="D411" s="630">
        <f ca="1">IFERROR(__xludf.DUMMYFUNCTION("""COMPUTED_VALUE"""),0.000097)</f>
        <v>9.7E-5</v>
      </c>
      <c r="E411" s="623">
        <f ca="1">IFERROR(__xludf.DUMMYFUNCTION("""COMPUTED_VALUE"""),944)</f>
        <v>944</v>
      </c>
      <c r="F411" s="624">
        <f ca="1">IFERROR(__xludf.DUMMYFUNCTION("""COMPUTED_VALUE"""),8487)</f>
        <v>8487</v>
      </c>
      <c r="G411" s="624" t="str">
        <f ca="1">IFERROR(__xludf.DUMMYFUNCTION("""COMPUTED_VALUE"""),"愛爾達-創")</f>
        <v>愛爾達-創</v>
      </c>
      <c r="H411" s="632">
        <f ca="1">IFERROR(__xludf.DUMMYFUNCTION("""COMPUTED_VALUE"""),0.000014)</f>
        <v>1.4E-5</v>
      </c>
      <c r="I411" s="62"/>
      <c r="J411" s="62"/>
      <c r="K411" s="63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</row>
    <row r="412" spans="1:41" ht="15.5">
      <c r="A412" s="623">
        <f ca="1">IFERROR(__xludf.DUMMYFUNCTION("""COMPUTED_VALUE"""),411)</f>
        <v>411</v>
      </c>
      <c r="B412" s="624">
        <f ca="1">IFERROR(__xludf.DUMMYFUNCTION("""COMPUTED_VALUE"""),2608)</f>
        <v>2608</v>
      </c>
      <c r="C412" s="624" t="str">
        <f ca="1">IFERROR(__xludf.DUMMYFUNCTION("""COMPUTED_VALUE"""),"嘉里大榮")</f>
        <v>嘉里大榮</v>
      </c>
      <c r="D412" s="630">
        <f ca="1">IFERROR(__xludf.DUMMYFUNCTION("""COMPUTED_VALUE"""),0.000097)</f>
        <v>9.7E-5</v>
      </c>
      <c r="E412" s="623">
        <f ca="1">IFERROR(__xludf.DUMMYFUNCTION("""COMPUTED_VALUE"""),945)</f>
        <v>945</v>
      </c>
      <c r="F412" s="624">
        <f ca="1">IFERROR(__xludf.DUMMYFUNCTION("""COMPUTED_VALUE"""),6152)</f>
        <v>6152</v>
      </c>
      <c r="G412" s="624" t="str">
        <f ca="1">IFERROR(__xludf.DUMMYFUNCTION("""COMPUTED_VALUE"""),"百一")</f>
        <v>百一</v>
      </c>
      <c r="H412" s="632">
        <f ca="1">IFERROR(__xludf.DUMMYFUNCTION("""COMPUTED_VALUE"""),0.000014)</f>
        <v>1.4E-5</v>
      </c>
      <c r="I412" s="62"/>
      <c r="J412" s="62"/>
      <c r="K412" s="63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</row>
    <row r="413" spans="1:41" ht="15.5">
      <c r="A413" s="623">
        <f ca="1">IFERROR(__xludf.DUMMYFUNCTION("""COMPUTED_VALUE"""),412)</f>
        <v>412</v>
      </c>
      <c r="B413" s="624">
        <f ca="1">IFERROR(__xludf.DUMMYFUNCTION("""COMPUTED_VALUE"""),7780)</f>
        <v>7780</v>
      </c>
      <c r="C413" s="624" t="str">
        <f ca="1">IFERROR(__xludf.DUMMYFUNCTION("""COMPUTED_VALUE"""),"大研生醫*")</f>
        <v>大研生醫*</v>
      </c>
      <c r="D413" s="630">
        <f ca="1">IFERROR(__xludf.DUMMYFUNCTION("""COMPUTED_VALUE"""),0.000097)</f>
        <v>9.7E-5</v>
      </c>
      <c r="E413" s="623">
        <f ca="1">IFERROR(__xludf.DUMMYFUNCTION("""COMPUTED_VALUE"""),946)</f>
        <v>946</v>
      </c>
      <c r="F413" s="624">
        <f ca="1">IFERROR(__xludf.DUMMYFUNCTION("""COMPUTED_VALUE"""),6272)</f>
        <v>6272</v>
      </c>
      <c r="G413" s="624" t="str">
        <f ca="1">IFERROR(__xludf.DUMMYFUNCTION("""COMPUTED_VALUE"""),"驊陞")</f>
        <v>驊陞</v>
      </c>
      <c r="H413" s="632">
        <f ca="1">IFERROR(__xludf.DUMMYFUNCTION("""COMPUTED_VALUE"""),0.000014)</f>
        <v>1.4E-5</v>
      </c>
      <c r="I413" s="62"/>
      <c r="J413" s="62"/>
      <c r="K413" s="63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</row>
    <row r="414" spans="1:41" ht="15.5">
      <c r="A414" s="623">
        <f ca="1">IFERROR(__xludf.DUMMYFUNCTION("""COMPUTED_VALUE"""),413)</f>
        <v>413</v>
      </c>
      <c r="B414" s="624">
        <f ca="1">IFERROR(__xludf.DUMMYFUNCTION("""COMPUTED_VALUE"""),9938)</f>
        <v>9938</v>
      </c>
      <c r="C414" s="624" t="str">
        <f ca="1">IFERROR(__xludf.DUMMYFUNCTION("""COMPUTED_VALUE"""),"百和")</f>
        <v>百和</v>
      </c>
      <c r="D414" s="630">
        <f ca="1">IFERROR(__xludf.DUMMYFUNCTION("""COMPUTED_VALUE"""),0.000097)</f>
        <v>9.7E-5</v>
      </c>
      <c r="E414" s="623">
        <f ca="1">IFERROR(__xludf.DUMMYFUNCTION("""COMPUTED_VALUE"""),947)</f>
        <v>947</v>
      </c>
      <c r="F414" s="624">
        <f ca="1">IFERROR(__xludf.DUMMYFUNCTION("""COMPUTED_VALUE"""),6552)</f>
        <v>6552</v>
      </c>
      <c r="G414" s="624" t="str">
        <f ca="1">IFERROR(__xludf.DUMMYFUNCTION("""COMPUTED_VALUE"""),"易華電")</f>
        <v>易華電</v>
      </c>
      <c r="H414" s="632">
        <f ca="1">IFERROR(__xludf.DUMMYFUNCTION("""COMPUTED_VALUE"""),0.000014)</f>
        <v>1.4E-5</v>
      </c>
      <c r="I414" s="62"/>
      <c r="J414" s="62"/>
      <c r="K414" s="63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</row>
    <row r="415" spans="1:41" ht="15.5">
      <c r="A415" s="623">
        <f ca="1">IFERROR(__xludf.DUMMYFUNCTION("""COMPUTED_VALUE"""),414)</f>
        <v>414</v>
      </c>
      <c r="B415" s="624">
        <f ca="1">IFERROR(__xludf.DUMMYFUNCTION("""COMPUTED_VALUE"""),8462)</f>
        <v>8462</v>
      </c>
      <c r="C415" s="624" t="str">
        <f ca="1">IFERROR(__xludf.DUMMYFUNCTION("""COMPUTED_VALUE"""),"柏文")</f>
        <v>柏文</v>
      </c>
      <c r="D415" s="630">
        <f ca="1">IFERROR(__xludf.DUMMYFUNCTION("""COMPUTED_VALUE"""),0.000096)</f>
        <v>9.6000000000000002E-5</v>
      </c>
      <c r="E415" s="623">
        <f ca="1">IFERROR(__xludf.DUMMYFUNCTION("""COMPUTED_VALUE"""),948)</f>
        <v>948</v>
      </c>
      <c r="F415" s="624">
        <f ca="1">IFERROR(__xludf.DUMMYFUNCTION("""COMPUTED_VALUE"""),6558)</f>
        <v>6558</v>
      </c>
      <c r="G415" s="624" t="str">
        <f ca="1">IFERROR(__xludf.DUMMYFUNCTION("""COMPUTED_VALUE"""),"興能高")</f>
        <v>興能高</v>
      </c>
      <c r="H415" s="632">
        <f ca="1">IFERROR(__xludf.DUMMYFUNCTION("""COMPUTED_VALUE"""),0.000014)</f>
        <v>1.4E-5</v>
      </c>
      <c r="I415" s="62"/>
      <c r="J415" s="62"/>
      <c r="K415" s="63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</row>
    <row r="416" spans="1:41" ht="15.5">
      <c r="A416" s="623">
        <f ca="1">IFERROR(__xludf.DUMMYFUNCTION("""COMPUTED_VALUE"""),415)</f>
        <v>415</v>
      </c>
      <c r="B416" s="624">
        <f ca="1">IFERROR(__xludf.DUMMYFUNCTION("""COMPUTED_VALUE"""),4906)</f>
        <v>4906</v>
      </c>
      <c r="C416" s="624" t="str">
        <f ca="1">IFERROR(__xludf.DUMMYFUNCTION("""COMPUTED_VALUE"""),"正文")</f>
        <v>正文</v>
      </c>
      <c r="D416" s="630">
        <f ca="1">IFERROR(__xludf.DUMMYFUNCTION("""COMPUTED_VALUE"""),0.000096)</f>
        <v>9.6000000000000002E-5</v>
      </c>
      <c r="E416" s="623">
        <f ca="1">IFERROR(__xludf.DUMMYFUNCTION("""COMPUTED_VALUE"""),949)</f>
        <v>949</v>
      </c>
      <c r="F416" s="624">
        <f ca="1">IFERROR(__xludf.DUMMYFUNCTION("""COMPUTED_VALUE"""),2032)</f>
        <v>2032</v>
      </c>
      <c r="G416" s="624" t="str">
        <f ca="1">IFERROR(__xludf.DUMMYFUNCTION("""COMPUTED_VALUE"""),"新鋼")</f>
        <v>新鋼</v>
      </c>
      <c r="H416" s="632">
        <f ca="1">IFERROR(__xludf.DUMMYFUNCTION("""COMPUTED_VALUE"""),0.000014)</f>
        <v>1.4E-5</v>
      </c>
      <c r="I416" s="62"/>
      <c r="J416" s="62"/>
      <c r="K416" s="63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</row>
    <row r="417" spans="1:41" ht="15.5">
      <c r="A417" s="623">
        <f ca="1">IFERROR(__xludf.DUMMYFUNCTION("""COMPUTED_VALUE"""),416)</f>
        <v>416</v>
      </c>
      <c r="B417" s="624">
        <f ca="1">IFERROR(__xludf.DUMMYFUNCTION("""COMPUTED_VALUE"""),2338)</f>
        <v>2338</v>
      </c>
      <c r="C417" s="624" t="str">
        <f ca="1">IFERROR(__xludf.DUMMYFUNCTION("""COMPUTED_VALUE"""),"光罩")</f>
        <v>光罩</v>
      </c>
      <c r="D417" s="630">
        <f ca="1">IFERROR(__xludf.DUMMYFUNCTION("""COMPUTED_VALUE"""),0.000096)</f>
        <v>9.6000000000000002E-5</v>
      </c>
      <c r="E417" s="623">
        <f ca="1">IFERROR(__xludf.DUMMYFUNCTION("""COMPUTED_VALUE"""),950)</f>
        <v>950</v>
      </c>
      <c r="F417" s="624">
        <f ca="1">IFERROR(__xludf.DUMMYFUNCTION("""COMPUTED_VALUE"""),1735)</f>
        <v>1735</v>
      </c>
      <c r="G417" s="624" t="str">
        <f ca="1">IFERROR(__xludf.DUMMYFUNCTION("""COMPUTED_VALUE"""),"日勝化")</f>
        <v>日勝化</v>
      </c>
      <c r="H417" s="632">
        <f ca="1">IFERROR(__xludf.DUMMYFUNCTION("""COMPUTED_VALUE"""),0.000014)</f>
        <v>1.4E-5</v>
      </c>
      <c r="I417" s="62"/>
      <c r="J417" s="62"/>
      <c r="K417" s="63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</row>
    <row r="418" spans="1:41" ht="15.5">
      <c r="A418" s="623">
        <f ca="1">IFERROR(__xludf.DUMMYFUNCTION("""COMPUTED_VALUE"""),417)</f>
        <v>417</v>
      </c>
      <c r="B418" s="624">
        <f ca="1">IFERROR(__xludf.DUMMYFUNCTION("""COMPUTED_VALUE"""),2108)</f>
        <v>2108</v>
      </c>
      <c r="C418" s="624" t="str">
        <f ca="1">IFERROR(__xludf.DUMMYFUNCTION("""COMPUTED_VALUE"""),"南帝")</f>
        <v>南帝</v>
      </c>
      <c r="D418" s="630">
        <f ca="1">IFERROR(__xludf.DUMMYFUNCTION("""COMPUTED_VALUE"""),0.000096)</f>
        <v>9.6000000000000002E-5</v>
      </c>
      <c r="E418" s="623">
        <f ca="1">IFERROR(__xludf.DUMMYFUNCTION("""COMPUTED_VALUE"""),951)</f>
        <v>951</v>
      </c>
      <c r="F418" s="624">
        <f ca="1">IFERROR(__xludf.DUMMYFUNCTION("""COMPUTED_VALUE"""),1220)</f>
        <v>1220</v>
      </c>
      <c r="G418" s="624" t="str">
        <f ca="1">IFERROR(__xludf.DUMMYFUNCTION("""COMPUTED_VALUE"""),"台榮")</f>
        <v>台榮</v>
      </c>
      <c r="H418" s="632">
        <f ca="1">IFERROR(__xludf.DUMMYFUNCTION("""COMPUTED_VALUE"""),0.000014)</f>
        <v>1.4E-5</v>
      </c>
      <c r="I418" s="62"/>
      <c r="J418" s="62"/>
      <c r="K418" s="63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</row>
    <row r="419" spans="1:41" ht="15.5">
      <c r="A419" s="623">
        <f ca="1">IFERROR(__xludf.DUMMYFUNCTION("""COMPUTED_VALUE"""),418)</f>
        <v>418</v>
      </c>
      <c r="B419" s="624">
        <f ca="1">IFERROR(__xludf.DUMMYFUNCTION("""COMPUTED_VALUE"""),1304)</f>
        <v>1304</v>
      </c>
      <c r="C419" s="624" t="str">
        <f ca="1">IFERROR(__xludf.DUMMYFUNCTION("""COMPUTED_VALUE"""),"台聚")</f>
        <v>台聚</v>
      </c>
      <c r="D419" s="630">
        <f ca="1">IFERROR(__xludf.DUMMYFUNCTION("""COMPUTED_VALUE"""),0.000095)</f>
        <v>9.5000000000000005E-5</v>
      </c>
      <c r="E419" s="623">
        <f ca="1">IFERROR(__xludf.DUMMYFUNCTION("""COMPUTED_VALUE"""),952)</f>
        <v>952</v>
      </c>
      <c r="F419" s="624">
        <f ca="1">IFERROR(__xludf.DUMMYFUNCTION("""COMPUTED_VALUE"""),1416)</f>
        <v>1416</v>
      </c>
      <c r="G419" s="624" t="str">
        <f ca="1">IFERROR(__xludf.DUMMYFUNCTION("""COMPUTED_VALUE"""),"廣豐")</f>
        <v>廣豐</v>
      </c>
      <c r="H419" s="632">
        <f ca="1">IFERROR(__xludf.DUMMYFUNCTION("""COMPUTED_VALUE"""),0.000014)</f>
        <v>1.4E-5</v>
      </c>
      <c r="I419" s="62"/>
      <c r="J419" s="62"/>
      <c r="K419" s="63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</row>
    <row r="420" spans="1:41" ht="15.5">
      <c r="A420" s="623">
        <f ca="1">IFERROR(__xludf.DUMMYFUNCTION("""COMPUTED_VALUE"""),419)</f>
        <v>419</v>
      </c>
      <c r="B420" s="624">
        <f ca="1">IFERROR(__xludf.DUMMYFUNCTION("""COMPUTED_VALUE"""),4104)</f>
        <v>4104</v>
      </c>
      <c r="C420" s="624" t="str">
        <f ca="1">IFERROR(__xludf.DUMMYFUNCTION("""COMPUTED_VALUE"""),"佳醫")</f>
        <v>佳醫</v>
      </c>
      <c r="D420" s="630">
        <f ca="1">IFERROR(__xludf.DUMMYFUNCTION("""COMPUTED_VALUE"""),0.000095)</f>
        <v>9.5000000000000005E-5</v>
      </c>
      <c r="E420" s="623">
        <f ca="1">IFERROR(__xludf.DUMMYFUNCTION("""COMPUTED_VALUE"""),953)</f>
        <v>953</v>
      </c>
      <c r="F420" s="624">
        <f ca="1">IFERROR(__xludf.DUMMYFUNCTION("""COMPUTED_VALUE"""),1470)</f>
        <v>1470</v>
      </c>
      <c r="G420" s="624" t="str">
        <f ca="1">IFERROR(__xludf.DUMMYFUNCTION("""COMPUTED_VALUE"""),"大統新創")</f>
        <v>大統新創</v>
      </c>
      <c r="H420" s="632">
        <f ca="1">IFERROR(__xludf.DUMMYFUNCTION("""COMPUTED_VALUE"""),0.000014)</f>
        <v>1.4E-5</v>
      </c>
      <c r="I420" s="62"/>
      <c r="J420" s="62"/>
      <c r="K420" s="63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</row>
    <row r="421" spans="1:41" ht="15.5">
      <c r="A421" s="623">
        <f ca="1">IFERROR(__xludf.DUMMYFUNCTION("""COMPUTED_VALUE"""),420)</f>
        <v>420</v>
      </c>
      <c r="B421" s="624">
        <f ca="1">IFERROR(__xludf.DUMMYFUNCTION("""COMPUTED_VALUE"""),3416)</f>
        <v>3416</v>
      </c>
      <c r="C421" s="624" t="str">
        <f ca="1">IFERROR(__xludf.DUMMYFUNCTION("""COMPUTED_VALUE"""),"融程電")</f>
        <v>融程電</v>
      </c>
      <c r="D421" s="630">
        <f ca="1">IFERROR(__xludf.DUMMYFUNCTION("""COMPUTED_VALUE"""),0.000095)</f>
        <v>9.5000000000000005E-5</v>
      </c>
      <c r="E421" s="623">
        <f ca="1">IFERROR(__xludf.DUMMYFUNCTION("""COMPUTED_VALUE"""),954)</f>
        <v>954</v>
      </c>
      <c r="F421" s="624">
        <f ca="1">IFERROR(__xludf.DUMMYFUNCTION("""COMPUTED_VALUE"""),1521)</f>
        <v>1521</v>
      </c>
      <c r="G421" s="624" t="str">
        <f ca="1">IFERROR(__xludf.DUMMYFUNCTION("""COMPUTED_VALUE"""),"大億")</f>
        <v>大億</v>
      </c>
      <c r="H421" s="632">
        <f ca="1">IFERROR(__xludf.DUMMYFUNCTION("""COMPUTED_VALUE"""),0.000014)</f>
        <v>1.4E-5</v>
      </c>
      <c r="I421" s="62"/>
      <c r="J421" s="62"/>
      <c r="K421" s="63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</row>
    <row r="422" spans="1:41" ht="15.5">
      <c r="A422" s="623">
        <f ca="1">IFERROR(__xludf.DUMMYFUNCTION("""COMPUTED_VALUE"""),421)</f>
        <v>421</v>
      </c>
      <c r="B422" s="624">
        <f ca="1">IFERROR(__xludf.DUMMYFUNCTION("""COMPUTED_VALUE"""),1707)</f>
        <v>1707</v>
      </c>
      <c r="C422" s="624" t="str">
        <f ca="1">IFERROR(__xludf.DUMMYFUNCTION("""COMPUTED_VALUE"""),"葡萄王")</f>
        <v>葡萄王</v>
      </c>
      <c r="D422" s="630">
        <f ca="1">IFERROR(__xludf.DUMMYFUNCTION("""COMPUTED_VALUE"""),0.000094)</f>
        <v>9.3999999999999994E-5</v>
      </c>
      <c r="E422" s="623">
        <f ca="1">IFERROR(__xludf.DUMMYFUNCTION("""COMPUTED_VALUE"""),955)</f>
        <v>955</v>
      </c>
      <c r="F422" s="624">
        <f ca="1">IFERROR(__xludf.DUMMYFUNCTION("""COMPUTED_VALUE"""),1587)</f>
        <v>1587</v>
      </c>
      <c r="G422" s="624" t="str">
        <f ca="1">IFERROR(__xludf.DUMMYFUNCTION("""COMPUTED_VALUE"""),"吉茂")</f>
        <v>吉茂</v>
      </c>
      <c r="H422" s="632">
        <f ca="1">IFERROR(__xludf.DUMMYFUNCTION("""COMPUTED_VALUE"""),0.000014)</f>
        <v>1.4E-5</v>
      </c>
      <c r="I422" s="62"/>
      <c r="J422" s="62"/>
      <c r="K422" s="63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</row>
    <row r="423" spans="1:41" ht="15.5">
      <c r="A423" s="623">
        <f ca="1">IFERROR(__xludf.DUMMYFUNCTION("""COMPUTED_VALUE"""),422)</f>
        <v>422</v>
      </c>
      <c r="B423" s="624">
        <f ca="1">IFERROR(__xludf.DUMMYFUNCTION("""COMPUTED_VALUE"""),2546)</f>
        <v>2546</v>
      </c>
      <c r="C423" s="624" t="str">
        <f ca="1">IFERROR(__xludf.DUMMYFUNCTION("""COMPUTED_VALUE"""),"根基")</f>
        <v>根基</v>
      </c>
      <c r="D423" s="630">
        <f ca="1">IFERROR(__xludf.DUMMYFUNCTION("""COMPUTED_VALUE"""),0.000094)</f>
        <v>9.3999999999999994E-5</v>
      </c>
      <c r="E423" s="623">
        <f ca="1">IFERROR(__xludf.DUMMYFUNCTION("""COMPUTED_VALUE"""),956)</f>
        <v>956</v>
      </c>
      <c r="F423" s="624">
        <f ca="1">IFERROR(__xludf.DUMMYFUNCTION("""COMPUTED_VALUE"""),3021)</f>
        <v>3021</v>
      </c>
      <c r="G423" s="624" t="str">
        <f ca="1">IFERROR(__xludf.DUMMYFUNCTION("""COMPUTED_VALUE"""),"鴻名")</f>
        <v>鴻名</v>
      </c>
      <c r="H423" s="632">
        <f ca="1">IFERROR(__xludf.DUMMYFUNCTION("""COMPUTED_VALUE"""),0.000014)</f>
        <v>1.4E-5</v>
      </c>
      <c r="I423" s="62"/>
      <c r="J423" s="62"/>
      <c r="K423" s="63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</row>
    <row r="424" spans="1:41" ht="15.5">
      <c r="A424" s="623">
        <f ca="1">IFERROR(__xludf.DUMMYFUNCTION("""COMPUTED_VALUE"""),423)</f>
        <v>423</v>
      </c>
      <c r="B424" s="624">
        <f ca="1">IFERROR(__xludf.DUMMYFUNCTION("""COMPUTED_VALUE"""),3209)</f>
        <v>3209</v>
      </c>
      <c r="C424" s="624" t="str">
        <f ca="1">IFERROR(__xludf.DUMMYFUNCTION("""COMPUTED_VALUE"""),"全科")</f>
        <v>全科</v>
      </c>
      <c r="D424" s="630">
        <f ca="1">IFERROR(__xludf.DUMMYFUNCTION("""COMPUTED_VALUE"""),0.000094)</f>
        <v>9.3999999999999994E-5</v>
      </c>
      <c r="E424" s="623">
        <f ca="1">IFERROR(__xludf.DUMMYFUNCTION("""COMPUTED_VALUE"""),957)</f>
        <v>957</v>
      </c>
      <c r="F424" s="624">
        <f ca="1">IFERROR(__xludf.DUMMYFUNCTION("""COMPUTED_VALUE"""),2642)</f>
        <v>2642</v>
      </c>
      <c r="G424" s="624" t="str">
        <f ca="1">IFERROR(__xludf.DUMMYFUNCTION("""COMPUTED_VALUE"""),"宅配通")</f>
        <v>宅配通</v>
      </c>
      <c r="H424" s="632">
        <f ca="1">IFERROR(__xludf.DUMMYFUNCTION("""COMPUTED_VALUE"""),0.000014)</f>
        <v>1.4E-5</v>
      </c>
      <c r="I424" s="62"/>
      <c r="J424" s="62"/>
      <c r="K424" s="63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</row>
    <row r="425" spans="1:41" ht="15.5">
      <c r="A425" s="623">
        <f ca="1">IFERROR(__xludf.DUMMYFUNCTION("""COMPUTED_VALUE"""),424)</f>
        <v>424</v>
      </c>
      <c r="B425" s="624">
        <f ca="1">IFERROR(__xludf.DUMMYFUNCTION("""COMPUTED_VALUE"""),2524)</f>
        <v>2524</v>
      </c>
      <c r="C425" s="624" t="str">
        <f ca="1">IFERROR(__xludf.DUMMYFUNCTION("""COMPUTED_VALUE"""),"京城")</f>
        <v>京城</v>
      </c>
      <c r="D425" s="630">
        <f ca="1">IFERROR(__xludf.DUMMYFUNCTION("""COMPUTED_VALUE"""),0.000093)</f>
        <v>9.2999999999999997E-5</v>
      </c>
      <c r="E425" s="623">
        <f ca="1">IFERROR(__xludf.DUMMYFUNCTION("""COMPUTED_VALUE"""),958)</f>
        <v>958</v>
      </c>
      <c r="F425" s="624">
        <f ca="1">IFERROR(__xludf.DUMMYFUNCTION("""COMPUTED_VALUE"""),2702)</f>
        <v>2702</v>
      </c>
      <c r="G425" s="624" t="str">
        <f ca="1">IFERROR(__xludf.DUMMYFUNCTION("""COMPUTED_VALUE"""),"華園")</f>
        <v>華園</v>
      </c>
      <c r="H425" s="632">
        <f ca="1">IFERROR(__xludf.DUMMYFUNCTION("""COMPUTED_VALUE"""),0.000014)</f>
        <v>1.4E-5</v>
      </c>
      <c r="I425" s="62"/>
      <c r="J425" s="62"/>
      <c r="K425" s="63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</row>
    <row r="426" spans="1:41" ht="15.5">
      <c r="A426" s="623">
        <f ca="1">IFERROR(__xludf.DUMMYFUNCTION("""COMPUTED_VALUE"""),425)</f>
        <v>425</v>
      </c>
      <c r="B426" s="624">
        <f ca="1">IFERROR(__xludf.DUMMYFUNCTION("""COMPUTED_VALUE"""),1909)</f>
        <v>1909</v>
      </c>
      <c r="C426" s="624" t="str">
        <f ca="1">IFERROR(__xludf.DUMMYFUNCTION("""COMPUTED_VALUE"""),"榮成")</f>
        <v>榮成</v>
      </c>
      <c r="D426" s="630">
        <f ca="1">IFERROR(__xludf.DUMMYFUNCTION("""COMPUTED_VALUE"""),0.000093)</f>
        <v>9.2999999999999997E-5</v>
      </c>
      <c r="E426" s="623">
        <f ca="1">IFERROR(__xludf.DUMMYFUNCTION("""COMPUTED_VALUE"""),959)</f>
        <v>959</v>
      </c>
      <c r="F426" s="624">
        <f ca="1">IFERROR(__xludf.DUMMYFUNCTION("""COMPUTED_VALUE"""),2430)</f>
        <v>2430</v>
      </c>
      <c r="G426" s="624" t="str">
        <f ca="1">IFERROR(__xludf.DUMMYFUNCTION("""COMPUTED_VALUE"""),"燦坤")</f>
        <v>燦坤</v>
      </c>
      <c r="H426" s="632">
        <f ca="1">IFERROR(__xludf.DUMMYFUNCTION("""COMPUTED_VALUE"""),0.000014)</f>
        <v>1.4E-5</v>
      </c>
      <c r="I426" s="62"/>
      <c r="J426" s="62"/>
      <c r="K426" s="63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</row>
    <row r="427" spans="1:41" ht="15.5">
      <c r="A427" s="623">
        <f ca="1">IFERROR(__xludf.DUMMYFUNCTION("""COMPUTED_VALUE"""),426)</f>
        <v>426</v>
      </c>
      <c r="B427" s="624">
        <f ca="1">IFERROR(__xludf.DUMMYFUNCTION("""COMPUTED_VALUE"""),2231)</f>
        <v>2231</v>
      </c>
      <c r="C427" s="624" t="str">
        <f ca="1">IFERROR(__xludf.DUMMYFUNCTION("""COMPUTED_VALUE"""),"為升")</f>
        <v>為升</v>
      </c>
      <c r="D427" s="630">
        <f ca="1">IFERROR(__xludf.DUMMYFUNCTION("""COMPUTED_VALUE"""),0.000093)</f>
        <v>9.2999999999999997E-5</v>
      </c>
      <c r="E427" s="623">
        <f ca="1">IFERROR(__xludf.DUMMYFUNCTION("""COMPUTED_VALUE"""),960)</f>
        <v>960</v>
      </c>
      <c r="F427" s="624">
        <f ca="1">IFERROR(__xludf.DUMMYFUNCTION("""COMPUTED_VALUE"""),2390)</f>
        <v>2390</v>
      </c>
      <c r="G427" s="624" t="str">
        <f ca="1">IFERROR(__xludf.DUMMYFUNCTION("""COMPUTED_VALUE"""),"云辰")</f>
        <v>云辰</v>
      </c>
      <c r="H427" s="632">
        <f ca="1">IFERROR(__xludf.DUMMYFUNCTION("""COMPUTED_VALUE"""),0.000014)</f>
        <v>1.4E-5</v>
      </c>
      <c r="I427" s="62"/>
      <c r="J427" s="62"/>
      <c r="K427" s="63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</row>
    <row r="428" spans="1:41" ht="15.5">
      <c r="A428" s="623">
        <f ca="1">IFERROR(__xludf.DUMMYFUNCTION("""COMPUTED_VALUE"""),427)</f>
        <v>427</v>
      </c>
      <c r="B428" s="624">
        <f ca="1">IFERROR(__xludf.DUMMYFUNCTION("""COMPUTED_VALUE"""),1536)</f>
        <v>1536</v>
      </c>
      <c r="C428" s="624" t="str">
        <f ca="1">IFERROR(__xludf.DUMMYFUNCTION("""COMPUTED_VALUE"""),"和大")</f>
        <v>和大</v>
      </c>
      <c r="D428" s="630">
        <f ca="1">IFERROR(__xludf.DUMMYFUNCTION("""COMPUTED_VALUE"""),0.000093)</f>
        <v>9.2999999999999997E-5</v>
      </c>
      <c r="E428" s="623">
        <f ca="1">IFERROR(__xludf.DUMMYFUNCTION("""COMPUTED_VALUE"""),961)</f>
        <v>961</v>
      </c>
      <c r="F428" s="624">
        <f ca="1">IFERROR(__xludf.DUMMYFUNCTION("""COMPUTED_VALUE"""),2432)</f>
        <v>2432</v>
      </c>
      <c r="G428" s="624" t="str">
        <f ca="1">IFERROR(__xludf.DUMMYFUNCTION("""COMPUTED_VALUE"""),"倚天酷碁-創")</f>
        <v>倚天酷碁-創</v>
      </c>
      <c r="H428" s="632">
        <f ca="1">IFERROR(__xludf.DUMMYFUNCTION("""COMPUTED_VALUE"""),0.000013)</f>
        <v>1.2999999999999999E-5</v>
      </c>
      <c r="I428" s="62"/>
      <c r="J428" s="62"/>
      <c r="K428" s="63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</row>
    <row r="429" spans="1:41" ht="15.5">
      <c r="A429" s="623">
        <f ca="1">IFERROR(__xludf.DUMMYFUNCTION("""COMPUTED_VALUE"""),428)</f>
        <v>428</v>
      </c>
      <c r="B429" s="624">
        <f ca="1">IFERROR(__xludf.DUMMYFUNCTION("""COMPUTED_VALUE"""),1714)</f>
        <v>1714</v>
      </c>
      <c r="C429" s="624" t="str">
        <f ca="1">IFERROR(__xludf.DUMMYFUNCTION("""COMPUTED_VALUE"""),"和桐")</f>
        <v>和桐</v>
      </c>
      <c r="D429" s="630">
        <f ca="1">IFERROR(__xludf.DUMMYFUNCTION("""COMPUTED_VALUE"""),0.000092)</f>
        <v>9.2E-5</v>
      </c>
      <c r="E429" s="623">
        <f ca="1">IFERROR(__xludf.DUMMYFUNCTION("""COMPUTED_VALUE"""),962)</f>
        <v>962</v>
      </c>
      <c r="F429" s="624">
        <f ca="1">IFERROR(__xludf.DUMMYFUNCTION("""COMPUTED_VALUE"""),2491)</f>
        <v>2491</v>
      </c>
      <c r="G429" s="624" t="str">
        <f ca="1">IFERROR(__xludf.DUMMYFUNCTION("""COMPUTED_VALUE"""),"吉祥全")</f>
        <v>吉祥全</v>
      </c>
      <c r="H429" s="632">
        <f ca="1">IFERROR(__xludf.DUMMYFUNCTION("""COMPUTED_VALUE"""),0.000013)</f>
        <v>1.2999999999999999E-5</v>
      </c>
      <c r="I429" s="62"/>
      <c r="J429" s="62"/>
      <c r="K429" s="63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</row>
    <row r="430" spans="1:41" ht="15.5">
      <c r="A430" s="623">
        <f ca="1">IFERROR(__xludf.DUMMYFUNCTION("""COMPUTED_VALUE"""),429)</f>
        <v>429</v>
      </c>
      <c r="B430" s="624">
        <f ca="1">IFERROR(__xludf.DUMMYFUNCTION("""COMPUTED_VALUE"""),5243)</f>
        <v>5243</v>
      </c>
      <c r="C430" s="624" t="str">
        <f ca="1">IFERROR(__xludf.DUMMYFUNCTION("""COMPUTED_VALUE"""),"乙盛-KY")</f>
        <v>乙盛-KY</v>
      </c>
      <c r="D430" s="630">
        <f ca="1">IFERROR(__xludf.DUMMYFUNCTION("""COMPUTED_VALUE"""),0.000092)</f>
        <v>9.2E-5</v>
      </c>
      <c r="E430" s="623">
        <f ca="1">IFERROR(__xludf.DUMMYFUNCTION("""COMPUTED_VALUE"""),963)</f>
        <v>963</v>
      </c>
      <c r="F430" s="624">
        <f ca="1">IFERROR(__xludf.DUMMYFUNCTION("""COMPUTED_VALUE"""),2616)</f>
        <v>2616</v>
      </c>
      <c r="G430" s="624" t="str">
        <f ca="1">IFERROR(__xludf.DUMMYFUNCTION("""COMPUTED_VALUE"""),"山隆")</f>
        <v>山隆</v>
      </c>
      <c r="H430" s="632">
        <f ca="1">IFERROR(__xludf.DUMMYFUNCTION("""COMPUTED_VALUE"""),0.000013)</f>
        <v>1.2999999999999999E-5</v>
      </c>
      <c r="I430" s="62"/>
      <c r="J430" s="62"/>
      <c r="K430" s="63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</row>
    <row r="431" spans="1:41" ht="15.5">
      <c r="A431" s="623">
        <f ca="1">IFERROR(__xludf.DUMMYFUNCTION("""COMPUTED_VALUE"""),430)</f>
        <v>430</v>
      </c>
      <c r="B431" s="624">
        <f ca="1">IFERROR(__xludf.DUMMYFUNCTION("""COMPUTED_VALUE"""),5288)</f>
        <v>5288</v>
      </c>
      <c r="C431" s="624" t="str">
        <f ca="1">IFERROR(__xludf.DUMMYFUNCTION("""COMPUTED_VALUE"""),"豐祥-KY")</f>
        <v>豐祥-KY</v>
      </c>
      <c r="D431" s="630">
        <f ca="1">IFERROR(__xludf.DUMMYFUNCTION("""COMPUTED_VALUE"""),0.000091)</f>
        <v>9.1000000000000003E-5</v>
      </c>
      <c r="E431" s="623">
        <f ca="1">IFERROR(__xludf.DUMMYFUNCTION("""COMPUTED_VALUE"""),964)</f>
        <v>964</v>
      </c>
      <c r="F431" s="624">
        <f ca="1">IFERROR(__xludf.DUMMYFUNCTION("""COMPUTED_VALUE"""),2901)</f>
        <v>2901</v>
      </c>
      <c r="G431" s="624" t="str">
        <f ca="1">IFERROR(__xludf.DUMMYFUNCTION("""COMPUTED_VALUE"""),"欣欣")</f>
        <v>欣欣</v>
      </c>
      <c r="H431" s="632">
        <f ca="1">IFERROR(__xludf.DUMMYFUNCTION("""COMPUTED_VALUE"""),0.000013)</f>
        <v>1.2999999999999999E-5</v>
      </c>
      <c r="I431" s="62"/>
      <c r="J431" s="62"/>
      <c r="K431" s="63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</row>
    <row r="432" spans="1:41" ht="15.5">
      <c r="A432" s="623">
        <f ca="1">IFERROR(__xludf.DUMMYFUNCTION("""COMPUTED_VALUE"""),431)</f>
        <v>431</v>
      </c>
      <c r="B432" s="624">
        <f ca="1">IFERROR(__xludf.DUMMYFUNCTION("""COMPUTED_VALUE"""),2332)</f>
        <v>2332</v>
      </c>
      <c r="C432" s="624" t="str">
        <f ca="1">IFERROR(__xludf.DUMMYFUNCTION("""COMPUTED_VALUE"""),"友訊")</f>
        <v>友訊</v>
      </c>
      <c r="D432" s="630">
        <f ca="1">IFERROR(__xludf.DUMMYFUNCTION("""COMPUTED_VALUE"""),0.000091)</f>
        <v>9.1000000000000003E-5</v>
      </c>
      <c r="E432" s="623">
        <f ca="1">IFERROR(__xludf.DUMMYFUNCTION("""COMPUTED_VALUE"""),965)</f>
        <v>965</v>
      </c>
      <c r="F432" s="624">
        <f ca="1">IFERROR(__xludf.DUMMYFUNCTION("""COMPUTED_VALUE"""),1475)</f>
        <v>1475</v>
      </c>
      <c r="G432" s="624" t="str">
        <f ca="1">IFERROR(__xludf.DUMMYFUNCTION("""COMPUTED_VALUE"""),"業旺")</f>
        <v>業旺</v>
      </c>
      <c r="H432" s="632">
        <f ca="1">IFERROR(__xludf.DUMMYFUNCTION("""COMPUTED_VALUE"""),0.000013)</f>
        <v>1.2999999999999999E-5</v>
      </c>
      <c r="I432" s="62"/>
      <c r="J432" s="62"/>
      <c r="K432" s="63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</row>
    <row r="433" spans="1:41" ht="15.5">
      <c r="A433" s="623">
        <f ca="1">IFERROR(__xludf.DUMMYFUNCTION("""COMPUTED_VALUE"""),432)</f>
        <v>432</v>
      </c>
      <c r="B433" s="624">
        <f ca="1">IFERROR(__xludf.DUMMYFUNCTION("""COMPUTED_VALUE"""),2373)</f>
        <v>2373</v>
      </c>
      <c r="C433" s="624" t="str">
        <f ca="1">IFERROR(__xludf.DUMMYFUNCTION("""COMPUTED_VALUE"""),"震旦行")</f>
        <v>震旦行</v>
      </c>
      <c r="D433" s="630">
        <f ca="1">IFERROR(__xludf.DUMMYFUNCTION("""COMPUTED_VALUE"""),0.000091)</f>
        <v>9.1000000000000003E-5</v>
      </c>
      <c r="E433" s="623">
        <f ca="1">IFERROR(__xludf.DUMMYFUNCTION("""COMPUTED_VALUE"""),966)</f>
        <v>966</v>
      </c>
      <c r="F433" s="624">
        <f ca="1">IFERROR(__xludf.DUMMYFUNCTION("""COMPUTED_VALUE"""),1446)</f>
        <v>1446</v>
      </c>
      <c r="G433" s="624" t="str">
        <f ca="1">IFERROR(__xludf.DUMMYFUNCTION("""COMPUTED_VALUE"""),"宏和")</f>
        <v>宏和</v>
      </c>
      <c r="H433" s="632">
        <f ca="1">IFERROR(__xludf.DUMMYFUNCTION("""COMPUTED_VALUE"""),0.000013)</f>
        <v>1.2999999999999999E-5</v>
      </c>
      <c r="I433" s="62"/>
      <c r="J433" s="62"/>
      <c r="K433" s="63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</row>
    <row r="434" spans="1:41" ht="15.5">
      <c r="A434" s="623">
        <f ca="1">IFERROR(__xludf.DUMMYFUNCTION("""COMPUTED_VALUE"""),433)</f>
        <v>433</v>
      </c>
      <c r="B434" s="624">
        <f ca="1">IFERROR(__xludf.DUMMYFUNCTION("""COMPUTED_VALUE"""),2375)</f>
        <v>2375</v>
      </c>
      <c r="C434" s="624" t="str">
        <f ca="1">IFERROR(__xludf.DUMMYFUNCTION("""COMPUTED_VALUE"""),"凱美")</f>
        <v>凱美</v>
      </c>
      <c r="D434" s="630">
        <f ca="1">IFERROR(__xludf.DUMMYFUNCTION("""COMPUTED_VALUE"""),0.00009)</f>
        <v>9.0000000000000006E-5</v>
      </c>
      <c r="E434" s="623">
        <f ca="1">IFERROR(__xludf.DUMMYFUNCTION("""COMPUTED_VALUE"""),967)</f>
        <v>967</v>
      </c>
      <c r="F434" s="624">
        <f ca="1">IFERROR(__xludf.DUMMYFUNCTION("""COMPUTED_VALUE"""),1323)</f>
        <v>1323</v>
      </c>
      <c r="G434" s="624" t="str">
        <f ca="1">IFERROR(__xludf.DUMMYFUNCTION("""COMPUTED_VALUE"""),"永裕")</f>
        <v>永裕</v>
      </c>
      <c r="H434" s="632">
        <f ca="1">IFERROR(__xludf.DUMMYFUNCTION("""COMPUTED_VALUE"""),0.000013)</f>
        <v>1.2999999999999999E-5</v>
      </c>
      <c r="I434" s="62"/>
      <c r="J434" s="62"/>
      <c r="K434" s="63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</row>
    <row r="435" spans="1:41" ht="15.5">
      <c r="A435" s="623">
        <f ca="1">IFERROR(__xludf.DUMMYFUNCTION("""COMPUTED_VALUE"""),434)</f>
        <v>434</v>
      </c>
      <c r="B435" s="624">
        <f ca="1">IFERROR(__xludf.DUMMYFUNCTION("""COMPUTED_VALUE"""),1726)</f>
        <v>1726</v>
      </c>
      <c r="C435" s="624" t="str">
        <f ca="1">IFERROR(__xludf.DUMMYFUNCTION("""COMPUTED_VALUE"""),"永記")</f>
        <v>永記</v>
      </c>
      <c r="D435" s="630">
        <f ca="1">IFERROR(__xludf.DUMMYFUNCTION("""COMPUTED_VALUE"""),0.00009)</f>
        <v>9.0000000000000006E-5</v>
      </c>
      <c r="E435" s="623">
        <f ca="1">IFERROR(__xludf.DUMMYFUNCTION("""COMPUTED_VALUE"""),968)</f>
        <v>968</v>
      </c>
      <c r="F435" s="624">
        <f ca="1">IFERROR(__xludf.DUMMYFUNCTION("""COMPUTED_VALUE"""),6591)</f>
        <v>6591</v>
      </c>
      <c r="G435" s="624" t="str">
        <f ca="1">IFERROR(__xludf.DUMMYFUNCTION("""COMPUTED_VALUE"""),"動力-KY")</f>
        <v>動力-KY</v>
      </c>
      <c r="H435" s="632">
        <f ca="1">IFERROR(__xludf.DUMMYFUNCTION("""COMPUTED_VALUE"""),0.000013)</f>
        <v>1.2999999999999999E-5</v>
      </c>
      <c r="I435" s="62"/>
      <c r="J435" s="62"/>
      <c r="K435" s="63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</row>
    <row r="436" spans="1:41" ht="15.5">
      <c r="A436" s="623">
        <f ca="1">IFERROR(__xludf.DUMMYFUNCTION("""COMPUTED_VALUE"""),435)</f>
        <v>435</v>
      </c>
      <c r="B436" s="624">
        <f ca="1">IFERROR(__xludf.DUMMYFUNCTION("""COMPUTED_VALUE"""),2009)</f>
        <v>2009</v>
      </c>
      <c r="C436" s="624" t="str">
        <f ca="1">IFERROR(__xludf.DUMMYFUNCTION("""COMPUTED_VALUE"""),"第一銅")</f>
        <v>第一銅</v>
      </c>
      <c r="D436" s="630">
        <f ca="1">IFERROR(__xludf.DUMMYFUNCTION("""COMPUTED_VALUE"""),0.00009)</f>
        <v>9.0000000000000006E-5</v>
      </c>
      <c r="E436" s="623">
        <f ca="1">IFERROR(__xludf.DUMMYFUNCTION("""COMPUTED_VALUE"""),969)</f>
        <v>969</v>
      </c>
      <c r="F436" s="624">
        <f ca="1">IFERROR(__xludf.DUMMYFUNCTION("""COMPUTED_VALUE"""),4807)</f>
        <v>4807</v>
      </c>
      <c r="G436" s="624" t="str">
        <f ca="1">IFERROR(__xludf.DUMMYFUNCTION("""COMPUTED_VALUE"""),"日成-KY")</f>
        <v>日成-KY</v>
      </c>
      <c r="H436" s="632">
        <f ca="1">IFERROR(__xludf.DUMMYFUNCTION("""COMPUTED_VALUE"""),0.000013)</f>
        <v>1.2999999999999999E-5</v>
      </c>
      <c r="I436" s="62"/>
      <c r="J436" s="62"/>
      <c r="K436" s="63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</row>
    <row r="437" spans="1:41" ht="15.5">
      <c r="A437" s="623">
        <f ca="1">IFERROR(__xludf.DUMMYFUNCTION("""COMPUTED_VALUE"""),436)</f>
        <v>436</v>
      </c>
      <c r="B437" s="624">
        <f ca="1">IFERROR(__xludf.DUMMYFUNCTION("""COMPUTED_VALUE"""),1307)</f>
        <v>1307</v>
      </c>
      <c r="C437" s="624" t="str">
        <f ca="1">IFERROR(__xludf.DUMMYFUNCTION("""COMPUTED_VALUE"""),"三芳")</f>
        <v>三芳</v>
      </c>
      <c r="D437" s="630">
        <f ca="1">IFERROR(__xludf.DUMMYFUNCTION("""COMPUTED_VALUE"""),0.00009)</f>
        <v>9.0000000000000006E-5</v>
      </c>
      <c r="E437" s="623">
        <f ca="1">IFERROR(__xludf.DUMMYFUNCTION("""COMPUTED_VALUE"""),970)</f>
        <v>970</v>
      </c>
      <c r="F437" s="624">
        <f ca="1">IFERROR(__xludf.DUMMYFUNCTION("""COMPUTED_VALUE"""),9944)</f>
        <v>9944</v>
      </c>
      <c r="G437" s="624" t="str">
        <f ca="1">IFERROR(__xludf.DUMMYFUNCTION("""COMPUTED_VALUE"""),"新麗")</f>
        <v>新麗</v>
      </c>
      <c r="H437" s="632">
        <f ca="1">IFERROR(__xludf.DUMMYFUNCTION("""COMPUTED_VALUE"""),0.000013)</f>
        <v>1.2999999999999999E-5</v>
      </c>
      <c r="I437" s="62"/>
      <c r="J437" s="62"/>
      <c r="K437" s="63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</row>
    <row r="438" spans="1:41" ht="15.5">
      <c r="A438" s="623">
        <f ca="1">IFERROR(__xludf.DUMMYFUNCTION("""COMPUTED_VALUE"""),437)</f>
        <v>437</v>
      </c>
      <c r="B438" s="624">
        <f ca="1">IFERROR(__xludf.DUMMYFUNCTION("""COMPUTED_VALUE"""),2545)</f>
        <v>2545</v>
      </c>
      <c r="C438" s="624" t="str">
        <f ca="1">IFERROR(__xludf.DUMMYFUNCTION("""COMPUTED_VALUE"""),"皇翔")</f>
        <v>皇翔</v>
      </c>
      <c r="D438" s="630">
        <f ca="1">IFERROR(__xludf.DUMMYFUNCTION("""COMPUTED_VALUE"""),0.000089)</f>
        <v>8.8999999999999995E-5</v>
      </c>
      <c r="E438" s="623">
        <f ca="1">IFERROR(__xludf.DUMMYFUNCTION("""COMPUTED_VALUE"""),971)</f>
        <v>971</v>
      </c>
      <c r="F438" s="624">
        <f ca="1">IFERROR(__xludf.DUMMYFUNCTION("""COMPUTED_VALUE"""),6921)</f>
        <v>6921</v>
      </c>
      <c r="G438" s="624" t="str">
        <f ca="1">IFERROR(__xludf.DUMMYFUNCTION("""COMPUTED_VALUE"""),"嘉雨思-創")</f>
        <v>嘉雨思-創</v>
      </c>
      <c r="H438" s="632">
        <f ca="1">IFERROR(__xludf.DUMMYFUNCTION("""COMPUTED_VALUE"""),0.000013)</f>
        <v>1.2999999999999999E-5</v>
      </c>
      <c r="I438" s="62"/>
      <c r="J438" s="62"/>
      <c r="K438" s="63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</row>
    <row r="439" spans="1:41" ht="15.5">
      <c r="A439" s="623">
        <f ca="1">IFERROR(__xludf.DUMMYFUNCTION("""COMPUTED_VALUE"""),438)</f>
        <v>438</v>
      </c>
      <c r="B439" s="624">
        <f ca="1">IFERROR(__xludf.DUMMYFUNCTION("""COMPUTED_VALUE"""),6189)</f>
        <v>6189</v>
      </c>
      <c r="C439" s="624" t="str">
        <f ca="1">IFERROR(__xludf.DUMMYFUNCTION("""COMPUTED_VALUE"""),"豐藝")</f>
        <v>豐藝</v>
      </c>
      <c r="D439" s="630">
        <f ca="1">IFERROR(__xludf.DUMMYFUNCTION("""COMPUTED_VALUE"""),0.000089)</f>
        <v>8.8999999999999995E-5</v>
      </c>
      <c r="E439" s="623">
        <f ca="1">IFERROR(__xludf.DUMMYFUNCTION("""COMPUTED_VALUE"""),972)</f>
        <v>972</v>
      </c>
      <c r="F439" s="624">
        <f ca="1">IFERROR(__xludf.DUMMYFUNCTION("""COMPUTED_VALUE"""),7803)</f>
        <v>7803</v>
      </c>
      <c r="G439" s="624" t="str">
        <f ca="1">IFERROR(__xludf.DUMMYFUNCTION("""COMPUTED_VALUE"""),"雲象科技-創")</f>
        <v>雲象科技-創</v>
      </c>
      <c r="H439" s="632">
        <f ca="1">IFERROR(__xludf.DUMMYFUNCTION("""COMPUTED_VALUE"""),0.000013)</f>
        <v>1.2999999999999999E-5</v>
      </c>
      <c r="I439" s="62"/>
      <c r="J439" s="62"/>
      <c r="K439" s="63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</row>
    <row r="440" spans="1:41" ht="15.5">
      <c r="A440" s="623">
        <f ca="1">IFERROR(__xludf.DUMMYFUNCTION("""COMPUTED_VALUE"""),439)</f>
        <v>439</v>
      </c>
      <c r="B440" s="624">
        <f ca="1">IFERROR(__xludf.DUMMYFUNCTION("""COMPUTED_VALUE"""),6957)</f>
        <v>6957</v>
      </c>
      <c r="C440" s="624" t="str">
        <f ca="1">IFERROR(__xludf.DUMMYFUNCTION("""COMPUTED_VALUE"""),"裕慶-KY")</f>
        <v>裕慶-KY</v>
      </c>
      <c r="D440" s="630">
        <f ca="1">IFERROR(__xludf.DUMMYFUNCTION("""COMPUTED_VALUE"""),0.000089)</f>
        <v>8.8999999999999995E-5</v>
      </c>
      <c r="E440" s="623">
        <f ca="1">IFERROR(__xludf.DUMMYFUNCTION("""COMPUTED_VALUE"""),973)</f>
        <v>973</v>
      </c>
      <c r="F440" s="624">
        <f ca="1">IFERROR(__xludf.DUMMYFUNCTION("""COMPUTED_VALUE"""),4581)</f>
        <v>4581</v>
      </c>
      <c r="G440" s="624" t="str">
        <f ca="1">IFERROR(__xludf.DUMMYFUNCTION("""COMPUTED_VALUE"""),"光隆精密-KY")</f>
        <v>光隆精密-KY</v>
      </c>
      <c r="H440" s="632">
        <f ca="1">IFERROR(__xludf.DUMMYFUNCTION("""COMPUTED_VALUE"""),0.000012)</f>
        <v>1.2E-5</v>
      </c>
      <c r="I440" s="62"/>
      <c r="J440" s="62"/>
      <c r="K440" s="63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</row>
    <row r="441" spans="1:41" ht="15.5">
      <c r="A441" s="623">
        <f ca="1">IFERROR(__xludf.DUMMYFUNCTION("""COMPUTED_VALUE"""),440)</f>
        <v>440</v>
      </c>
      <c r="B441" s="624">
        <f ca="1">IFERROR(__xludf.DUMMYFUNCTION("""COMPUTED_VALUE"""),6965)</f>
        <v>6965</v>
      </c>
      <c r="C441" s="624" t="str">
        <f ca="1">IFERROR(__xludf.DUMMYFUNCTION("""COMPUTED_VALUE"""),"中傑-KY")</f>
        <v>中傑-KY</v>
      </c>
      <c r="D441" s="630">
        <f ca="1">IFERROR(__xludf.DUMMYFUNCTION("""COMPUTED_VALUE"""),0.000088)</f>
        <v>8.7999999999999998E-5</v>
      </c>
      <c r="E441" s="623">
        <f ca="1">IFERROR(__xludf.DUMMYFUNCTION("""COMPUTED_VALUE"""),974)</f>
        <v>974</v>
      </c>
      <c r="F441" s="624">
        <f ca="1">IFERROR(__xludf.DUMMYFUNCTION("""COMPUTED_VALUE"""),3607)</f>
        <v>3607</v>
      </c>
      <c r="G441" s="624" t="str">
        <f ca="1">IFERROR(__xludf.DUMMYFUNCTION("""COMPUTED_VALUE"""),"谷崧")</f>
        <v>谷崧</v>
      </c>
      <c r="H441" s="632">
        <f ca="1">IFERROR(__xludf.DUMMYFUNCTION("""COMPUTED_VALUE"""),0.000012)</f>
        <v>1.2E-5</v>
      </c>
      <c r="I441" s="62"/>
      <c r="J441" s="62"/>
      <c r="K441" s="63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</row>
    <row r="442" spans="1:41" ht="15.5">
      <c r="A442" s="623">
        <f ca="1">IFERROR(__xludf.DUMMYFUNCTION("""COMPUTED_VALUE"""),441)</f>
        <v>441</v>
      </c>
      <c r="B442" s="624">
        <f ca="1">IFERROR(__xludf.DUMMYFUNCTION("""COMPUTED_VALUE"""),6443)</f>
        <v>6443</v>
      </c>
      <c r="C442" s="624" t="str">
        <f ca="1">IFERROR(__xludf.DUMMYFUNCTION("""COMPUTED_VALUE"""),"元晶")</f>
        <v>元晶</v>
      </c>
      <c r="D442" s="630">
        <f ca="1">IFERROR(__xludf.DUMMYFUNCTION("""COMPUTED_VALUE"""),0.000087)</f>
        <v>8.7000000000000001E-5</v>
      </c>
      <c r="E442" s="623">
        <f ca="1">IFERROR(__xludf.DUMMYFUNCTION("""COMPUTED_VALUE"""),975)</f>
        <v>975</v>
      </c>
      <c r="F442" s="624">
        <f ca="1">IFERROR(__xludf.DUMMYFUNCTION("""COMPUTED_VALUE"""),1410)</f>
        <v>1410</v>
      </c>
      <c r="G442" s="624" t="str">
        <f ca="1">IFERROR(__xludf.DUMMYFUNCTION("""COMPUTED_VALUE"""),"南染")</f>
        <v>南染</v>
      </c>
      <c r="H442" s="632">
        <f ca="1">IFERROR(__xludf.DUMMYFUNCTION("""COMPUTED_VALUE"""),0.000012)</f>
        <v>1.2E-5</v>
      </c>
      <c r="I442" s="62"/>
      <c r="J442" s="62"/>
      <c r="K442" s="63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</row>
    <row r="443" spans="1:41" ht="15.5">
      <c r="A443" s="623">
        <f ca="1">IFERROR(__xludf.DUMMYFUNCTION("""COMPUTED_VALUE"""),442)</f>
        <v>442</v>
      </c>
      <c r="B443" s="624">
        <f ca="1">IFERROR(__xludf.DUMMYFUNCTION("""COMPUTED_VALUE"""),4736)</f>
        <v>4736</v>
      </c>
      <c r="C443" s="624" t="str">
        <f ca="1">IFERROR(__xludf.DUMMYFUNCTION("""COMPUTED_VALUE"""),"泰博")</f>
        <v>泰博</v>
      </c>
      <c r="D443" s="630">
        <f ca="1">IFERROR(__xludf.DUMMYFUNCTION("""COMPUTED_VALUE"""),0.000087)</f>
        <v>8.7000000000000001E-5</v>
      </c>
      <c r="E443" s="623">
        <f ca="1">IFERROR(__xludf.DUMMYFUNCTION("""COMPUTED_VALUE"""),976)</f>
        <v>976</v>
      </c>
      <c r="F443" s="624">
        <f ca="1">IFERROR(__xludf.DUMMYFUNCTION("""COMPUTED_VALUE"""),1454)</f>
        <v>1454</v>
      </c>
      <c r="G443" s="624" t="str">
        <f ca="1">IFERROR(__xludf.DUMMYFUNCTION("""COMPUTED_VALUE"""),"台富")</f>
        <v>台富</v>
      </c>
      <c r="H443" s="632">
        <f ca="1">IFERROR(__xludf.DUMMYFUNCTION("""COMPUTED_VALUE"""),0.000012)</f>
        <v>1.2E-5</v>
      </c>
      <c r="I443" s="62"/>
      <c r="J443" s="62"/>
      <c r="K443" s="63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</row>
    <row r="444" spans="1:41" ht="15.5">
      <c r="A444" s="623">
        <f ca="1">IFERROR(__xludf.DUMMYFUNCTION("""COMPUTED_VALUE"""),443)</f>
        <v>443</v>
      </c>
      <c r="B444" s="624">
        <f ca="1">IFERROR(__xludf.DUMMYFUNCTION("""COMPUTED_VALUE"""),1563)</f>
        <v>1563</v>
      </c>
      <c r="C444" s="624" t="str">
        <f ca="1">IFERROR(__xludf.DUMMYFUNCTION("""COMPUTED_VALUE"""),"巧新")</f>
        <v>巧新</v>
      </c>
      <c r="D444" s="630">
        <f ca="1">IFERROR(__xludf.DUMMYFUNCTION("""COMPUTED_VALUE"""),0.000087)</f>
        <v>8.7000000000000001E-5</v>
      </c>
      <c r="E444" s="623">
        <f ca="1">IFERROR(__xludf.DUMMYFUNCTION("""COMPUTED_VALUE"""),977)</f>
        <v>977</v>
      </c>
      <c r="F444" s="624">
        <f ca="1">IFERROR(__xludf.DUMMYFUNCTION("""COMPUTED_VALUE"""),1466)</f>
        <v>1466</v>
      </c>
      <c r="G444" s="624" t="str">
        <f ca="1">IFERROR(__xludf.DUMMYFUNCTION("""COMPUTED_VALUE"""),"聚隆")</f>
        <v>聚隆</v>
      </c>
      <c r="H444" s="632">
        <f ca="1">IFERROR(__xludf.DUMMYFUNCTION("""COMPUTED_VALUE"""),0.000012)</f>
        <v>1.2E-5</v>
      </c>
      <c r="I444" s="62"/>
      <c r="J444" s="62"/>
      <c r="K444" s="63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</row>
    <row r="445" spans="1:41" ht="15.5">
      <c r="A445" s="623">
        <f ca="1">IFERROR(__xludf.DUMMYFUNCTION("""COMPUTED_VALUE"""),444)</f>
        <v>444</v>
      </c>
      <c r="B445" s="624">
        <f ca="1">IFERROR(__xludf.DUMMYFUNCTION("""COMPUTED_VALUE"""),1903)</f>
        <v>1903</v>
      </c>
      <c r="C445" s="624" t="str">
        <f ca="1">IFERROR(__xludf.DUMMYFUNCTION("""COMPUTED_VALUE"""),"士紙")</f>
        <v>士紙</v>
      </c>
      <c r="D445" s="630">
        <f ca="1">IFERROR(__xludf.DUMMYFUNCTION("""COMPUTED_VALUE"""),0.000087)</f>
        <v>8.7000000000000001E-5</v>
      </c>
      <c r="E445" s="623">
        <f ca="1">IFERROR(__xludf.DUMMYFUNCTION("""COMPUTED_VALUE"""),978)</f>
        <v>978</v>
      </c>
      <c r="F445" s="624">
        <f ca="1">IFERROR(__xludf.DUMMYFUNCTION("""COMPUTED_VALUE"""),1506)</f>
        <v>1506</v>
      </c>
      <c r="G445" s="624" t="str">
        <f ca="1">IFERROR(__xludf.DUMMYFUNCTION("""COMPUTED_VALUE"""),"正道")</f>
        <v>正道</v>
      </c>
      <c r="H445" s="632">
        <f ca="1">IFERROR(__xludf.DUMMYFUNCTION("""COMPUTED_VALUE"""),0.000012)</f>
        <v>1.2E-5</v>
      </c>
      <c r="I445" s="62"/>
      <c r="J445" s="62"/>
      <c r="K445" s="63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</row>
    <row r="446" spans="1:41" ht="15.5">
      <c r="A446" s="623">
        <f ca="1">IFERROR(__xludf.DUMMYFUNCTION("""COMPUTED_VALUE"""),445)</f>
        <v>445</v>
      </c>
      <c r="B446" s="624">
        <f ca="1">IFERROR(__xludf.DUMMYFUNCTION("""COMPUTED_VALUE"""),2031)</f>
        <v>2031</v>
      </c>
      <c r="C446" s="624" t="str">
        <f ca="1">IFERROR(__xludf.DUMMYFUNCTION("""COMPUTED_VALUE"""),"新光鋼")</f>
        <v>新光鋼</v>
      </c>
      <c r="D446" s="630">
        <f ca="1">IFERROR(__xludf.DUMMYFUNCTION("""COMPUTED_VALUE"""),0.000087)</f>
        <v>8.7000000000000001E-5</v>
      </c>
      <c r="E446" s="623">
        <f ca="1">IFERROR(__xludf.DUMMYFUNCTION("""COMPUTED_VALUE"""),979)</f>
        <v>979</v>
      </c>
      <c r="F446" s="624">
        <f ca="1">IFERROR(__xludf.DUMMYFUNCTION("""COMPUTED_VALUE"""),1540)</f>
        <v>1540</v>
      </c>
      <c r="G446" s="624" t="str">
        <f ca="1">IFERROR(__xludf.DUMMYFUNCTION("""COMPUTED_VALUE"""),"喬福")</f>
        <v>喬福</v>
      </c>
      <c r="H446" s="632">
        <f ca="1">IFERROR(__xludf.DUMMYFUNCTION("""COMPUTED_VALUE"""),0.000012)</f>
        <v>1.2E-5</v>
      </c>
      <c r="I446" s="62"/>
      <c r="J446" s="62"/>
      <c r="K446" s="63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</row>
    <row r="447" spans="1:41" ht="15.5">
      <c r="A447" s="623">
        <f ca="1">IFERROR(__xludf.DUMMYFUNCTION("""COMPUTED_VALUE"""),446)</f>
        <v>446</v>
      </c>
      <c r="B447" s="624">
        <f ca="1">IFERROR(__xludf.DUMMYFUNCTION("""COMPUTED_VALUE"""),1708)</f>
        <v>1708</v>
      </c>
      <c r="C447" s="624" t="str">
        <f ca="1">IFERROR(__xludf.DUMMYFUNCTION("""COMPUTED_VALUE"""),"東鹼")</f>
        <v>東鹼</v>
      </c>
      <c r="D447" s="630">
        <f ca="1">IFERROR(__xludf.DUMMYFUNCTION("""COMPUTED_VALUE"""),0.000086)</f>
        <v>8.6000000000000003E-5</v>
      </c>
      <c r="E447" s="623">
        <f ca="1">IFERROR(__xludf.DUMMYFUNCTION("""COMPUTED_VALUE"""),980)</f>
        <v>980</v>
      </c>
      <c r="F447" s="624">
        <f ca="1">IFERROR(__xludf.DUMMYFUNCTION("""COMPUTED_VALUE"""),1541)</f>
        <v>1541</v>
      </c>
      <c r="G447" s="624" t="str">
        <f ca="1">IFERROR(__xludf.DUMMYFUNCTION("""COMPUTED_VALUE"""),"錩泰")</f>
        <v>錩泰</v>
      </c>
      <c r="H447" s="632">
        <f ca="1">IFERROR(__xludf.DUMMYFUNCTION("""COMPUTED_VALUE"""),0.000012)</f>
        <v>1.2E-5</v>
      </c>
      <c r="I447" s="62"/>
      <c r="J447" s="62"/>
      <c r="K447" s="63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</row>
    <row r="448" spans="1:41" ht="15.5">
      <c r="A448" s="623">
        <f ca="1">IFERROR(__xludf.DUMMYFUNCTION("""COMPUTED_VALUE"""),447)</f>
        <v>447</v>
      </c>
      <c r="B448" s="624">
        <f ca="1">IFERROR(__xludf.DUMMYFUNCTION("""COMPUTED_VALUE"""),2527)</f>
        <v>2527</v>
      </c>
      <c r="C448" s="624" t="str">
        <f ca="1">IFERROR(__xludf.DUMMYFUNCTION("""COMPUTED_VALUE"""),"宏璟")</f>
        <v>宏璟</v>
      </c>
      <c r="D448" s="630">
        <f ca="1">IFERROR(__xludf.DUMMYFUNCTION("""COMPUTED_VALUE"""),0.000086)</f>
        <v>8.6000000000000003E-5</v>
      </c>
      <c r="E448" s="623">
        <f ca="1">IFERROR(__xludf.DUMMYFUNCTION("""COMPUTED_VALUE"""),981)</f>
        <v>981</v>
      </c>
      <c r="F448" s="624">
        <f ca="1">IFERROR(__xludf.DUMMYFUNCTION("""COMPUTED_VALUE"""),1906)</f>
        <v>1906</v>
      </c>
      <c r="G448" s="624" t="str">
        <f ca="1">IFERROR(__xludf.DUMMYFUNCTION("""COMPUTED_VALUE"""),"寶隆")</f>
        <v>寶隆</v>
      </c>
      <c r="H448" s="632">
        <f ca="1">IFERROR(__xludf.DUMMYFUNCTION("""COMPUTED_VALUE"""),0.000012)</f>
        <v>1.2E-5</v>
      </c>
      <c r="I448" s="62"/>
      <c r="J448" s="62"/>
      <c r="K448" s="63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</row>
    <row r="449" spans="1:41" ht="15.5">
      <c r="A449" s="623">
        <f ca="1">IFERROR(__xludf.DUMMYFUNCTION("""COMPUTED_VALUE"""),448)</f>
        <v>448</v>
      </c>
      <c r="B449" s="624">
        <f ca="1">IFERROR(__xludf.DUMMYFUNCTION("""COMPUTED_VALUE"""),2753)</f>
        <v>2753</v>
      </c>
      <c r="C449" s="624" t="str">
        <f ca="1">IFERROR(__xludf.DUMMYFUNCTION("""COMPUTED_VALUE"""),"八方雲集")</f>
        <v>八方雲集</v>
      </c>
      <c r="D449" s="630">
        <f ca="1">IFERROR(__xludf.DUMMYFUNCTION("""COMPUTED_VALUE"""),0.000086)</f>
        <v>8.6000000000000003E-5</v>
      </c>
      <c r="E449" s="623">
        <f ca="1">IFERROR(__xludf.DUMMYFUNCTION("""COMPUTED_VALUE"""),982)</f>
        <v>982</v>
      </c>
      <c r="F449" s="624">
        <f ca="1">IFERROR(__xludf.DUMMYFUNCTION("""COMPUTED_VALUE"""),3002)</f>
        <v>3002</v>
      </c>
      <c r="G449" s="624" t="str">
        <f ca="1">IFERROR(__xludf.DUMMYFUNCTION("""COMPUTED_VALUE"""),"歐格")</f>
        <v>歐格</v>
      </c>
      <c r="H449" s="632">
        <f ca="1">IFERROR(__xludf.DUMMYFUNCTION("""COMPUTED_VALUE"""),0.000012)</f>
        <v>1.2E-5</v>
      </c>
      <c r="I449" s="62"/>
      <c r="J449" s="62"/>
      <c r="K449" s="63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</row>
    <row r="450" spans="1:41" ht="15.5">
      <c r="A450" s="623">
        <f ca="1">IFERROR(__xludf.DUMMYFUNCTION("""COMPUTED_VALUE"""),449)</f>
        <v>449</v>
      </c>
      <c r="B450" s="624">
        <f ca="1">IFERROR(__xludf.DUMMYFUNCTION("""COMPUTED_VALUE"""),6581)</f>
        <v>6581</v>
      </c>
      <c r="C450" s="624" t="str">
        <f ca="1">IFERROR(__xludf.DUMMYFUNCTION("""COMPUTED_VALUE"""),"鋼聯")</f>
        <v>鋼聯</v>
      </c>
      <c r="D450" s="630">
        <f ca="1">IFERROR(__xludf.DUMMYFUNCTION("""COMPUTED_VALUE"""),0.000086)</f>
        <v>8.6000000000000003E-5</v>
      </c>
      <c r="E450" s="623">
        <f ca="1">IFERROR(__xludf.DUMMYFUNCTION("""COMPUTED_VALUE"""),983)</f>
        <v>983</v>
      </c>
      <c r="F450" s="624">
        <f ca="1">IFERROR(__xludf.DUMMYFUNCTION("""COMPUTED_VALUE"""),3058)</f>
        <v>3058</v>
      </c>
      <c r="G450" s="624" t="str">
        <f ca="1">IFERROR(__xludf.DUMMYFUNCTION("""COMPUTED_VALUE"""),"立德")</f>
        <v>立德</v>
      </c>
      <c r="H450" s="632">
        <f ca="1">IFERROR(__xludf.DUMMYFUNCTION("""COMPUTED_VALUE"""),0.000012)</f>
        <v>1.2E-5</v>
      </c>
      <c r="I450" s="62"/>
      <c r="J450" s="62"/>
      <c r="K450" s="63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</row>
    <row r="451" spans="1:41" ht="15.5">
      <c r="A451" s="623">
        <f ca="1">IFERROR(__xludf.DUMMYFUNCTION("""COMPUTED_VALUE"""),450)</f>
        <v>450</v>
      </c>
      <c r="B451" s="624">
        <f ca="1">IFERROR(__xludf.DUMMYFUNCTION("""COMPUTED_VALUE"""),6202)</f>
        <v>6202</v>
      </c>
      <c r="C451" s="624" t="str">
        <f ca="1">IFERROR(__xludf.DUMMYFUNCTION("""COMPUTED_VALUE"""),"盛群")</f>
        <v>盛群</v>
      </c>
      <c r="D451" s="630">
        <f ca="1">IFERROR(__xludf.DUMMYFUNCTION("""COMPUTED_VALUE"""),0.000086)</f>
        <v>8.6000000000000003E-5</v>
      </c>
      <c r="E451" s="623">
        <f ca="1">IFERROR(__xludf.DUMMYFUNCTION("""COMPUTED_VALUE"""),984)</f>
        <v>984</v>
      </c>
      <c r="F451" s="624">
        <f ca="1">IFERROR(__xludf.DUMMYFUNCTION("""COMPUTED_VALUE"""),3050)</f>
        <v>3050</v>
      </c>
      <c r="G451" s="624" t="str">
        <f ca="1">IFERROR(__xludf.DUMMYFUNCTION("""COMPUTED_VALUE"""),"鈺德")</f>
        <v>鈺德</v>
      </c>
      <c r="H451" s="632">
        <f ca="1">IFERROR(__xludf.DUMMYFUNCTION("""COMPUTED_VALUE"""),0.000012)</f>
        <v>1.2E-5</v>
      </c>
      <c r="I451" s="62"/>
      <c r="J451" s="62"/>
      <c r="K451" s="63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</row>
    <row r="452" spans="1:41" ht="15.5">
      <c r="A452" s="623">
        <f ca="1">IFERROR(__xludf.DUMMYFUNCTION("""COMPUTED_VALUE"""),451)</f>
        <v>451</v>
      </c>
      <c r="B452" s="624">
        <f ca="1">IFERROR(__xludf.DUMMYFUNCTION("""COMPUTED_VALUE"""),2617)</f>
        <v>2617</v>
      </c>
      <c r="C452" s="624" t="str">
        <f ca="1">IFERROR(__xludf.DUMMYFUNCTION("""COMPUTED_VALUE"""),"台航")</f>
        <v>台航</v>
      </c>
      <c r="D452" s="630">
        <f ca="1">IFERROR(__xludf.DUMMYFUNCTION("""COMPUTED_VALUE"""),0.000085)</f>
        <v>8.5000000000000006E-5</v>
      </c>
      <c r="E452" s="623">
        <f ca="1">IFERROR(__xludf.DUMMYFUNCTION("""COMPUTED_VALUE"""),985)</f>
        <v>985</v>
      </c>
      <c r="F452" s="624">
        <f ca="1">IFERROR(__xludf.DUMMYFUNCTION("""COMPUTED_VALUE"""),2712)</f>
        <v>2712</v>
      </c>
      <c r="G452" s="624" t="str">
        <f ca="1">IFERROR(__xludf.DUMMYFUNCTION("""COMPUTED_VALUE"""),"遠雄來")</f>
        <v>遠雄來</v>
      </c>
      <c r="H452" s="632">
        <f ca="1">IFERROR(__xludf.DUMMYFUNCTION("""COMPUTED_VALUE"""),0.000011)</f>
        <v>1.1E-5</v>
      </c>
      <c r="I452" s="62"/>
      <c r="J452" s="62"/>
      <c r="K452" s="63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</row>
    <row r="453" spans="1:41" ht="15.5">
      <c r="A453" s="623">
        <f ca="1">IFERROR(__xludf.DUMMYFUNCTION("""COMPUTED_VALUE"""),452)</f>
        <v>452</v>
      </c>
      <c r="B453" s="624">
        <f ca="1">IFERROR(__xludf.DUMMYFUNCTION("""COMPUTED_VALUE"""),3059)</f>
        <v>3059</v>
      </c>
      <c r="C453" s="624" t="str">
        <f ca="1">IFERROR(__xludf.DUMMYFUNCTION("""COMPUTED_VALUE"""),"華晶科")</f>
        <v>華晶科</v>
      </c>
      <c r="D453" s="630">
        <f ca="1">IFERROR(__xludf.DUMMYFUNCTION("""COMPUTED_VALUE"""),0.000084)</f>
        <v>8.3999999999999995E-5</v>
      </c>
      <c r="E453" s="623">
        <f ca="1">IFERROR(__xludf.DUMMYFUNCTION("""COMPUTED_VALUE"""),986)</f>
        <v>986</v>
      </c>
      <c r="F453" s="624">
        <f ca="1">IFERROR(__xludf.DUMMYFUNCTION("""COMPUTED_VALUE"""),1626)</f>
        <v>1626</v>
      </c>
      <c r="G453" s="624" t="str">
        <f ca="1">IFERROR(__xludf.DUMMYFUNCTION("""COMPUTED_VALUE"""),"艾美特-KY")</f>
        <v>艾美特-KY</v>
      </c>
      <c r="H453" s="632">
        <f ca="1">IFERROR(__xludf.DUMMYFUNCTION("""COMPUTED_VALUE"""),0.000011)</f>
        <v>1.1E-5</v>
      </c>
      <c r="I453" s="62"/>
      <c r="J453" s="62"/>
      <c r="K453" s="63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</row>
    <row r="454" spans="1:41" ht="15.5">
      <c r="A454" s="623">
        <f ca="1">IFERROR(__xludf.DUMMYFUNCTION("""COMPUTED_VALUE"""),453)</f>
        <v>453</v>
      </c>
      <c r="B454" s="624">
        <f ca="1">IFERROR(__xludf.DUMMYFUNCTION("""COMPUTED_VALUE"""),1203)</f>
        <v>1203</v>
      </c>
      <c r="C454" s="624" t="str">
        <f ca="1">IFERROR(__xludf.DUMMYFUNCTION("""COMPUTED_VALUE"""),"味王")</f>
        <v>味王</v>
      </c>
      <c r="D454" s="630">
        <f ca="1">IFERROR(__xludf.DUMMYFUNCTION("""COMPUTED_VALUE"""),0.000084)</f>
        <v>8.3999999999999995E-5</v>
      </c>
      <c r="E454" s="623">
        <f ca="1">IFERROR(__xludf.DUMMYFUNCTION("""COMPUTED_VALUE"""),987)</f>
        <v>987</v>
      </c>
      <c r="F454" s="624">
        <f ca="1">IFERROR(__xludf.DUMMYFUNCTION("""COMPUTED_VALUE"""),1467)</f>
        <v>1467</v>
      </c>
      <c r="G454" s="624" t="str">
        <f ca="1">IFERROR(__xludf.DUMMYFUNCTION("""COMPUTED_VALUE"""),"南緯")</f>
        <v>南緯</v>
      </c>
      <c r="H454" s="632">
        <f ca="1">IFERROR(__xludf.DUMMYFUNCTION("""COMPUTED_VALUE"""),0.000011)</f>
        <v>1.1E-5</v>
      </c>
      <c r="I454" s="62"/>
      <c r="J454" s="62"/>
      <c r="K454" s="63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</row>
    <row r="455" spans="1:41" ht="15.5">
      <c r="A455" s="623">
        <f ca="1">IFERROR(__xludf.DUMMYFUNCTION("""COMPUTED_VALUE"""),454)</f>
        <v>454</v>
      </c>
      <c r="B455" s="624">
        <f ca="1">IFERROR(__xludf.DUMMYFUNCTION("""COMPUTED_VALUE"""),4916)</f>
        <v>4916</v>
      </c>
      <c r="C455" s="624" t="str">
        <f ca="1">IFERROR(__xludf.DUMMYFUNCTION("""COMPUTED_VALUE"""),"事欣科")</f>
        <v>事欣科</v>
      </c>
      <c r="D455" s="630">
        <f ca="1">IFERROR(__xludf.DUMMYFUNCTION("""COMPUTED_VALUE"""),0.000084)</f>
        <v>8.3999999999999995E-5</v>
      </c>
      <c r="E455" s="623">
        <f ca="1">IFERROR(__xludf.DUMMYFUNCTION("""COMPUTED_VALUE"""),988)</f>
        <v>988</v>
      </c>
      <c r="F455" s="624">
        <f ca="1">IFERROR(__xludf.DUMMYFUNCTION("""COMPUTED_VALUE"""),1452)</f>
        <v>1452</v>
      </c>
      <c r="G455" s="624" t="str">
        <f ca="1">IFERROR(__xludf.DUMMYFUNCTION("""COMPUTED_VALUE"""),"宏益")</f>
        <v>宏益</v>
      </c>
      <c r="H455" s="632">
        <f ca="1">IFERROR(__xludf.DUMMYFUNCTION("""COMPUTED_VALUE"""),0.000011)</f>
        <v>1.1E-5</v>
      </c>
      <c r="I455" s="62"/>
      <c r="J455" s="62"/>
      <c r="K455" s="63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</row>
    <row r="456" spans="1:41" ht="15.5">
      <c r="A456" s="623">
        <f ca="1">IFERROR(__xludf.DUMMYFUNCTION("""COMPUTED_VALUE"""),455)</f>
        <v>455</v>
      </c>
      <c r="B456" s="624">
        <f ca="1">IFERROR(__xludf.DUMMYFUNCTION("""COMPUTED_VALUE"""),4441)</f>
        <v>4441</v>
      </c>
      <c r="C456" s="624" t="str">
        <f ca="1">IFERROR(__xludf.DUMMYFUNCTION("""COMPUTED_VALUE"""),"振大環球")</f>
        <v>振大環球</v>
      </c>
      <c r="D456" s="630">
        <f ca="1">IFERROR(__xludf.DUMMYFUNCTION("""COMPUTED_VALUE"""),0.000084)</f>
        <v>8.3999999999999995E-5</v>
      </c>
      <c r="E456" s="623">
        <f ca="1">IFERROR(__xludf.DUMMYFUNCTION("""COMPUTED_VALUE"""),989)</f>
        <v>989</v>
      </c>
      <c r="F456" s="624">
        <f ca="1">IFERROR(__xludf.DUMMYFUNCTION("""COMPUTED_VALUE"""),1449)</f>
        <v>1449</v>
      </c>
      <c r="G456" s="624" t="str">
        <f ca="1">IFERROR(__xludf.DUMMYFUNCTION("""COMPUTED_VALUE"""),"佳和")</f>
        <v>佳和</v>
      </c>
      <c r="H456" s="632">
        <f ca="1">IFERROR(__xludf.DUMMYFUNCTION("""COMPUTED_VALUE"""),0.000011)</f>
        <v>1.1E-5</v>
      </c>
      <c r="I456" s="62"/>
      <c r="J456" s="62"/>
      <c r="K456" s="63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</row>
    <row r="457" spans="1:41" ht="15.5">
      <c r="A457" s="623">
        <f ca="1">IFERROR(__xludf.DUMMYFUNCTION("""COMPUTED_VALUE"""),456)</f>
        <v>456</v>
      </c>
      <c r="B457" s="624">
        <f ca="1">IFERROR(__xludf.DUMMYFUNCTION("""COMPUTED_VALUE"""),4532)</f>
        <v>4532</v>
      </c>
      <c r="C457" s="624" t="str">
        <f ca="1">IFERROR(__xludf.DUMMYFUNCTION("""COMPUTED_VALUE"""),"瑞智")</f>
        <v>瑞智</v>
      </c>
      <c r="D457" s="630">
        <f ca="1">IFERROR(__xludf.DUMMYFUNCTION("""COMPUTED_VALUE"""),0.000083)</f>
        <v>8.2999999999999998E-5</v>
      </c>
      <c r="E457" s="623">
        <f ca="1">IFERROR(__xludf.DUMMYFUNCTION("""COMPUTED_VALUE"""),990)</f>
        <v>990</v>
      </c>
      <c r="F457" s="624">
        <f ca="1">IFERROR(__xludf.DUMMYFUNCTION("""COMPUTED_VALUE"""),1417)</f>
        <v>1417</v>
      </c>
      <c r="G457" s="624" t="str">
        <f ca="1">IFERROR(__xludf.DUMMYFUNCTION("""COMPUTED_VALUE"""),"嘉裕")</f>
        <v>嘉裕</v>
      </c>
      <c r="H457" s="632">
        <f ca="1">IFERROR(__xludf.DUMMYFUNCTION("""COMPUTED_VALUE"""),0.000011)</f>
        <v>1.1E-5</v>
      </c>
      <c r="I457" s="62"/>
      <c r="J457" s="62"/>
      <c r="K457" s="63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</row>
    <row r="458" spans="1:41" ht="15.5">
      <c r="A458" s="623">
        <f ca="1">IFERROR(__xludf.DUMMYFUNCTION("""COMPUTED_VALUE"""),457)</f>
        <v>457</v>
      </c>
      <c r="B458" s="624">
        <f ca="1">IFERROR(__xludf.DUMMYFUNCTION("""COMPUTED_VALUE"""),6782)</f>
        <v>6782</v>
      </c>
      <c r="C458" s="624" t="str">
        <f ca="1">IFERROR(__xludf.DUMMYFUNCTION("""COMPUTED_VALUE"""),"視陽")</f>
        <v>視陽</v>
      </c>
      <c r="D458" s="630">
        <f ca="1">IFERROR(__xludf.DUMMYFUNCTION("""COMPUTED_VALUE"""),0.000083)</f>
        <v>8.2999999999999998E-5</v>
      </c>
      <c r="E458" s="623">
        <f ca="1">IFERROR(__xludf.DUMMYFUNCTION("""COMPUTED_VALUE"""),991)</f>
        <v>991</v>
      </c>
      <c r="F458" s="624">
        <f ca="1">IFERROR(__xludf.DUMMYFUNCTION("""COMPUTED_VALUE"""),3321)</f>
        <v>3321</v>
      </c>
      <c r="G458" s="624" t="str">
        <f ca="1">IFERROR(__xludf.DUMMYFUNCTION("""COMPUTED_VALUE"""),"同泰")</f>
        <v>同泰</v>
      </c>
      <c r="H458" s="632">
        <f ca="1">IFERROR(__xludf.DUMMYFUNCTION("""COMPUTED_VALUE"""),0.000011)</f>
        <v>1.1E-5</v>
      </c>
      <c r="I458" s="62"/>
      <c r="J458" s="62"/>
      <c r="K458" s="63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</row>
    <row r="459" spans="1:41" ht="15.5">
      <c r="A459" s="623">
        <f ca="1">IFERROR(__xludf.DUMMYFUNCTION("""COMPUTED_VALUE"""),458)</f>
        <v>458</v>
      </c>
      <c r="B459" s="624">
        <f ca="1">IFERROR(__xludf.DUMMYFUNCTION("""COMPUTED_VALUE"""),2348)</f>
        <v>2348</v>
      </c>
      <c r="C459" s="624" t="str">
        <f ca="1">IFERROR(__xludf.DUMMYFUNCTION("""COMPUTED_VALUE"""),"海悅")</f>
        <v>海悅</v>
      </c>
      <c r="D459" s="630">
        <f ca="1">IFERROR(__xludf.DUMMYFUNCTION("""COMPUTED_VALUE"""),0.000083)</f>
        <v>8.2999999999999998E-5</v>
      </c>
      <c r="E459" s="623">
        <f ca="1">IFERROR(__xludf.DUMMYFUNCTION("""COMPUTED_VALUE"""),992)</f>
        <v>992</v>
      </c>
      <c r="F459" s="624">
        <f ca="1">IFERROR(__xludf.DUMMYFUNCTION("""COMPUTED_VALUE"""),4190)</f>
        <v>4190</v>
      </c>
      <c r="G459" s="624" t="str">
        <f ca="1">IFERROR(__xludf.DUMMYFUNCTION("""COMPUTED_VALUE"""),"佐登-KY")</f>
        <v>佐登-KY</v>
      </c>
      <c r="H459" s="632">
        <f ca="1">IFERROR(__xludf.DUMMYFUNCTION("""COMPUTED_VALUE"""),0.000011)</f>
        <v>1.1E-5</v>
      </c>
      <c r="I459" s="62"/>
      <c r="J459" s="62"/>
      <c r="K459" s="63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</row>
    <row r="460" spans="1:41" ht="15.5">
      <c r="A460" s="623">
        <f ca="1">IFERROR(__xludf.DUMMYFUNCTION("""COMPUTED_VALUE"""),459)</f>
        <v>459</v>
      </c>
      <c r="B460" s="624">
        <f ca="1">IFERROR(__xludf.DUMMYFUNCTION("""COMPUTED_VALUE"""),2233)</f>
        <v>2233</v>
      </c>
      <c r="C460" s="624" t="str">
        <f ca="1">IFERROR(__xludf.DUMMYFUNCTION("""COMPUTED_VALUE"""),"宇隆")</f>
        <v>宇隆</v>
      </c>
      <c r="D460" s="630">
        <f ca="1">IFERROR(__xludf.DUMMYFUNCTION("""COMPUTED_VALUE"""),0.000082)</f>
        <v>8.2000000000000001E-5</v>
      </c>
      <c r="E460" s="623">
        <f ca="1">IFERROR(__xludf.DUMMYFUNCTION("""COMPUTED_VALUE"""),993)</f>
        <v>993</v>
      </c>
      <c r="F460" s="624">
        <f ca="1">IFERROR(__xludf.DUMMYFUNCTION("""COMPUTED_VALUE"""),4426)</f>
        <v>4426</v>
      </c>
      <c r="G460" s="624" t="str">
        <f ca="1">IFERROR(__xludf.DUMMYFUNCTION("""COMPUTED_VALUE"""),"利勤")</f>
        <v>利勤</v>
      </c>
      <c r="H460" s="632">
        <f ca="1">IFERROR(__xludf.DUMMYFUNCTION("""COMPUTED_VALUE"""),0.00001)</f>
        <v>1.0000000000000001E-5</v>
      </c>
      <c r="I460" s="62"/>
      <c r="J460" s="62"/>
      <c r="K460" s="63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</row>
    <row r="461" spans="1:41" ht="15.5">
      <c r="A461" s="623">
        <f ca="1">IFERROR(__xludf.DUMMYFUNCTION("""COMPUTED_VALUE"""),460)</f>
        <v>460</v>
      </c>
      <c r="B461" s="624">
        <f ca="1">IFERROR(__xludf.DUMMYFUNCTION("""COMPUTED_VALUE"""),6209)</f>
        <v>6209</v>
      </c>
      <c r="C461" s="624" t="str">
        <f ca="1">IFERROR(__xludf.DUMMYFUNCTION("""COMPUTED_VALUE"""),"今國光")</f>
        <v>今國光</v>
      </c>
      <c r="D461" s="630">
        <f ca="1">IFERROR(__xludf.DUMMYFUNCTION("""COMPUTED_VALUE"""),0.000082)</f>
        <v>8.2000000000000001E-5</v>
      </c>
      <c r="E461" s="623">
        <f ca="1">IFERROR(__xludf.DUMMYFUNCTION("""COMPUTED_VALUE"""),994)</f>
        <v>994</v>
      </c>
      <c r="F461" s="624">
        <f ca="1">IFERROR(__xludf.DUMMYFUNCTION("""COMPUTED_VALUE"""),3419)</f>
        <v>3419</v>
      </c>
      <c r="G461" s="624" t="str">
        <f ca="1">IFERROR(__xludf.DUMMYFUNCTION("""COMPUTED_VALUE"""),"譁裕")</f>
        <v>譁裕</v>
      </c>
      <c r="H461" s="632">
        <f ca="1">IFERROR(__xludf.DUMMYFUNCTION("""COMPUTED_VALUE"""),0.00001)</f>
        <v>1.0000000000000001E-5</v>
      </c>
      <c r="I461" s="62"/>
      <c r="J461" s="62"/>
      <c r="K461" s="63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</row>
    <row r="462" spans="1:41" ht="15.5">
      <c r="A462" s="623">
        <f ca="1">IFERROR(__xludf.DUMMYFUNCTION("""COMPUTED_VALUE"""),461)</f>
        <v>461</v>
      </c>
      <c r="B462" s="624">
        <f ca="1">IFERROR(__xludf.DUMMYFUNCTION("""COMPUTED_VALUE"""),1710)</f>
        <v>1710</v>
      </c>
      <c r="C462" s="624" t="str">
        <f ca="1">IFERROR(__xludf.DUMMYFUNCTION("""COMPUTED_VALUE"""),"東聯")</f>
        <v>東聯</v>
      </c>
      <c r="D462" s="630">
        <f ca="1">IFERROR(__xludf.DUMMYFUNCTION("""COMPUTED_VALUE"""),0.000081)</f>
        <v>8.1000000000000004E-5</v>
      </c>
      <c r="E462" s="623">
        <f ca="1">IFERROR(__xludf.DUMMYFUNCTION("""COMPUTED_VALUE"""),995)</f>
        <v>995</v>
      </c>
      <c r="F462" s="624">
        <f ca="1">IFERROR(__xludf.DUMMYFUNCTION("""COMPUTED_VALUE"""),5906)</f>
        <v>5906</v>
      </c>
      <c r="G462" s="624" t="str">
        <f ca="1">IFERROR(__xludf.DUMMYFUNCTION("""COMPUTED_VALUE"""),"台南-KY")</f>
        <v>台南-KY</v>
      </c>
      <c r="H462" s="632">
        <f ca="1">IFERROR(__xludf.DUMMYFUNCTION("""COMPUTED_VALUE"""),0.00001)</f>
        <v>1.0000000000000001E-5</v>
      </c>
      <c r="I462" s="62"/>
      <c r="J462" s="62"/>
      <c r="K462" s="63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</row>
    <row r="463" spans="1:41" ht="15.5">
      <c r="A463" s="623">
        <f ca="1">IFERROR(__xludf.DUMMYFUNCTION("""COMPUTED_VALUE"""),462)</f>
        <v>462</v>
      </c>
      <c r="B463" s="624">
        <f ca="1">IFERROR(__xludf.DUMMYFUNCTION("""COMPUTED_VALUE"""),3048)</f>
        <v>3048</v>
      </c>
      <c r="C463" s="624" t="str">
        <f ca="1">IFERROR(__xludf.DUMMYFUNCTION("""COMPUTED_VALUE"""),"益登")</f>
        <v>益登</v>
      </c>
      <c r="D463" s="630">
        <f ca="1">IFERROR(__xludf.DUMMYFUNCTION("""COMPUTED_VALUE"""),0.000081)</f>
        <v>8.1000000000000004E-5</v>
      </c>
      <c r="E463" s="623">
        <f ca="1">IFERROR(__xludf.DUMMYFUNCTION("""COMPUTED_VALUE"""),996)</f>
        <v>996</v>
      </c>
      <c r="F463" s="624">
        <f ca="1">IFERROR(__xludf.DUMMYFUNCTION("""COMPUTED_VALUE"""),4999)</f>
        <v>4999</v>
      </c>
      <c r="G463" s="624" t="str">
        <f ca="1">IFERROR(__xludf.DUMMYFUNCTION("""COMPUTED_VALUE"""),"鑫禾")</f>
        <v>鑫禾</v>
      </c>
      <c r="H463" s="632">
        <f ca="1">IFERROR(__xludf.DUMMYFUNCTION("""COMPUTED_VALUE"""),0.00001)</f>
        <v>1.0000000000000001E-5</v>
      </c>
      <c r="I463" s="62"/>
      <c r="J463" s="62"/>
      <c r="K463" s="63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</row>
    <row r="464" spans="1:41" ht="15.5">
      <c r="A464" s="623">
        <f ca="1">IFERROR(__xludf.DUMMYFUNCTION("""COMPUTED_VALUE"""),463)</f>
        <v>463</v>
      </c>
      <c r="B464" s="624">
        <f ca="1">IFERROR(__xludf.DUMMYFUNCTION("""COMPUTED_VALUE"""),2723)</f>
        <v>2723</v>
      </c>
      <c r="C464" s="624" t="str">
        <f ca="1">IFERROR(__xludf.DUMMYFUNCTION("""COMPUTED_VALUE"""),"美食-KY")</f>
        <v>美食-KY</v>
      </c>
      <c r="D464" s="630">
        <f ca="1">IFERROR(__xludf.DUMMYFUNCTION("""COMPUTED_VALUE"""),0.000081)</f>
        <v>8.1000000000000004E-5</v>
      </c>
      <c r="E464" s="623">
        <f ca="1">IFERROR(__xludf.DUMMYFUNCTION("""COMPUTED_VALUE"""),997)</f>
        <v>997</v>
      </c>
      <c r="F464" s="624">
        <f ca="1">IFERROR(__xludf.DUMMYFUNCTION("""COMPUTED_VALUE"""),6969)</f>
        <v>6969</v>
      </c>
      <c r="G464" s="624" t="str">
        <f ca="1">IFERROR(__xludf.DUMMYFUNCTION("""COMPUTED_VALUE"""),"成信實業*-創")</f>
        <v>成信實業*-創</v>
      </c>
      <c r="H464" s="632">
        <f ca="1">IFERROR(__xludf.DUMMYFUNCTION("""COMPUTED_VALUE"""),0.00001)</f>
        <v>1.0000000000000001E-5</v>
      </c>
      <c r="I464" s="62"/>
      <c r="J464" s="62"/>
      <c r="K464" s="63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</row>
    <row r="465" spans="1:41" ht="15.5">
      <c r="A465" s="623">
        <f ca="1">IFERROR(__xludf.DUMMYFUNCTION("""COMPUTED_VALUE"""),464)</f>
        <v>464</v>
      </c>
      <c r="B465" s="624">
        <f ca="1">IFERROR(__xludf.DUMMYFUNCTION("""COMPUTED_VALUE"""),2485)</f>
        <v>2485</v>
      </c>
      <c r="C465" s="624" t="str">
        <f ca="1">IFERROR(__xludf.DUMMYFUNCTION("""COMPUTED_VALUE"""),"兆赫")</f>
        <v>兆赫</v>
      </c>
      <c r="D465" s="630">
        <f ca="1">IFERROR(__xludf.DUMMYFUNCTION("""COMPUTED_VALUE"""),0.000081)</f>
        <v>8.1000000000000004E-5</v>
      </c>
      <c r="E465" s="623">
        <f ca="1">IFERROR(__xludf.DUMMYFUNCTION("""COMPUTED_VALUE"""),998)</f>
        <v>998</v>
      </c>
      <c r="F465" s="624">
        <f ca="1">IFERROR(__xludf.DUMMYFUNCTION("""COMPUTED_VALUE"""),6671)</f>
        <v>6671</v>
      </c>
      <c r="G465" s="624" t="str">
        <f ca="1">IFERROR(__xludf.DUMMYFUNCTION("""COMPUTED_VALUE"""),"三能-KY")</f>
        <v>三能-KY</v>
      </c>
      <c r="H465" s="632">
        <f ca="1">IFERROR(__xludf.DUMMYFUNCTION("""COMPUTED_VALUE"""),0.00001)</f>
        <v>1.0000000000000001E-5</v>
      </c>
      <c r="I465" s="62"/>
      <c r="J465" s="62"/>
      <c r="K465" s="63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</row>
    <row r="466" spans="1:41" ht="15.5">
      <c r="A466" s="623">
        <f ca="1">IFERROR(__xludf.DUMMYFUNCTION("""COMPUTED_VALUE"""),465)</f>
        <v>465</v>
      </c>
      <c r="B466" s="624">
        <f ca="1">IFERROR(__xludf.DUMMYFUNCTION("""COMPUTED_VALUE"""),2369)</f>
        <v>2369</v>
      </c>
      <c r="C466" s="624" t="str">
        <f ca="1">IFERROR(__xludf.DUMMYFUNCTION("""COMPUTED_VALUE"""),"菱生")</f>
        <v>菱生</v>
      </c>
      <c r="D466" s="630">
        <f ca="1">IFERROR(__xludf.DUMMYFUNCTION("""COMPUTED_VALUE"""),0.00008)</f>
        <v>8.0000000000000007E-5</v>
      </c>
      <c r="E466" s="623">
        <f ca="1">IFERROR(__xludf.DUMMYFUNCTION("""COMPUTED_VALUE"""),999)</f>
        <v>999</v>
      </c>
      <c r="F466" s="624">
        <f ca="1">IFERROR(__xludf.DUMMYFUNCTION("""COMPUTED_VALUE"""),9902)</f>
        <v>9902</v>
      </c>
      <c r="G466" s="624" t="str">
        <f ca="1">IFERROR(__xludf.DUMMYFUNCTION("""COMPUTED_VALUE"""),"台火")</f>
        <v>台火</v>
      </c>
      <c r="H466" s="632">
        <f ca="1">IFERROR(__xludf.DUMMYFUNCTION("""COMPUTED_VALUE"""),0.00001)</f>
        <v>1.0000000000000001E-5</v>
      </c>
      <c r="I466" s="62"/>
      <c r="J466" s="62"/>
      <c r="K466" s="63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</row>
    <row r="467" spans="1:41" ht="15.5">
      <c r="A467" s="623">
        <f ca="1">IFERROR(__xludf.DUMMYFUNCTION("""COMPUTED_VALUE"""),466)</f>
        <v>466</v>
      </c>
      <c r="B467" s="624">
        <f ca="1">IFERROR(__xludf.DUMMYFUNCTION("""COMPUTED_VALUE"""),2908)</f>
        <v>2908</v>
      </c>
      <c r="C467" s="624" t="str">
        <f ca="1">IFERROR(__xludf.DUMMYFUNCTION("""COMPUTED_VALUE"""),"特力")</f>
        <v>特力</v>
      </c>
      <c r="D467" s="630">
        <f ca="1">IFERROR(__xludf.DUMMYFUNCTION("""COMPUTED_VALUE"""),0.00008)</f>
        <v>8.0000000000000007E-5</v>
      </c>
      <c r="E467" s="628">
        <f ca="1">IFERROR(__xludf.DUMMYFUNCTION("""COMPUTED_VALUE"""),1000)</f>
        <v>1000</v>
      </c>
      <c r="F467" s="624">
        <f ca="1">IFERROR(__xludf.DUMMYFUNCTION("""COMPUTED_VALUE"""),8466)</f>
        <v>8466</v>
      </c>
      <c r="G467" s="624" t="str">
        <f ca="1">IFERROR(__xludf.DUMMYFUNCTION("""COMPUTED_VALUE"""),"美吉吉-KY")</f>
        <v>美吉吉-KY</v>
      </c>
      <c r="H467" s="632">
        <f ca="1">IFERROR(__xludf.DUMMYFUNCTION("""COMPUTED_VALUE"""),0.00001)</f>
        <v>1.0000000000000001E-5</v>
      </c>
      <c r="I467" s="62"/>
      <c r="J467" s="62"/>
      <c r="K467" s="63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</row>
    <row r="468" spans="1:41" ht="15.5">
      <c r="A468" s="623">
        <f ca="1">IFERROR(__xludf.DUMMYFUNCTION("""COMPUTED_VALUE"""),467)</f>
        <v>467</v>
      </c>
      <c r="B468" s="624">
        <f ca="1">IFERROR(__xludf.DUMMYFUNCTION("""COMPUTED_VALUE"""),6589)</f>
        <v>6589</v>
      </c>
      <c r="C468" s="624" t="str">
        <f ca="1">IFERROR(__xludf.DUMMYFUNCTION("""COMPUTED_VALUE"""),"台康生技")</f>
        <v>台康生技</v>
      </c>
      <c r="D468" s="630">
        <f ca="1">IFERROR(__xludf.DUMMYFUNCTION("""COMPUTED_VALUE"""),0.00008)</f>
        <v>8.0000000000000007E-5</v>
      </c>
      <c r="E468" s="628">
        <f ca="1">IFERROR(__xludf.DUMMYFUNCTION("""COMPUTED_VALUE"""),1001)</f>
        <v>1001</v>
      </c>
      <c r="F468" s="624">
        <f ca="1">IFERROR(__xludf.DUMMYFUNCTION("""COMPUTED_VALUE"""),1432)</f>
        <v>1432</v>
      </c>
      <c r="G468" s="624" t="str">
        <f ca="1">IFERROR(__xludf.DUMMYFUNCTION("""COMPUTED_VALUE"""),"大魯閣")</f>
        <v>大魯閣</v>
      </c>
      <c r="H468" s="632">
        <f ca="1">IFERROR(__xludf.DUMMYFUNCTION("""COMPUTED_VALUE"""),0.00001)</f>
        <v>1.0000000000000001E-5</v>
      </c>
      <c r="I468" s="62"/>
      <c r="J468" s="62"/>
      <c r="K468" s="63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</row>
    <row r="469" spans="1:41" ht="15.5">
      <c r="A469" s="623">
        <f ca="1">IFERROR(__xludf.DUMMYFUNCTION("""COMPUTED_VALUE"""),468)</f>
        <v>468</v>
      </c>
      <c r="B469" s="624">
        <f ca="1">IFERROR(__xludf.DUMMYFUNCTION("""COMPUTED_VALUE"""),6533)</f>
        <v>6533</v>
      </c>
      <c r="C469" s="624" t="str">
        <f ca="1">IFERROR(__xludf.DUMMYFUNCTION("""COMPUTED_VALUE"""),"晶心科")</f>
        <v>晶心科</v>
      </c>
      <c r="D469" s="630">
        <f ca="1">IFERROR(__xludf.DUMMYFUNCTION("""COMPUTED_VALUE"""),0.00008)</f>
        <v>8.0000000000000007E-5</v>
      </c>
      <c r="E469" s="628">
        <f ca="1">IFERROR(__xludf.DUMMYFUNCTION("""COMPUTED_VALUE"""),1002)</f>
        <v>1002</v>
      </c>
      <c r="F469" s="624">
        <f ca="1">IFERROR(__xludf.DUMMYFUNCTION("""COMPUTED_VALUE"""),1445)</f>
        <v>1445</v>
      </c>
      <c r="G469" s="624" t="str">
        <f ca="1">IFERROR(__xludf.DUMMYFUNCTION("""COMPUTED_VALUE"""),"大宇")</f>
        <v>大宇</v>
      </c>
      <c r="H469" s="632">
        <f ca="1">IFERROR(__xludf.DUMMYFUNCTION("""COMPUTED_VALUE"""),0.00001)</f>
        <v>1.0000000000000001E-5</v>
      </c>
      <c r="I469" s="62"/>
      <c r="J469" s="62"/>
      <c r="K469" s="63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</row>
    <row r="470" spans="1:41" ht="15.5">
      <c r="A470" s="623">
        <f ca="1">IFERROR(__xludf.DUMMYFUNCTION("""COMPUTED_VALUE"""),469)</f>
        <v>469</v>
      </c>
      <c r="B470" s="624">
        <f ca="1">IFERROR(__xludf.DUMMYFUNCTION("""COMPUTED_VALUE"""),5306)</f>
        <v>5306</v>
      </c>
      <c r="C470" s="624" t="str">
        <f ca="1">IFERROR(__xludf.DUMMYFUNCTION("""COMPUTED_VALUE"""),"桂盟")</f>
        <v>桂盟</v>
      </c>
      <c r="D470" s="630">
        <f ca="1">IFERROR(__xludf.DUMMYFUNCTION("""COMPUTED_VALUE"""),0.00008)</f>
        <v>8.0000000000000007E-5</v>
      </c>
      <c r="E470" s="628">
        <f ca="1">IFERROR(__xludf.DUMMYFUNCTION("""COMPUTED_VALUE"""),1003)</f>
        <v>1003</v>
      </c>
      <c r="F470" s="624">
        <f ca="1">IFERROR(__xludf.DUMMYFUNCTION("""COMPUTED_VALUE"""),1471)</f>
        <v>1471</v>
      </c>
      <c r="G470" s="624" t="str">
        <f ca="1">IFERROR(__xludf.DUMMYFUNCTION("""COMPUTED_VALUE"""),"首利")</f>
        <v>首利</v>
      </c>
      <c r="H470" s="632">
        <f ca="1">IFERROR(__xludf.DUMMYFUNCTION("""COMPUTED_VALUE"""),0.00001)</f>
        <v>1.0000000000000001E-5</v>
      </c>
      <c r="I470" s="62"/>
      <c r="J470" s="62"/>
      <c r="K470" s="63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</row>
    <row r="471" spans="1:41" ht="15.5">
      <c r="A471" s="623">
        <f ca="1">IFERROR(__xludf.DUMMYFUNCTION("""COMPUTED_VALUE"""),470)</f>
        <v>470</v>
      </c>
      <c r="B471" s="624">
        <f ca="1">IFERROR(__xludf.DUMMYFUNCTION("""COMPUTED_VALUE"""),6873)</f>
        <v>6873</v>
      </c>
      <c r="C471" s="624" t="str">
        <f ca="1">IFERROR(__xludf.DUMMYFUNCTION("""COMPUTED_VALUE"""),"泓德能源")</f>
        <v>泓德能源</v>
      </c>
      <c r="D471" s="630">
        <f ca="1">IFERROR(__xludf.DUMMYFUNCTION("""COMPUTED_VALUE"""),0.00008)</f>
        <v>8.0000000000000007E-5</v>
      </c>
      <c r="E471" s="628">
        <f ca="1">IFERROR(__xludf.DUMMYFUNCTION("""COMPUTED_VALUE"""),1004)</f>
        <v>1004</v>
      </c>
      <c r="F471" s="624">
        <f ca="1">IFERROR(__xludf.DUMMYFUNCTION("""COMPUTED_VALUE"""),1805)</f>
        <v>1805</v>
      </c>
      <c r="G471" s="624" t="str">
        <f ca="1">IFERROR(__xludf.DUMMYFUNCTION("""COMPUTED_VALUE"""),"寶徠")</f>
        <v>寶徠</v>
      </c>
      <c r="H471" s="632">
        <f ca="1">IFERROR(__xludf.DUMMYFUNCTION("""COMPUTED_VALUE"""),0.00001)</f>
        <v>1.0000000000000001E-5</v>
      </c>
      <c r="I471" s="62"/>
      <c r="J471" s="62"/>
      <c r="K471" s="63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</row>
    <row r="472" spans="1:41" ht="15.5">
      <c r="A472" s="623">
        <f ca="1">IFERROR(__xludf.DUMMYFUNCTION("""COMPUTED_VALUE"""),471)</f>
        <v>471</v>
      </c>
      <c r="B472" s="624">
        <f ca="1">IFERROR(__xludf.DUMMYFUNCTION("""COMPUTED_VALUE"""),1720)</f>
        <v>1720</v>
      </c>
      <c r="C472" s="624" t="str">
        <f ca="1">IFERROR(__xludf.DUMMYFUNCTION("""COMPUTED_VALUE"""),"生達")</f>
        <v>生達</v>
      </c>
      <c r="D472" s="630">
        <f ca="1">IFERROR(__xludf.DUMMYFUNCTION("""COMPUTED_VALUE"""),0.000079)</f>
        <v>7.8999999999999996E-5</v>
      </c>
      <c r="E472" s="628">
        <f ca="1">IFERROR(__xludf.DUMMYFUNCTION("""COMPUTED_VALUE"""),1005)</f>
        <v>1005</v>
      </c>
      <c r="F472" s="624">
        <f ca="1">IFERROR(__xludf.DUMMYFUNCTION("""COMPUTED_VALUE"""),2024)</f>
        <v>2024</v>
      </c>
      <c r="G472" s="624" t="str">
        <f ca="1">IFERROR(__xludf.DUMMYFUNCTION("""COMPUTED_VALUE"""),"志聯")</f>
        <v>志聯</v>
      </c>
      <c r="H472" s="632">
        <f ca="1">IFERROR(__xludf.DUMMYFUNCTION("""COMPUTED_VALUE"""),0.00001)</f>
        <v>1.0000000000000001E-5</v>
      </c>
      <c r="I472" s="62"/>
      <c r="J472" s="62"/>
      <c r="K472" s="63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</row>
    <row r="473" spans="1:41" ht="15.5">
      <c r="A473" s="623">
        <f ca="1">IFERROR(__xludf.DUMMYFUNCTION("""COMPUTED_VALUE"""),472)</f>
        <v>472</v>
      </c>
      <c r="B473" s="624">
        <f ca="1">IFERROR(__xludf.DUMMYFUNCTION("""COMPUTED_VALUE"""),1709)</f>
        <v>1709</v>
      </c>
      <c r="C473" s="624" t="str">
        <f ca="1">IFERROR(__xludf.DUMMYFUNCTION("""COMPUTED_VALUE"""),"和益")</f>
        <v>和益</v>
      </c>
      <c r="D473" s="630">
        <f ca="1">IFERROR(__xludf.DUMMYFUNCTION("""COMPUTED_VALUE"""),0.000078)</f>
        <v>7.7999999999999999E-5</v>
      </c>
      <c r="E473" s="628">
        <f ca="1">IFERROR(__xludf.DUMMYFUNCTION("""COMPUTED_VALUE"""),1006)</f>
        <v>1006</v>
      </c>
      <c r="F473" s="624">
        <f ca="1">IFERROR(__xludf.DUMMYFUNCTION("""COMPUTED_VALUE"""),3164)</f>
        <v>3164</v>
      </c>
      <c r="G473" s="624" t="str">
        <f ca="1">IFERROR(__xludf.DUMMYFUNCTION("""COMPUTED_VALUE"""),"景岳")</f>
        <v>景岳</v>
      </c>
      <c r="H473" s="632">
        <f ca="1">IFERROR(__xludf.DUMMYFUNCTION("""COMPUTED_VALUE"""),0.00001)</f>
        <v>1.0000000000000001E-5</v>
      </c>
      <c r="I473" s="62"/>
      <c r="J473" s="62"/>
      <c r="K473" s="63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</row>
    <row r="474" spans="1:41" ht="15.5">
      <c r="A474" s="623">
        <f ca="1">IFERROR(__xludf.DUMMYFUNCTION("""COMPUTED_VALUE"""),473)</f>
        <v>473</v>
      </c>
      <c r="B474" s="624">
        <f ca="1">IFERROR(__xludf.DUMMYFUNCTION("""COMPUTED_VALUE"""),1103)</f>
        <v>1103</v>
      </c>
      <c r="C474" s="624" t="str">
        <f ca="1">IFERROR(__xludf.DUMMYFUNCTION("""COMPUTED_VALUE"""),"嘉泥")</f>
        <v>嘉泥</v>
      </c>
      <c r="D474" s="630">
        <f ca="1">IFERROR(__xludf.DUMMYFUNCTION("""COMPUTED_VALUE"""),0.000078)</f>
        <v>7.7999999999999999E-5</v>
      </c>
      <c r="E474" s="628">
        <f ca="1">IFERROR(__xludf.DUMMYFUNCTION("""COMPUTED_VALUE"""),1007)</f>
        <v>1007</v>
      </c>
      <c r="F474" s="624">
        <f ca="1">IFERROR(__xludf.DUMMYFUNCTION("""COMPUTED_VALUE"""),3229)</f>
        <v>3229</v>
      </c>
      <c r="G474" s="624" t="str">
        <f ca="1">IFERROR(__xludf.DUMMYFUNCTION("""COMPUTED_VALUE"""),"晟鈦")</f>
        <v>晟鈦</v>
      </c>
      <c r="H474" s="632">
        <f ca="1">IFERROR(__xludf.DUMMYFUNCTION("""COMPUTED_VALUE"""),0.00001)</f>
        <v>1.0000000000000001E-5</v>
      </c>
      <c r="I474" s="62"/>
      <c r="J474" s="62"/>
      <c r="K474" s="63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</row>
    <row r="475" spans="1:41" ht="15.5">
      <c r="A475" s="623">
        <f ca="1">IFERROR(__xludf.DUMMYFUNCTION("""COMPUTED_VALUE"""),474)</f>
        <v>474</v>
      </c>
      <c r="B475" s="624">
        <f ca="1">IFERROR(__xludf.DUMMYFUNCTION("""COMPUTED_VALUE"""),2436)</f>
        <v>2436</v>
      </c>
      <c r="C475" s="624" t="str">
        <f ca="1">IFERROR(__xludf.DUMMYFUNCTION("""COMPUTED_VALUE"""),"偉詮電")</f>
        <v>偉詮電</v>
      </c>
      <c r="D475" s="630">
        <f ca="1">IFERROR(__xludf.DUMMYFUNCTION("""COMPUTED_VALUE"""),0.000078)</f>
        <v>7.7999999999999999E-5</v>
      </c>
      <c r="E475" s="628">
        <f ca="1">IFERROR(__xludf.DUMMYFUNCTION("""COMPUTED_VALUE"""),1008)</f>
        <v>1008</v>
      </c>
      <c r="F475" s="624">
        <f ca="1">IFERROR(__xludf.DUMMYFUNCTION("""COMPUTED_VALUE"""),3011)</f>
        <v>3011</v>
      </c>
      <c r="G475" s="624" t="str">
        <f ca="1">IFERROR(__xludf.DUMMYFUNCTION("""COMPUTED_VALUE"""),"今皓")</f>
        <v>今皓</v>
      </c>
      <c r="H475" s="632">
        <f ca="1">IFERROR(__xludf.DUMMYFUNCTION("""COMPUTED_VALUE"""),0.00001)</f>
        <v>1.0000000000000001E-5</v>
      </c>
      <c r="I475" s="62"/>
      <c r="J475" s="62"/>
      <c r="K475" s="63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</row>
    <row r="476" spans="1:41" ht="15.5">
      <c r="A476" s="623">
        <f ca="1">IFERROR(__xludf.DUMMYFUNCTION("""COMPUTED_VALUE"""),475)</f>
        <v>475</v>
      </c>
      <c r="B476" s="624">
        <f ca="1">IFERROR(__xludf.DUMMYFUNCTION("""COMPUTED_VALUE"""),2406)</f>
        <v>2406</v>
      </c>
      <c r="C476" s="624" t="str">
        <f ca="1">IFERROR(__xludf.DUMMYFUNCTION("""COMPUTED_VALUE"""),"國碩")</f>
        <v>國碩</v>
      </c>
      <c r="D476" s="630">
        <f ca="1">IFERROR(__xludf.DUMMYFUNCTION("""COMPUTED_VALUE"""),0.000078)</f>
        <v>7.7999999999999999E-5</v>
      </c>
      <c r="E476" s="628">
        <f ca="1">IFERROR(__xludf.DUMMYFUNCTION("""COMPUTED_VALUE"""),1009)</f>
        <v>1009</v>
      </c>
      <c r="F476" s="624">
        <f ca="1">IFERROR(__xludf.DUMMYFUNCTION("""COMPUTED_VALUE"""),2482)</f>
        <v>2482</v>
      </c>
      <c r="G476" s="624" t="str">
        <f ca="1">IFERROR(__xludf.DUMMYFUNCTION("""COMPUTED_VALUE"""),"連宇")</f>
        <v>連宇</v>
      </c>
      <c r="H476" s="632">
        <f ca="1">IFERROR(__xludf.DUMMYFUNCTION("""COMPUTED_VALUE"""),0.000009)</f>
        <v>9.0000000000000002E-6</v>
      </c>
      <c r="I476" s="62"/>
      <c r="J476" s="62"/>
      <c r="K476" s="63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</row>
    <row r="477" spans="1:41" ht="15.5">
      <c r="A477" s="623">
        <f ca="1">IFERROR(__xludf.DUMMYFUNCTION("""COMPUTED_VALUE"""),476)</f>
        <v>476</v>
      </c>
      <c r="B477" s="624">
        <f ca="1">IFERROR(__xludf.DUMMYFUNCTION("""COMPUTED_VALUE"""),6438)</f>
        <v>6438</v>
      </c>
      <c r="C477" s="624" t="str">
        <f ca="1">IFERROR(__xludf.DUMMYFUNCTION("""COMPUTED_VALUE"""),"迅得")</f>
        <v>迅得</v>
      </c>
      <c r="D477" s="630">
        <f ca="1">IFERROR(__xludf.DUMMYFUNCTION("""COMPUTED_VALUE"""),0.000078)</f>
        <v>7.7999999999999999E-5</v>
      </c>
      <c r="E477" s="628">
        <f ca="1">IFERROR(__xludf.DUMMYFUNCTION("""COMPUTED_VALUE"""),1010)</f>
        <v>1010</v>
      </c>
      <c r="F477" s="624">
        <f ca="1">IFERROR(__xludf.DUMMYFUNCTION("""COMPUTED_VALUE"""),2033)</f>
        <v>2033</v>
      </c>
      <c r="G477" s="624" t="str">
        <f ca="1">IFERROR(__xludf.DUMMYFUNCTION("""COMPUTED_VALUE"""),"佳大")</f>
        <v>佳大</v>
      </c>
      <c r="H477" s="632">
        <f ca="1">IFERROR(__xludf.DUMMYFUNCTION("""COMPUTED_VALUE"""),0.000009)</f>
        <v>9.0000000000000002E-6</v>
      </c>
      <c r="I477" s="62"/>
      <c r="J477" s="62"/>
      <c r="K477" s="63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</row>
    <row r="478" spans="1:41" ht="15.5">
      <c r="A478" s="623">
        <f ca="1">IFERROR(__xludf.DUMMYFUNCTION("""COMPUTED_VALUE"""),477)</f>
        <v>477</v>
      </c>
      <c r="B478" s="624">
        <f ca="1">IFERROR(__xludf.DUMMYFUNCTION("""COMPUTED_VALUE"""),4169)</f>
        <v>4169</v>
      </c>
      <c r="C478" s="624" t="str">
        <f ca="1">IFERROR(__xludf.DUMMYFUNCTION("""COMPUTED_VALUE"""),"泰宗")</f>
        <v>泰宗</v>
      </c>
      <c r="D478" s="630">
        <f ca="1">IFERROR(__xludf.DUMMYFUNCTION("""COMPUTED_VALUE"""),0.000078)</f>
        <v>7.7999999999999999E-5</v>
      </c>
      <c r="E478" s="628">
        <f ca="1">IFERROR(__xludf.DUMMYFUNCTION("""COMPUTED_VALUE"""),1011)</f>
        <v>1011</v>
      </c>
      <c r="F478" s="624">
        <f ca="1">IFERROR(__xludf.DUMMYFUNCTION("""COMPUTED_VALUE"""),1474)</f>
        <v>1474</v>
      </c>
      <c r="G478" s="624" t="str">
        <f ca="1">IFERROR(__xludf.DUMMYFUNCTION("""COMPUTED_VALUE"""),"弘裕")</f>
        <v>弘裕</v>
      </c>
      <c r="H478" s="632">
        <f ca="1">IFERROR(__xludf.DUMMYFUNCTION("""COMPUTED_VALUE"""),0.000009)</f>
        <v>9.0000000000000002E-6</v>
      </c>
      <c r="I478" s="62"/>
      <c r="J478" s="62"/>
      <c r="K478" s="63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</row>
    <row r="479" spans="1:41" ht="15.5">
      <c r="A479" s="623">
        <f ca="1">IFERROR(__xludf.DUMMYFUNCTION("""COMPUTED_VALUE"""),478)</f>
        <v>478</v>
      </c>
      <c r="B479" s="624">
        <f ca="1">IFERROR(__xludf.DUMMYFUNCTION("""COMPUTED_VALUE"""),4960)</f>
        <v>4960</v>
      </c>
      <c r="C479" s="624" t="str">
        <f ca="1">IFERROR(__xludf.DUMMYFUNCTION("""COMPUTED_VALUE"""),"誠美材")</f>
        <v>誠美材</v>
      </c>
      <c r="D479" s="630">
        <f ca="1">IFERROR(__xludf.DUMMYFUNCTION("""COMPUTED_VALUE"""),0.000078)</f>
        <v>7.7999999999999999E-5</v>
      </c>
      <c r="E479" s="628">
        <f ca="1">IFERROR(__xludf.DUMMYFUNCTION("""COMPUTED_VALUE"""),1012)</f>
        <v>1012</v>
      </c>
      <c r="F479" s="624">
        <f ca="1">IFERROR(__xludf.DUMMYFUNCTION("""COMPUTED_VALUE"""),1453)</f>
        <v>1453</v>
      </c>
      <c r="G479" s="624" t="str">
        <f ca="1">IFERROR(__xludf.DUMMYFUNCTION("""COMPUTED_VALUE"""),"大將")</f>
        <v>大將</v>
      </c>
      <c r="H479" s="632">
        <f ca="1">IFERROR(__xludf.DUMMYFUNCTION("""COMPUTED_VALUE"""),0.000009)</f>
        <v>9.0000000000000002E-6</v>
      </c>
      <c r="I479" s="62"/>
      <c r="J479" s="62"/>
      <c r="K479" s="63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</row>
    <row r="480" spans="1:41" ht="15.5">
      <c r="A480" s="623">
        <f ca="1">IFERROR(__xludf.DUMMYFUNCTION("""COMPUTED_VALUE"""),479)</f>
        <v>479</v>
      </c>
      <c r="B480" s="624">
        <f ca="1">IFERROR(__xludf.DUMMYFUNCTION("""COMPUTED_VALUE"""),3545)</f>
        <v>3545</v>
      </c>
      <c r="C480" s="624" t="str">
        <f ca="1">IFERROR(__xludf.DUMMYFUNCTION("""COMPUTED_VALUE"""),"敦泰")</f>
        <v>敦泰</v>
      </c>
      <c r="D480" s="630">
        <f ca="1">IFERROR(__xludf.DUMMYFUNCTION("""COMPUTED_VALUE"""),0.000078)</f>
        <v>7.7999999999999999E-5</v>
      </c>
      <c r="E480" s="628">
        <f ca="1">IFERROR(__xludf.DUMMYFUNCTION("""COMPUTED_VALUE"""),1013)</f>
        <v>1013</v>
      </c>
      <c r="F480" s="624">
        <f ca="1">IFERROR(__xludf.DUMMYFUNCTION("""COMPUTED_VALUE"""),1456)</f>
        <v>1456</v>
      </c>
      <c r="G480" s="624" t="str">
        <f ca="1">IFERROR(__xludf.DUMMYFUNCTION("""COMPUTED_VALUE"""),"怡華")</f>
        <v>怡華</v>
      </c>
      <c r="H480" s="632">
        <f ca="1">IFERROR(__xludf.DUMMYFUNCTION("""COMPUTED_VALUE"""),0.000009)</f>
        <v>9.0000000000000002E-6</v>
      </c>
      <c r="I480" s="62"/>
      <c r="J480" s="62"/>
      <c r="K480" s="63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</row>
    <row r="481" spans="1:41" ht="15.5">
      <c r="A481" s="623">
        <f ca="1">IFERROR(__xludf.DUMMYFUNCTION("""COMPUTED_VALUE"""),480)</f>
        <v>480</v>
      </c>
      <c r="B481" s="624">
        <f ca="1">IFERROR(__xludf.DUMMYFUNCTION("""COMPUTED_VALUE"""),4755)</f>
        <v>4755</v>
      </c>
      <c r="C481" s="624" t="str">
        <f ca="1">IFERROR(__xludf.DUMMYFUNCTION("""COMPUTED_VALUE"""),"三福化")</f>
        <v>三福化</v>
      </c>
      <c r="D481" s="630">
        <f ca="1">IFERROR(__xludf.DUMMYFUNCTION("""COMPUTED_VALUE"""),0.000077)</f>
        <v>7.7000000000000001E-5</v>
      </c>
      <c r="E481" s="628">
        <f ca="1">IFERROR(__xludf.DUMMYFUNCTION("""COMPUTED_VALUE"""),1014)</f>
        <v>1014</v>
      </c>
      <c r="F481" s="624">
        <f ca="1">IFERROR(__xludf.DUMMYFUNCTION("""COMPUTED_VALUE"""),1465)</f>
        <v>1465</v>
      </c>
      <c r="G481" s="624" t="str">
        <f ca="1">IFERROR(__xludf.DUMMYFUNCTION("""COMPUTED_VALUE"""),"偉全")</f>
        <v>偉全</v>
      </c>
      <c r="H481" s="632">
        <f ca="1">IFERROR(__xludf.DUMMYFUNCTION("""COMPUTED_VALUE"""),0.000009)</f>
        <v>9.0000000000000002E-6</v>
      </c>
      <c r="I481" s="62"/>
      <c r="J481" s="62"/>
      <c r="K481" s="63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</row>
    <row r="482" spans="1:41" ht="15.5">
      <c r="A482" s="623">
        <f ca="1">IFERROR(__xludf.DUMMYFUNCTION("""COMPUTED_VALUE"""),481)</f>
        <v>481</v>
      </c>
      <c r="B482" s="624">
        <f ca="1">IFERROR(__xludf.DUMMYFUNCTION("""COMPUTED_VALUE"""),7818)</f>
        <v>7818</v>
      </c>
      <c r="C482" s="624" t="str">
        <f ca="1">IFERROR(__xludf.DUMMYFUNCTION("""COMPUTED_VALUE"""),"溢泰實業")</f>
        <v>溢泰實業</v>
      </c>
      <c r="D482" s="630">
        <f ca="1">IFERROR(__xludf.DUMMYFUNCTION("""COMPUTED_VALUE"""),0.000077)</f>
        <v>7.7000000000000001E-5</v>
      </c>
      <c r="E482" s="628">
        <f ca="1">IFERROR(__xludf.DUMMYFUNCTION("""COMPUTED_VALUE"""),1015)</f>
        <v>1015</v>
      </c>
      <c r="F482" s="624">
        <f ca="1">IFERROR(__xludf.DUMMYFUNCTION("""COMPUTED_VALUE"""),1337)</f>
        <v>1337</v>
      </c>
      <c r="G482" s="624" t="str">
        <f ca="1">IFERROR(__xludf.DUMMYFUNCTION("""COMPUTED_VALUE"""),"再生-KY")</f>
        <v>再生-KY</v>
      </c>
      <c r="H482" s="632">
        <f ca="1">IFERROR(__xludf.DUMMYFUNCTION("""COMPUTED_VALUE"""),0.000009)</f>
        <v>9.0000000000000002E-6</v>
      </c>
      <c r="I482" s="62"/>
      <c r="J482" s="62"/>
      <c r="K482" s="63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</row>
    <row r="483" spans="1:41" ht="15.5">
      <c r="A483" s="623">
        <f ca="1">IFERROR(__xludf.DUMMYFUNCTION("""COMPUTED_VALUE"""),482)</f>
        <v>482</v>
      </c>
      <c r="B483" s="624">
        <f ca="1">IFERROR(__xludf.DUMMYFUNCTION("""COMPUTED_VALUE"""),2547)</f>
        <v>2547</v>
      </c>
      <c r="C483" s="624" t="str">
        <f ca="1">IFERROR(__xludf.DUMMYFUNCTION("""COMPUTED_VALUE"""),"日勝生")</f>
        <v>日勝生</v>
      </c>
      <c r="D483" s="630">
        <f ca="1">IFERROR(__xludf.DUMMYFUNCTION("""COMPUTED_VALUE"""),0.000077)</f>
        <v>7.7000000000000001E-5</v>
      </c>
      <c r="E483" s="628">
        <f ca="1">IFERROR(__xludf.DUMMYFUNCTION("""COMPUTED_VALUE"""),1016)</f>
        <v>1016</v>
      </c>
      <c r="F483" s="624">
        <f ca="1">IFERROR(__xludf.DUMMYFUNCTION("""COMPUTED_VALUE"""),1338)</f>
        <v>1338</v>
      </c>
      <c r="G483" s="624" t="str">
        <f ca="1">IFERROR(__xludf.DUMMYFUNCTION("""COMPUTED_VALUE"""),"廣華-KY")</f>
        <v>廣華-KY</v>
      </c>
      <c r="H483" s="632">
        <f ca="1">IFERROR(__xludf.DUMMYFUNCTION("""COMPUTED_VALUE"""),0.000009)</f>
        <v>9.0000000000000002E-6</v>
      </c>
      <c r="I483" s="62"/>
      <c r="J483" s="62"/>
      <c r="K483" s="63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</row>
    <row r="484" spans="1:41" ht="15.5">
      <c r="A484" s="623">
        <f ca="1">IFERROR(__xludf.DUMMYFUNCTION("""COMPUTED_VALUE"""),483)</f>
        <v>483</v>
      </c>
      <c r="B484" s="624">
        <f ca="1">IFERROR(__xludf.DUMMYFUNCTION("""COMPUTED_VALUE"""),2323)</f>
        <v>2323</v>
      </c>
      <c r="C484" s="624" t="str">
        <f ca="1">IFERROR(__xludf.DUMMYFUNCTION("""COMPUTED_VALUE"""),"中環")</f>
        <v>中環</v>
      </c>
      <c r="D484" s="630">
        <f ca="1">IFERROR(__xludf.DUMMYFUNCTION("""COMPUTED_VALUE"""),0.000077)</f>
        <v>7.7000000000000001E-5</v>
      </c>
      <c r="E484" s="628">
        <f ca="1">IFERROR(__xludf.DUMMYFUNCTION("""COMPUTED_VALUE"""),1017)</f>
        <v>1017</v>
      </c>
      <c r="F484" s="624">
        <f ca="1">IFERROR(__xludf.DUMMYFUNCTION("""COMPUTED_VALUE"""),9928)</f>
        <v>9928</v>
      </c>
      <c r="G484" s="624" t="str">
        <f ca="1">IFERROR(__xludf.DUMMYFUNCTION("""COMPUTED_VALUE"""),"中視")</f>
        <v>中視</v>
      </c>
      <c r="H484" s="632">
        <f ca="1">IFERROR(__xludf.DUMMYFUNCTION("""COMPUTED_VALUE"""),0.000009)</f>
        <v>9.0000000000000002E-6</v>
      </c>
      <c r="I484" s="62"/>
      <c r="J484" s="62"/>
      <c r="K484" s="63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</row>
    <row r="485" spans="1:41" ht="15.5">
      <c r="A485" s="623">
        <f ca="1">IFERROR(__xludf.DUMMYFUNCTION("""COMPUTED_VALUE"""),484)</f>
        <v>484</v>
      </c>
      <c r="B485" s="624">
        <f ca="1">IFERROR(__xludf.DUMMYFUNCTION("""COMPUTED_VALUE"""),6854)</f>
        <v>6854</v>
      </c>
      <c r="C485" s="624" t="str">
        <f ca="1">IFERROR(__xludf.DUMMYFUNCTION("""COMPUTED_VALUE"""),"錼創科技-KY創")</f>
        <v>錼創科技-KY創</v>
      </c>
      <c r="D485" s="630">
        <f ca="1">IFERROR(__xludf.DUMMYFUNCTION("""COMPUTED_VALUE"""),0.000076)</f>
        <v>7.6000000000000004E-5</v>
      </c>
      <c r="E485" s="628">
        <f ca="1">IFERROR(__xludf.DUMMYFUNCTION("""COMPUTED_VALUE"""),1018)</f>
        <v>1018</v>
      </c>
      <c r="F485" s="624">
        <f ca="1">IFERROR(__xludf.DUMMYFUNCTION("""COMPUTED_VALUE"""),6908)</f>
        <v>6908</v>
      </c>
      <c r="G485" s="624" t="str">
        <f ca="1">IFERROR(__xludf.DUMMYFUNCTION("""COMPUTED_VALUE"""),"宏碁遊戲-創")</f>
        <v>宏碁遊戲-創</v>
      </c>
      <c r="H485" s="632">
        <f ca="1">IFERROR(__xludf.DUMMYFUNCTION("""COMPUTED_VALUE"""),0.000009)</f>
        <v>9.0000000000000002E-6</v>
      </c>
      <c r="I485" s="62"/>
      <c r="J485" s="62"/>
      <c r="K485" s="63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</row>
    <row r="486" spans="1:41" ht="15.5">
      <c r="A486" s="623">
        <f ca="1">IFERROR(__xludf.DUMMYFUNCTION("""COMPUTED_VALUE"""),485)</f>
        <v>485</v>
      </c>
      <c r="B486" s="624">
        <f ca="1">IFERROR(__xludf.DUMMYFUNCTION("""COMPUTED_VALUE"""),4771)</f>
        <v>4771</v>
      </c>
      <c r="C486" s="624" t="str">
        <f ca="1">IFERROR(__xludf.DUMMYFUNCTION("""COMPUTED_VALUE"""),"望隼")</f>
        <v>望隼</v>
      </c>
      <c r="D486" s="630">
        <f ca="1">IFERROR(__xludf.DUMMYFUNCTION("""COMPUTED_VALUE"""),0.000076)</f>
        <v>7.6000000000000004E-5</v>
      </c>
      <c r="E486" s="628">
        <f ca="1">IFERROR(__xludf.DUMMYFUNCTION("""COMPUTED_VALUE"""),1019)</f>
        <v>1019</v>
      </c>
      <c r="F486" s="624">
        <f ca="1">IFERROR(__xludf.DUMMYFUNCTION("""COMPUTED_VALUE"""),6916)</f>
        <v>6916</v>
      </c>
      <c r="G486" s="624" t="str">
        <f ca="1">IFERROR(__xludf.DUMMYFUNCTION("""COMPUTED_VALUE"""),"華凌")</f>
        <v>華凌</v>
      </c>
      <c r="H486" s="632">
        <f ca="1">IFERROR(__xludf.DUMMYFUNCTION("""COMPUTED_VALUE"""),0.000009)</f>
        <v>9.0000000000000002E-6</v>
      </c>
      <c r="I486" s="62"/>
      <c r="J486" s="62"/>
      <c r="K486" s="63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</row>
    <row r="487" spans="1:41" ht="15.5">
      <c r="A487" s="623">
        <f ca="1">IFERROR(__xludf.DUMMYFUNCTION("""COMPUTED_VALUE"""),486)</f>
        <v>486</v>
      </c>
      <c r="B487" s="624">
        <f ca="1">IFERROR(__xludf.DUMMYFUNCTION("""COMPUTED_VALUE"""),6464)</f>
        <v>6464</v>
      </c>
      <c r="C487" s="624" t="str">
        <f ca="1">IFERROR(__xludf.DUMMYFUNCTION("""COMPUTED_VALUE"""),"台數科")</f>
        <v>台數科</v>
      </c>
      <c r="D487" s="630">
        <f ca="1">IFERROR(__xludf.DUMMYFUNCTION("""COMPUTED_VALUE"""),0.000076)</f>
        <v>7.6000000000000004E-5</v>
      </c>
      <c r="E487" s="628">
        <f ca="1">IFERROR(__xludf.DUMMYFUNCTION("""COMPUTED_VALUE"""),1020)</f>
        <v>1020</v>
      </c>
      <c r="F487" s="624">
        <f ca="1">IFERROR(__xludf.DUMMYFUNCTION("""COMPUTED_VALUE"""),6573)</f>
        <v>6573</v>
      </c>
      <c r="G487" s="624" t="str">
        <f ca="1">IFERROR(__xludf.DUMMYFUNCTION("""COMPUTED_VALUE"""),"虹揚-KY")</f>
        <v>虹揚-KY</v>
      </c>
      <c r="H487" s="632">
        <f ca="1">IFERROR(__xludf.DUMMYFUNCTION("""COMPUTED_VALUE"""),0.000009)</f>
        <v>9.0000000000000002E-6</v>
      </c>
      <c r="I487" s="62"/>
      <c r="J487" s="62"/>
      <c r="K487" s="63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</row>
    <row r="488" spans="1:41" ht="15.5">
      <c r="A488" s="623">
        <f ca="1">IFERROR(__xludf.DUMMYFUNCTION("""COMPUTED_VALUE"""),487)</f>
        <v>487</v>
      </c>
      <c r="B488" s="624">
        <f ca="1">IFERROR(__xludf.DUMMYFUNCTION("""COMPUTED_VALUE"""),6192)</f>
        <v>6192</v>
      </c>
      <c r="C488" s="624" t="str">
        <f ca="1">IFERROR(__xludf.DUMMYFUNCTION("""COMPUTED_VALUE"""),"巨路")</f>
        <v>巨路</v>
      </c>
      <c r="D488" s="630">
        <f ca="1">IFERROR(__xludf.DUMMYFUNCTION("""COMPUTED_VALUE"""),0.000076)</f>
        <v>7.6000000000000004E-5</v>
      </c>
      <c r="E488" s="628">
        <f ca="1">IFERROR(__xludf.DUMMYFUNCTION("""COMPUTED_VALUE"""),1021)</f>
        <v>1021</v>
      </c>
      <c r="F488" s="624">
        <f ca="1">IFERROR(__xludf.DUMMYFUNCTION("""COMPUTED_VALUE"""),4195)</f>
        <v>4195</v>
      </c>
      <c r="G488" s="624" t="str">
        <f ca="1">IFERROR(__xludf.DUMMYFUNCTION("""COMPUTED_VALUE"""),"基米-創")</f>
        <v>基米-創</v>
      </c>
      <c r="H488" s="632">
        <f ca="1">IFERROR(__xludf.DUMMYFUNCTION("""COMPUTED_VALUE"""),0.000009)</f>
        <v>9.0000000000000002E-6</v>
      </c>
      <c r="I488" s="62"/>
      <c r="J488" s="62"/>
      <c r="K488" s="63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</row>
    <row r="489" spans="1:41" ht="15.5">
      <c r="A489" s="623">
        <f ca="1">IFERROR(__xludf.DUMMYFUNCTION("""COMPUTED_VALUE"""),488)</f>
        <v>488</v>
      </c>
      <c r="B489" s="624">
        <f ca="1">IFERROR(__xludf.DUMMYFUNCTION("""COMPUTED_VALUE"""),1442)</f>
        <v>1442</v>
      </c>
      <c r="C489" s="624" t="str">
        <f ca="1">IFERROR(__xludf.DUMMYFUNCTION("""COMPUTED_VALUE"""),"名軒")</f>
        <v>名軒</v>
      </c>
      <c r="D489" s="630">
        <f ca="1">IFERROR(__xludf.DUMMYFUNCTION("""COMPUTED_VALUE"""),0.000075)</f>
        <v>7.4999999999999993E-5</v>
      </c>
      <c r="E489" s="628">
        <f ca="1">IFERROR(__xludf.DUMMYFUNCTION("""COMPUTED_VALUE"""),1022)</f>
        <v>1022</v>
      </c>
      <c r="F489" s="624">
        <f ca="1">IFERROR(__xludf.DUMMYFUNCTION("""COMPUTED_VALUE"""),4133)</f>
        <v>4133</v>
      </c>
      <c r="G489" s="624" t="str">
        <f ca="1">IFERROR(__xludf.DUMMYFUNCTION("""COMPUTED_VALUE"""),"亞諾法")</f>
        <v>亞諾法</v>
      </c>
      <c r="H489" s="632">
        <f ca="1">IFERROR(__xludf.DUMMYFUNCTION("""COMPUTED_VALUE"""),0.000009)</f>
        <v>9.0000000000000002E-6</v>
      </c>
      <c r="I489" s="62"/>
      <c r="J489" s="62"/>
      <c r="K489" s="63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</row>
    <row r="490" spans="1:41" ht="15.5">
      <c r="A490" s="623">
        <f ca="1">IFERROR(__xludf.DUMMYFUNCTION("""COMPUTED_VALUE"""),489)</f>
        <v>489</v>
      </c>
      <c r="B490" s="624">
        <f ca="1">IFERROR(__xludf.DUMMYFUNCTION("""COMPUTED_VALUE"""),2423)</f>
        <v>2423</v>
      </c>
      <c r="C490" s="624" t="str">
        <f ca="1">IFERROR(__xludf.DUMMYFUNCTION("""COMPUTED_VALUE"""),"固緯")</f>
        <v>固緯</v>
      </c>
      <c r="D490" s="630">
        <f ca="1">IFERROR(__xludf.DUMMYFUNCTION("""COMPUTED_VALUE"""),0.000075)</f>
        <v>7.4999999999999993E-5</v>
      </c>
      <c r="E490" s="628">
        <f ca="1">IFERROR(__xludf.DUMMYFUNCTION("""COMPUTED_VALUE"""),1023)</f>
        <v>1023</v>
      </c>
      <c r="F490" s="624">
        <f ca="1">IFERROR(__xludf.DUMMYFUNCTION("""COMPUTED_VALUE"""),4930)</f>
        <v>4930</v>
      </c>
      <c r="G490" s="624" t="str">
        <f ca="1">IFERROR(__xludf.DUMMYFUNCTION("""COMPUTED_VALUE"""),"燦星網")</f>
        <v>燦星網</v>
      </c>
      <c r="H490" s="632">
        <f ca="1">IFERROR(__xludf.DUMMYFUNCTION("""COMPUTED_VALUE"""),0.000009)</f>
        <v>9.0000000000000002E-6</v>
      </c>
      <c r="I490" s="62"/>
      <c r="J490" s="62"/>
      <c r="K490" s="63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</row>
    <row r="491" spans="1:41" ht="15.5">
      <c r="A491" s="623">
        <f ca="1">IFERROR(__xludf.DUMMYFUNCTION("""COMPUTED_VALUE"""),490)</f>
        <v>490</v>
      </c>
      <c r="B491" s="624">
        <f ca="1">IFERROR(__xludf.DUMMYFUNCTION("""COMPUTED_VALUE"""),1537)</f>
        <v>1537</v>
      </c>
      <c r="C491" s="624" t="str">
        <f ca="1">IFERROR(__xludf.DUMMYFUNCTION("""COMPUTED_VALUE"""),"廣隆")</f>
        <v>廣隆</v>
      </c>
      <c r="D491" s="630">
        <f ca="1">IFERROR(__xludf.DUMMYFUNCTION("""COMPUTED_VALUE"""),0.000074)</f>
        <v>7.3999999999999996E-5</v>
      </c>
      <c r="E491" s="628">
        <f ca="1">IFERROR(__xludf.DUMMYFUNCTION("""COMPUTED_VALUE"""),1024)</f>
        <v>1024</v>
      </c>
      <c r="F491" s="624">
        <f ca="1">IFERROR(__xludf.DUMMYFUNCTION("""COMPUTED_VALUE"""),4440)</f>
        <v>4440</v>
      </c>
      <c r="G491" s="624" t="str">
        <f ca="1">IFERROR(__xludf.DUMMYFUNCTION("""COMPUTED_VALUE"""),"宜新實業")</f>
        <v>宜新實業</v>
      </c>
      <c r="H491" s="632">
        <f ca="1">IFERROR(__xludf.DUMMYFUNCTION("""COMPUTED_VALUE"""),0.000008)</f>
        <v>7.9999999999999996E-6</v>
      </c>
      <c r="I491" s="62"/>
      <c r="J491" s="62"/>
      <c r="K491" s="63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</row>
    <row r="492" spans="1:41" ht="15.5">
      <c r="A492" s="623">
        <f ca="1">IFERROR(__xludf.DUMMYFUNCTION("""COMPUTED_VALUE"""),491)</f>
        <v>491</v>
      </c>
      <c r="B492" s="624">
        <f ca="1">IFERROR(__xludf.DUMMYFUNCTION("""COMPUTED_VALUE"""),2340)</f>
        <v>2340</v>
      </c>
      <c r="C492" s="624" t="str">
        <f ca="1">IFERROR(__xludf.DUMMYFUNCTION("""COMPUTED_VALUE"""),"台亞")</f>
        <v>台亞</v>
      </c>
      <c r="D492" s="630">
        <f ca="1">IFERROR(__xludf.DUMMYFUNCTION("""COMPUTED_VALUE"""),0.000074)</f>
        <v>7.3999999999999996E-5</v>
      </c>
      <c r="E492" s="628">
        <f ca="1">IFERROR(__xludf.DUMMYFUNCTION("""COMPUTED_VALUE"""),1025)</f>
        <v>1025</v>
      </c>
      <c r="F492" s="624">
        <f ca="1">IFERROR(__xludf.DUMMYFUNCTION("""COMPUTED_VALUE"""),3308)</f>
        <v>3308</v>
      </c>
      <c r="G492" s="624" t="str">
        <f ca="1">IFERROR(__xludf.DUMMYFUNCTION("""COMPUTED_VALUE"""),"聯德")</f>
        <v>聯德</v>
      </c>
      <c r="H492" s="632">
        <f ca="1">IFERROR(__xludf.DUMMYFUNCTION("""COMPUTED_VALUE"""),0.000008)</f>
        <v>7.9999999999999996E-6</v>
      </c>
      <c r="I492" s="62"/>
      <c r="J492" s="62"/>
      <c r="K492" s="63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</row>
    <row r="493" spans="1:41" ht="15.5">
      <c r="A493" s="623">
        <f ca="1">IFERROR(__xludf.DUMMYFUNCTION("""COMPUTED_VALUE"""),492)</f>
        <v>492</v>
      </c>
      <c r="B493" s="624">
        <f ca="1">IFERROR(__xludf.DUMMYFUNCTION("""COMPUTED_VALUE"""),6790)</f>
        <v>6790</v>
      </c>
      <c r="C493" s="624" t="str">
        <f ca="1">IFERROR(__xludf.DUMMYFUNCTION("""COMPUTED_VALUE"""),"永豐實")</f>
        <v>永豐實</v>
      </c>
      <c r="D493" s="630">
        <f ca="1">IFERROR(__xludf.DUMMYFUNCTION("""COMPUTED_VALUE"""),0.000074)</f>
        <v>7.3999999999999996E-5</v>
      </c>
      <c r="E493" s="628">
        <f ca="1">IFERROR(__xludf.DUMMYFUNCTION("""COMPUTED_VALUE"""),1026)</f>
        <v>1026</v>
      </c>
      <c r="F493" s="624">
        <f ca="1">IFERROR(__xludf.DUMMYFUNCTION("""COMPUTED_VALUE"""),3686)</f>
        <v>3686</v>
      </c>
      <c r="G493" s="624" t="str">
        <f ca="1">IFERROR(__xludf.DUMMYFUNCTION("""COMPUTED_VALUE"""),"達能")</f>
        <v>達能</v>
      </c>
      <c r="H493" s="632">
        <f ca="1">IFERROR(__xludf.DUMMYFUNCTION("""COMPUTED_VALUE"""),0.000008)</f>
        <v>7.9999999999999996E-6</v>
      </c>
      <c r="I493" s="62"/>
      <c r="J493" s="62"/>
      <c r="K493" s="63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</row>
    <row r="494" spans="1:41" ht="15.5">
      <c r="A494" s="623">
        <f ca="1">IFERROR(__xludf.DUMMYFUNCTION("""COMPUTED_VALUE"""),493)</f>
        <v>493</v>
      </c>
      <c r="B494" s="624">
        <f ca="1">IFERROR(__xludf.DUMMYFUNCTION("""COMPUTED_VALUE"""),2331)</f>
        <v>2331</v>
      </c>
      <c r="C494" s="624" t="str">
        <f ca="1">IFERROR(__xludf.DUMMYFUNCTION("""COMPUTED_VALUE"""),"精英")</f>
        <v>精英</v>
      </c>
      <c r="D494" s="630">
        <f ca="1">IFERROR(__xludf.DUMMYFUNCTION("""COMPUTED_VALUE"""),0.000073)</f>
        <v>7.2999999999999999E-5</v>
      </c>
      <c r="E494" s="628">
        <f ca="1">IFERROR(__xludf.DUMMYFUNCTION("""COMPUTED_VALUE"""),1027)</f>
        <v>1027</v>
      </c>
      <c r="F494" s="624">
        <f ca="1">IFERROR(__xludf.DUMMYFUNCTION("""COMPUTED_VALUE"""),5546)</f>
        <v>5546</v>
      </c>
      <c r="G494" s="624" t="str">
        <f ca="1">IFERROR(__xludf.DUMMYFUNCTION("""COMPUTED_VALUE"""),"永固-KY")</f>
        <v>永固-KY</v>
      </c>
      <c r="H494" s="632">
        <f ca="1">IFERROR(__xludf.DUMMYFUNCTION("""COMPUTED_VALUE"""),0.000008)</f>
        <v>7.9999999999999996E-6</v>
      </c>
      <c r="I494" s="62"/>
      <c r="J494" s="62"/>
      <c r="K494" s="63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</row>
    <row r="495" spans="1:41" ht="15.5">
      <c r="A495" s="623">
        <f ca="1">IFERROR(__xludf.DUMMYFUNCTION("""COMPUTED_VALUE"""),494)</f>
        <v>494</v>
      </c>
      <c r="B495" s="624">
        <f ca="1">IFERROR(__xludf.DUMMYFUNCTION("""COMPUTED_VALUE"""),1597)</f>
        <v>1597</v>
      </c>
      <c r="C495" s="624" t="str">
        <f ca="1">IFERROR(__xludf.DUMMYFUNCTION("""COMPUTED_VALUE"""),"直得")</f>
        <v>直得</v>
      </c>
      <c r="D495" s="630">
        <f ca="1">IFERROR(__xludf.DUMMYFUNCTION("""COMPUTED_VALUE"""),0.000072)</f>
        <v>7.2000000000000002E-5</v>
      </c>
      <c r="E495" s="628">
        <f ca="1">IFERROR(__xludf.DUMMYFUNCTION("""COMPUTED_VALUE"""),1028)</f>
        <v>1028</v>
      </c>
      <c r="F495" s="624">
        <f ca="1">IFERROR(__xludf.DUMMYFUNCTION("""COMPUTED_VALUE"""),6674)</f>
        <v>6674</v>
      </c>
      <c r="G495" s="624" t="str">
        <f ca="1">IFERROR(__xludf.DUMMYFUNCTION("""COMPUTED_VALUE"""),"鋐寶科技")</f>
        <v>鋐寶科技</v>
      </c>
      <c r="H495" s="632">
        <f ca="1">IFERROR(__xludf.DUMMYFUNCTION("""COMPUTED_VALUE"""),0.000008)</f>
        <v>7.9999999999999996E-6</v>
      </c>
      <c r="I495" s="62"/>
      <c r="J495" s="62"/>
      <c r="K495" s="63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</row>
    <row r="496" spans="1:41" ht="15.5">
      <c r="A496" s="623">
        <f ca="1">IFERROR(__xludf.DUMMYFUNCTION("""COMPUTED_VALUE"""),495)</f>
        <v>495</v>
      </c>
      <c r="B496" s="624">
        <f ca="1">IFERROR(__xludf.DUMMYFUNCTION("""COMPUTED_VALUE"""),2612)</f>
        <v>2612</v>
      </c>
      <c r="C496" s="624" t="str">
        <f ca="1">IFERROR(__xludf.DUMMYFUNCTION("""COMPUTED_VALUE"""),"中航")</f>
        <v>中航</v>
      </c>
      <c r="D496" s="630">
        <f ca="1">IFERROR(__xludf.DUMMYFUNCTION("""COMPUTED_VALUE"""),0.000072)</f>
        <v>7.2000000000000002E-5</v>
      </c>
      <c r="E496" s="628">
        <f ca="1">IFERROR(__xludf.DUMMYFUNCTION("""COMPUTED_VALUE"""),1029)</f>
        <v>1029</v>
      </c>
      <c r="F496" s="624">
        <f ca="1">IFERROR(__xludf.DUMMYFUNCTION("""COMPUTED_VALUE"""),6771)</f>
        <v>6771</v>
      </c>
      <c r="G496" s="624" t="str">
        <f ca="1">IFERROR(__xludf.DUMMYFUNCTION("""COMPUTED_VALUE"""),"平和環保-創")</f>
        <v>平和環保-創</v>
      </c>
      <c r="H496" s="632">
        <f ca="1">IFERROR(__xludf.DUMMYFUNCTION("""COMPUTED_VALUE"""),0.000008)</f>
        <v>7.9999999999999996E-6</v>
      </c>
      <c r="I496" s="62"/>
      <c r="J496" s="62"/>
      <c r="K496" s="63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</row>
    <row r="497" spans="1:41" ht="15.5">
      <c r="A497" s="623">
        <f ca="1">IFERROR(__xludf.DUMMYFUNCTION("""COMPUTED_VALUE"""),496)</f>
        <v>496</v>
      </c>
      <c r="B497" s="624">
        <f ca="1">IFERROR(__xludf.DUMMYFUNCTION("""COMPUTED_VALUE"""),2762)</f>
        <v>2762</v>
      </c>
      <c r="C497" s="624" t="str">
        <f ca="1">IFERROR(__xludf.DUMMYFUNCTION("""COMPUTED_VALUE"""),"世界健身-KY")</f>
        <v>世界健身-KY</v>
      </c>
      <c r="D497" s="630">
        <f ca="1">IFERROR(__xludf.DUMMYFUNCTION("""COMPUTED_VALUE"""),0.000072)</f>
        <v>7.2000000000000002E-5</v>
      </c>
      <c r="E497" s="628">
        <f ca="1">IFERROR(__xludf.DUMMYFUNCTION("""COMPUTED_VALUE"""),1030)</f>
        <v>1030</v>
      </c>
      <c r="F497" s="624">
        <f ca="1">IFERROR(__xludf.DUMMYFUNCTION("""COMPUTED_VALUE"""),9929)</f>
        <v>9929</v>
      </c>
      <c r="G497" s="624" t="str">
        <f ca="1">IFERROR(__xludf.DUMMYFUNCTION("""COMPUTED_VALUE"""),"秋雨")</f>
        <v>秋雨</v>
      </c>
      <c r="H497" s="632">
        <f ca="1">IFERROR(__xludf.DUMMYFUNCTION("""COMPUTED_VALUE"""),0.000008)</f>
        <v>7.9999999999999996E-6</v>
      </c>
      <c r="I497" s="62"/>
      <c r="J497" s="62"/>
      <c r="K497" s="63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</row>
    <row r="498" spans="1:41" ht="15.5">
      <c r="A498" s="623">
        <f ca="1">IFERROR(__xludf.DUMMYFUNCTION("""COMPUTED_VALUE"""),497)</f>
        <v>497</v>
      </c>
      <c r="B498" s="624">
        <f ca="1">IFERROR(__xludf.DUMMYFUNCTION("""COMPUTED_VALUE"""),2630)</f>
        <v>2630</v>
      </c>
      <c r="C498" s="624" t="str">
        <f ca="1">IFERROR(__xludf.DUMMYFUNCTION("""COMPUTED_VALUE"""),"亞航")</f>
        <v>亞航</v>
      </c>
      <c r="D498" s="630">
        <f ca="1">IFERROR(__xludf.DUMMYFUNCTION("""COMPUTED_VALUE"""),0.000072)</f>
        <v>7.2000000000000002E-5</v>
      </c>
      <c r="E498" s="628">
        <f ca="1">IFERROR(__xludf.DUMMYFUNCTION("""COMPUTED_VALUE"""),1031)</f>
        <v>1031</v>
      </c>
      <c r="F498" s="624">
        <f ca="1">IFERROR(__xludf.DUMMYFUNCTION("""COMPUTED_VALUE"""),8429)</f>
        <v>8429</v>
      </c>
      <c r="G498" s="624" t="str">
        <f ca="1">IFERROR(__xludf.DUMMYFUNCTION("""COMPUTED_VALUE"""),"金麗-KY")</f>
        <v>金麗-KY</v>
      </c>
      <c r="H498" s="632">
        <f ca="1">IFERROR(__xludf.DUMMYFUNCTION("""COMPUTED_VALUE"""),0.000008)</f>
        <v>7.9999999999999996E-6</v>
      </c>
      <c r="I498" s="62"/>
      <c r="J498" s="62"/>
      <c r="K498" s="63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</row>
    <row r="499" spans="1:41" ht="15.5">
      <c r="A499" s="623">
        <f ca="1">IFERROR(__xludf.DUMMYFUNCTION("""COMPUTED_VALUE"""),498)</f>
        <v>498</v>
      </c>
      <c r="B499" s="624">
        <f ca="1">IFERROR(__xludf.DUMMYFUNCTION("""COMPUTED_VALUE"""),5222)</f>
        <v>5222</v>
      </c>
      <c r="C499" s="624" t="str">
        <f ca="1">IFERROR(__xludf.DUMMYFUNCTION("""COMPUTED_VALUE"""),"全訊")</f>
        <v>全訊</v>
      </c>
      <c r="D499" s="630">
        <f ca="1">IFERROR(__xludf.DUMMYFUNCTION("""COMPUTED_VALUE"""),0.000072)</f>
        <v>7.2000000000000002E-5</v>
      </c>
      <c r="E499" s="628">
        <f ca="1">IFERROR(__xludf.DUMMYFUNCTION("""COMPUTED_VALUE"""),1032)</f>
        <v>1032</v>
      </c>
      <c r="F499" s="624">
        <f ca="1">IFERROR(__xludf.DUMMYFUNCTION("""COMPUTED_VALUE"""),1526)</f>
        <v>1526</v>
      </c>
      <c r="G499" s="624" t="str">
        <f ca="1">IFERROR(__xludf.DUMMYFUNCTION("""COMPUTED_VALUE"""),"日馳")</f>
        <v>日馳</v>
      </c>
      <c r="H499" s="632">
        <f ca="1">IFERROR(__xludf.DUMMYFUNCTION("""COMPUTED_VALUE"""),0.000008)</f>
        <v>7.9999999999999996E-6</v>
      </c>
      <c r="I499" s="62"/>
      <c r="J499" s="62"/>
      <c r="K499" s="63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</row>
    <row r="500" spans="1:41" ht="15.5">
      <c r="A500" s="623">
        <f ca="1">IFERROR(__xludf.DUMMYFUNCTION("""COMPUTED_VALUE"""),499)</f>
        <v>499</v>
      </c>
      <c r="B500" s="624">
        <f ca="1">IFERROR(__xludf.DUMMYFUNCTION("""COMPUTED_VALUE"""),6863)</f>
        <v>6863</v>
      </c>
      <c r="C500" s="624" t="str">
        <f ca="1">IFERROR(__xludf.DUMMYFUNCTION("""COMPUTED_VALUE"""),"永道-KY")</f>
        <v>永道-KY</v>
      </c>
      <c r="D500" s="630">
        <f ca="1">IFERROR(__xludf.DUMMYFUNCTION("""COMPUTED_VALUE"""),0.000071)</f>
        <v>7.1000000000000005E-5</v>
      </c>
      <c r="E500" s="628">
        <f ca="1">IFERROR(__xludf.DUMMYFUNCTION("""COMPUTED_VALUE"""),1033)</f>
        <v>1033</v>
      </c>
      <c r="F500" s="624">
        <f ca="1">IFERROR(__xludf.DUMMYFUNCTION("""COMPUTED_VALUE"""),1732)</f>
        <v>1732</v>
      </c>
      <c r="G500" s="624" t="str">
        <f ca="1">IFERROR(__xludf.DUMMYFUNCTION("""COMPUTED_VALUE"""),"毛寶")</f>
        <v>毛寶</v>
      </c>
      <c r="H500" s="632">
        <f ca="1">IFERROR(__xludf.DUMMYFUNCTION("""COMPUTED_VALUE"""),0.000008)</f>
        <v>7.9999999999999996E-6</v>
      </c>
      <c r="I500" s="62"/>
      <c r="J500" s="62"/>
      <c r="K500" s="63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</row>
    <row r="501" spans="1:41" ht="15.5">
      <c r="A501" s="623">
        <f ca="1">IFERROR(__xludf.DUMMYFUNCTION("""COMPUTED_VALUE"""),500)</f>
        <v>500</v>
      </c>
      <c r="B501" s="624">
        <f ca="1">IFERROR(__xludf.DUMMYFUNCTION("""COMPUTED_VALUE"""),8341)</f>
        <v>8341</v>
      </c>
      <c r="C501" s="624" t="str">
        <f ca="1">IFERROR(__xludf.DUMMYFUNCTION("""COMPUTED_VALUE"""),"日友")</f>
        <v>日友</v>
      </c>
      <c r="D501" s="630">
        <f ca="1">IFERROR(__xludf.DUMMYFUNCTION("""COMPUTED_VALUE"""),0.000071)</f>
        <v>7.1000000000000005E-5</v>
      </c>
      <c r="E501" s="628">
        <f ca="1">IFERROR(__xludf.DUMMYFUNCTION("""COMPUTED_VALUE"""),1034)</f>
        <v>1034</v>
      </c>
      <c r="F501" s="624">
        <f ca="1">IFERROR(__xludf.DUMMYFUNCTION("""COMPUTED_VALUE"""),2496)</f>
        <v>2496</v>
      </c>
      <c r="G501" s="624" t="str">
        <f ca="1">IFERROR(__xludf.DUMMYFUNCTION("""COMPUTED_VALUE"""),"卓越")</f>
        <v>卓越</v>
      </c>
      <c r="H501" s="632">
        <f ca="1">IFERROR(__xludf.DUMMYFUNCTION("""COMPUTED_VALUE"""),0.000008)</f>
        <v>7.9999999999999996E-6</v>
      </c>
      <c r="I501" s="62"/>
      <c r="J501" s="62"/>
      <c r="K501" s="63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</row>
    <row r="502" spans="1:41" ht="15.5">
      <c r="A502" s="623">
        <f ca="1">IFERROR(__xludf.DUMMYFUNCTION("""COMPUTED_VALUE"""),501)</f>
        <v>501</v>
      </c>
      <c r="B502" s="624">
        <f ca="1">IFERROR(__xludf.DUMMYFUNCTION("""COMPUTED_VALUE"""),3015)</f>
        <v>3015</v>
      </c>
      <c r="C502" s="624" t="str">
        <f ca="1">IFERROR(__xludf.DUMMYFUNCTION("""COMPUTED_VALUE"""),"全漢")</f>
        <v>全漢</v>
      </c>
      <c r="D502" s="630">
        <f ca="1">IFERROR(__xludf.DUMMYFUNCTION("""COMPUTED_VALUE"""),0.000071)</f>
        <v>7.1000000000000005E-5</v>
      </c>
      <c r="E502" s="628">
        <f ca="1">IFERROR(__xludf.DUMMYFUNCTION("""COMPUTED_VALUE"""),1035)</f>
        <v>1035</v>
      </c>
      <c r="F502" s="624">
        <f ca="1">IFERROR(__xludf.DUMMYFUNCTION("""COMPUTED_VALUE"""),2431)</f>
        <v>2431</v>
      </c>
      <c r="G502" s="624" t="str">
        <f ca="1">IFERROR(__xludf.DUMMYFUNCTION("""COMPUTED_VALUE"""),"聯昌")</f>
        <v>聯昌</v>
      </c>
      <c r="H502" s="632">
        <f ca="1">IFERROR(__xludf.DUMMYFUNCTION("""COMPUTED_VALUE"""),0.000008)</f>
        <v>7.9999999999999996E-6</v>
      </c>
      <c r="I502" s="62"/>
      <c r="J502" s="62"/>
      <c r="K502" s="63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</row>
    <row r="503" spans="1:41" ht="15.5">
      <c r="A503" s="623">
        <f ca="1">IFERROR(__xludf.DUMMYFUNCTION("""COMPUTED_VALUE"""),502)</f>
        <v>502</v>
      </c>
      <c r="B503" s="624">
        <f ca="1">IFERROR(__xludf.DUMMYFUNCTION("""COMPUTED_VALUE"""),1702)</f>
        <v>1702</v>
      </c>
      <c r="C503" s="624" t="str">
        <f ca="1">IFERROR(__xludf.DUMMYFUNCTION("""COMPUTED_VALUE"""),"南僑")</f>
        <v>南僑</v>
      </c>
      <c r="D503" s="630">
        <f ca="1">IFERROR(__xludf.DUMMYFUNCTION("""COMPUTED_VALUE"""),0.000071)</f>
        <v>7.1000000000000005E-5</v>
      </c>
      <c r="E503" s="628">
        <f ca="1">IFERROR(__xludf.DUMMYFUNCTION("""COMPUTED_VALUE"""),1036)</f>
        <v>1036</v>
      </c>
      <c r="F503" s="624">
        <f ca="1">IFERROR(__xludf.DUMMYFUNCTION("""COMPUTED_VALUE"""),2438)</f>
        <v>2438</v>
      </c>
      <c r="G503" s="624" t="str">
        <f ca="1">IFERROR(__xludf.DUMMYFUNCTION("""COMPUTED_VALUE"""),"翔耀")</f>
        <v>翔耀</v>
      </c>
      <c r="H503" s="632">
        <f ca="1">IFERROR(__xludf.DUMMYFUNCTION("""COMPUTED_VALUE"""),0.000008)</f>
        <v>7.9999999999999996E-6</v>
      </c>
      <c r="I503" s="62"/>
      <c r="J503" s="62"/>
      <c r="K503" s="63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</row>
    <row r="504" spans="1:41" ht="15.5">
      <c r="A504" s="623">
        <f ca="1">IFERROR(__xludf.DUMMYFUNCTION("""COMPUTED_VALUE"""),503)</f>
        <v>503</v>
      </c>
      <c r="B504" s="624">
        <f ca="1">IFERROR(__xludf.DUMMYFUNCTION("""COMPUTED_VALUE"""),6914)</f>
        <v>6914</v>
      </c>
      <c r="C504" s="624" t="str">
        <f ca="1">IFERROR(__xludf.DUMMYFUNCTION("""COMPUTED_VALUE"""),"阜爾運通")</f>
        <v>阜爾運通</v>
      </c>
      <c r="D504" s="630">
        <f ca="1">IFERROR(__xludf.DUMMYFUNCTION("""COMPUTED_VALUE"""),0.00007)</f>
        <v>6.9999999999999994E-5</v>
      </c>
      <c r="E504" s="628">
        <f ca="1">IFERROR(__xludf.DUMMYFUNCTION("""COMPUTED_VALUE"""),1037)</f>
        <v>1037</v>
      </c>
      <c r="F504" s="624">
        <f ca="1">IFERROR(__xludf.DUMMYFUNCTION("""COMPUTED_VALUE"""),2444)</f>
        <v>2444</v>
      </c>
      <c r="G504" s="624" t="str">
        <f ca="1">IFERROR(__xludf.DUMMYFUNCTION("""COMPUTED_VALUE"""),"兆勁")</f>
        <v>兆勁</v>
      </c>
      <c r="H504" s="632">
        <f ca="1">IFERROR(__xludf.DUMMYFUNCTION("""COMPUTED_VALUE"""),0.000008)</f>
        <v>7.9999999999999996E-6</v>
      </c>
      <c r="I504" s="62"/>
      <c r="J504" s="62"/>
      <c r="K504" s="63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</row>
    <row r="505" spans="1:41" ht="15.5">
      <c r="A505" s="623">
        <f ca="1">IFERROR(__xludf.DUMMYFUNCTION("""COMPUTED_VALUE"""),504)</f>
        <v>504</v>
      </c>
      <c r="B505" s="624">
        <f ca="1">IFERROR(__xludf.DUMMYFUNCTION("""COMPUTED_VALUE"""),6541)</f>
        <v>6541</v>
      </c>
      <c r="C505" s="624" t="str">
        <f ca="1">IFERROR(__xludf.DUMMYFUNCTION("""COMPUTED_VALUE"""),"泰福-KY")</f>
        <v>泰福-KY</v>
      </c>
      <c r="D505" s="630">
        <f ca="1">IFERROR(__xludf.DUMMYFUNCTION("""COMPUTED_VALUE"""),0.00007)</f>
        <v>6.9999999999999994E-5</v>
      </c>
      <c r="E505" s="628">
        <f ca="1">IFERROR(__xludf.DUMMYFUNCTION("""COMPUTED_VALUE"""),1038)</f>
        <v>1038</v>
      </c>
      <c r="F505" s="624">
        <f ca="1">IFERROR(__xludf.DUMMYFUNCTION("""COMPUTED_VALUE"""),2904)</f>
        <v>2904</v>
      </c>
      <c r="G505" s="624" t="str">
        <f ca="1">IFERROR(__xludf.DUMMYFUNCTION("""COMPUTED_VALUE"""),"匯僑")</f>
        <v>匯僑</v>
      </c>
      <c r="H505" s="632">
        <f ca="1">IFERROR(__xludf.DUMMYFUNCTION("""COMPUTED_VALUE"""),0.000007)</f>
        <v>6.9999999999999999E-6</v>
      </c>
      <c r="I505" s="62"/>
      <c r="J505" s="62"/>
      <c r="K505" s="63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</row>
    <row r="506" spans="1:41" ht="15.5">
      <c r="A506" s="623">
        <f ca="1">IFERROR(__xludf.DUMMYFUNCTION("""COMPUTED_VALUE"""),505)</f>
        <v>505</v>
      </c>
      <c r="B506" s="624">
        <f ca="1">IFERROR(__xludf.DUMMYFUNCTION("""COMPUTED_VALUE"""),6534)</f>
        <v>6534</v>
      </c>
      <c r="C506" s="624" t="str">
        <f ca="1">IFERROR(__xludf.DUMMYFUNCTION("""COMPUTED_VALUE"""),"正瀚-創")</f>
        <v>正瀚-創</v>
      </c>
      <c r="D506" s="630">
        <f ca="1">IFERROR(__xludf.DUMMYFUNCTION("""COMPUTED_VALUE"""),0.000069)</f>
        <v>6.8999999999999997E-5</v>
      </c>
      <c r="E506" s="628">
        <f ca="1">IFERROR(__xludf.DUMMYFUNCTION("""COMPUTED_VALUE"""),1039)</f>
        <v>1039</v>
      </c>
      <c r="F506" s="624">
        <f ca="1">IFERROR(__xludf.DUMMYFUNCTION("""COMPUTED_VALUE"""),1776)</f>
        <v>1776</v>
      </c>
      <c r="G506" s="624" t="str">
        <f ca="1">IFERROR(__xludf.DUMMYFUNCTION("""COMPUTED_VALUE"""),"展宇")</f>
        <v>展宇</v>
      </c>
      <c r="H506" s="632">
        <f ca="1">IFERROR(__xludf.DUMMYFUNCTION("""COMPUTED_VALUE"""),0.000007)</f>
        <v>6.9999999999999999E-6</v>
      </c>
      <c r="I506" s="62"/>
      <c r="J506" s="62"/>
      <c r="K506" s="63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</row>
    <row r="507" spans="1:41" ht="15.5">
      <c r="A507" s="623">
        <f ca="1">IFERROR(__xludf.DUMMYFUNCTION("""COMPUTED_VALUE"""),506)</f>
        <v>506</v>
      </c>
      <c r="B507" s="624">
        <f ca="1">IFERROR(__xludf.DUMMYFUNCTION("""COMPUTED_VALUE"""),4306)</f>
        <v>4306</v>
      </c>
      <c r="C507" s="624" t="str">
        <f ca="1">IFERROR(__xludf.DUMMYFUNCTION("""COMPUTED_VALUE"""),"炎洲")</f>
        <v>炎洲</v>
      </c>
      <c r="D507" s="630">
        <f ca="1">IFERROR(__xludf.DUMMYFUNCTION("""COMPUTED_VALUE"""),0.000069)</f>
        <v>6.8999999999999997E-5</v>
      </c>
      <c r="E507" s="628">
        <f ca="1">IFERROR(__xludf.DUMMYFUNCTION("""COMPUTED_VALUE"""),1040)</f>
        <v>1040</v>
      </c>
      <c r="F507" s="624">
        <f ca="1">IFERROR(__xludf.DUMMYFUNCTION("""COMPUTED_VALUE"""),1539)</f>
        <v>1539</v>
      </c>
      <c r="G507" s="624" t="str">
        <f ca="1">IFERROR(__xludf.DUMMYFUNCTION("""COMPUTED_VALUE"""),"巨庭")</f>
        <v>巨庭</v>
      </c>
      <c r="H507" s="632">
        <f ca="1">IFERROR(__xludf.DUMMYFUNCTION("""COMPUTED_VALUE"""),0.000007)</f>
        <v>6.9999999999999999E-6</v>
      </c>
      <c r="I507" s="62"/>
      <c r="J507" s="62"/>
      <c r="K507" s="63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</row>
    <row r="508" spans="1:41" ht="15.5">
      <c r="A508" s="623">
        <f ca="1">IFERROR(__xludf.DUMMYFUNCTION("""COMPUTED_VALUE"""),507)</f>
        <v>507</v>
      </c>
      <c r="B508" s="624">
        <f ca="1">IFERROR(__xludf.DUMMYFUNCTION("""COMPUTED_VALUE"""),6655)</f>
        <v>6655</v>
      </c>
      <c r="C508" s="624" t="str">
        <f ca="1">IFERROR(__xludf.DUMMYFUNCTION("""COMPUTED_VALUE"""),"科定")</f>
        <v>科定</v>
      </c>
      <c r="D508" s="630">
        <f ca="1">IFERROR(__xludf.DUMMYFUNCTION("""COMPUTED_VALUE"""),0.000069)</f>
        <v>6.8999999999999997E-5</v>
      </c>
      <c r="E508" s="628">
        <f ca="1">IFERROR(__xludf.DUMMYFUNCTION("""COMPUTED_VALUE"""),1041)</f>
        <v>1041</v>
      </c>
      <c r="F508" s="624">
        <f ca="1">IFERROR(__xludf.DUMMYFUNCTION("""COMPUTED_VALUE"""),1413)</f>
        <v>1413</v>
      </c>
      <c r="G508" s="624" t="str">
        <f ca="1">IFERROR(__xludf.DUMMYFUNCTION("""COMPUTED_VALUE"""),"宏洲")</f>
        <v>宏洲</v>
      </c>
      <c r="H508" s="632">
        <f ca="1">IFERROR(__xludf.DUMMYFUNCTION("""COMPUTED_VALUE"""),0.000007)</f>
        <v>6.9999999999999999E-6</v>
      </c>
      <c r="I508" s="62"/>
      <c r="J508" s="62"/>
      <c r="K508" s="63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</row>
    <row r="509" spans="1:41" ht="15.5">
      <c r="A509" s="623">
        <f ca="1">IFERROR(__xludf.DUMMYFUNCTION("""COMPUTED_VALUE"""),508)</f>
        <v>508</v>
      </c>
      <c r="B509" s="624">
        <f ca="1">IFERROR(__xludf.DUMMYFUNCTION("""COMPUTED_VALUE"""),8499)</f>
        <v>8499</v>
      </c>
      <c r="C509" s="624" t="str">
        <f ca="1">IFERROR(__xludf.DUMMYFUNCTION("""COMPUTED_VALUE"""),"鼎炫-KY")</f>
        <v>鼎炫-KY</v>
      </c>
      <c r="D509" s="630">
        <f ca="1">IFERROR(__xludf.DUMMYFUNCTION("""COMPUTED_VALUE"""),0.000069)</f>
        <v>6.8999999999999997E-5</v>
      </c>
      <c r="E509" s="628">
        <f ca="1">IFERROR(__xludf.DUMMYFUNCTION("""COMPUTED_VALUE"""),1042)</f>
        <v>1042</v>
      </c>
      <c r="F509" s="624">
        <f ca="1">IFERROR(__xludf.DUMMYFUNCTION("""COMPUTED_VALUE"""),8940)</f>
        <v>8940</v>
      </c>
      <c r="G509" s="624" t="str">
        <f ca="1">IFERROR(__xludf.DUMMYFUNCTION("""COMPUTED_VALUE"""),"新天地")</f>
        <v>新天地</v>
      </c>
      <c r="H509" s="632">
        <f ca="1">IFERROR(__xludf.DUMMYFUNCTION("""COMPUTED_VALUE"""),0.000007)</f>
        <v>6.9999999999999999E-6</v>
      </c>
      <c r="I509" s="62"/>
      <c r="J509" s="62"/>
      <c r="K509" s="63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</row>
    <row r="510" spans="1:41" ht="15.5">
      <c r="A510" s="623">
        <f ca="1">IFERROR(__xludf.DUMMYFUNCTION("""COMPUTED_VALUE"""),509)</f>
        <v>509</v>
      </c>
      <c r="B510" s="624">
        <f ca="1">IFERROR(__xludf.DUMMYFUNCTION("""COMPUTED_VALUE"""),2034)</f>
        <v>2034</v>
      </c>
      <c r="C510" s="624" t="str">
        <f ca="1">IFERROR(__xludf.DUMMYFUNCTION("""COMPUTED_VALUE"""),"允強")</f>
        <v>允強</v>
      </c>
      <c r="D510" s="630">
        <f ca="1">IFERROR(__xludf.DUMMYFUNCTION("""COMPUTED_VALUE"""),0.000069)</f>
        <v>6.8999999999999997E-5</v>
      </c>
      <c r="E510" s="628">
        <f ca="1">IFERROR(__xludf.DUMMYFUNCTION("""COMPUTED_VALUE"""),1043)</f>
        <v>1043</v>
      </c>
      <c r="F510" s="624">
        <f ca="1">IFERROR(__xludf.DUMMYFUNCTION("""COMPUTED_VALUE"""),5907)</f>
        <v>5907</v>
      </c>
      <c r="G510" s="624" t="str">
        <f ca="1">IFERROR(__xludf.DUMMYFUNCTION("""COMPUTED_VALUE"""),"大洋-KY")</f>
        <v>大洋-KY</v>
      </c>
      <c r="H510" s="632">
        <f ca="1">IFERROR(__xludf.DUMMYFUNCTION("""COMPUTED_VALUE"""),0.000007)</f>
        <v>6.9999999999999999E-6</v>
      </c>
      <c r="I510" s="62"/>
      <c r="J510" s="62"/>
      <c r="K510" s="63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</row>
    <row r="511" spans="1:41" ht="15.5">
      <c r="A511" s="623">
        <f ca="1">IFERROR(__xludf.DUMMYFUNCTION("""COMPUTED_VALUE"""),510)</f>
        <v>510</v>
      </c>
      <c r="B511" s="624">
        <f ca="1">IFERROR(__xludf.DUMMYFUNCTION("""COMPUTED_VALUE"""),2528)</f>
        <v>2528</v>
      </c>
      <c r="C511" s="624" t="str">
        <f ca="1">IFERROR(__xludf.DUMMYFUNCTION("""COMPUTED_VALUE"""),"皇普")</f>
        <v>皇普</v>
      </c>
      <c r="D511" s="630">
        <f ca="1">IFERROR(__xludf.DUMMYFUNCTION("""COMPUTED_VALUE"""),0.000069)</f>
        <v>6.8999999999999997E-5</v>
      </c>
      <c r="E511" s="628">
        <f ca="1">IFERROR(__xludf.DUMMYFUNCTION("""COMPUTED_VALUE"""),1044)</f>
        <v>1044</v>
      </c>
      <c r="F511" s="624">
        <f ca="1">IFERROR(__xludf.DUMMYFUNCTION("""COMPUTED_VALUE"""),6164)</f>
        <v>6164</v>
      </c>
      <c r="G511" s="624" t="str">
        <f ca="1">IFERROR(__xludf.DUMMYFUNCTION("""COMPUTED_VALUE"""),"華興")</f>
        <v>華興</v>
      </c>
      <c r="H511" s="632">
        <f ca="1">IFERROR(__xludf.DUMMYFUNCTION("""COMPUTED_VALUE"""),0.000006)</f>
        <v>6.0000000000000002E-6</v>
      </c>
      <c r="I511" s="62"/>
      <c r="J511" s="62"/>
      <c r="K511" s="63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</row>
    <row r="512" spans="1:41" ht="15.5">
      <c r="A512" s="623">
        <f ca="1">IFERROR(__xludf.DUMMYFUNCTION("""COMPUTED_VALUE"""),511)</f>
        <v>511</v>
      </c>
      <c r="B512" s="624">
        <f ca="1">IFERROR(__xludf.DUMMYFUNCTION("""COMPUTED_VALUE"""),2484)</f>
        <v>2484</v>
      </c>
      <c r="C512" s="624" t="str">
        <f ca="1">IFERROR(__xludf.DUMMYFUNCTION("""COMPUTED_VALUE"""),"希華")</f>
        <v>希華</v>
      </c>
      <c r="D512" s="630">
        <f ca="1">IFERROR(__xludf.DUMMYFUNCTION("""COMPUTED_VALUE"""),0.000069)</f>
        <v>6.8999999999999997E-5</v>
      </c>
      <c r="E512" s="628">
        <f ca="1">IFERROR(__xludf.DUMMYFUNCTION("""COMPUTED_VALUE"""),1045)</f>
        <v>1045</v>
      </c>
      <c r="F512" s="624">
        <f ca="1">IFERROR(__xludf.DUMMYFUNCTION("""COMPUTED_VALUE"""),6431)</f>
        <v>6431</v>
      </c>
      <c r="G512" s="624" t="str">
        <f ca="1">IFERROR(__xludf.DUMMYFUNCTION("""COMPUTED_VALUE"""),"光麗-KY")</f>
        <v>光麗-KY</v>
      </c>
      <c r="H512" s="632">
        <f ca="1">IFERROR(__xludf.DUMMYFUNCTION("""COMPUTED_VALUE"""),0.000006)</f>
        <v>6.0000000000000002E-6</v>
      </c>
      <c r="I512" s="62"/>
      <c r="J512" s="62"/>
      <c r="K512" s="63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</row>
    <row r="513" spans="1:41" ht="15.5">
      <c r="A513" s="623">
        <f ca="1">IFERROR(__xludf.DUMMYFUNCTION("""COMPUTED_VALUE"""),512)</f>
        <v>512</v>
      </c>
      <c r="B513" s="624">
        <f ca="1">IFERROR(__xludf.DUMMYFUNCTION("""COMPUTED_VALUE"""),2104)</f>
        <v>2104</v>
      </c>
      <c r="C513" s="624" t="str">
        <f ca="1">IFERROR(__xludf.DUMMYFUNCTION("""COMPUTED_VALUE"""),"國際中橡")</f>
        <v>國際中橡</v>
      </c>
      <c r="D513" s="630">
        <f ca="1">IFERROR(__xludf.DUMMYFUNCTION("""COMPUTED_VALUE"""),0.000068)</f>
        <v>6.7999999999999999E-5</v>
      </c>
      <c r="E513" s="628">
        <f ca="1">IFERROR(__xludf.DUMMYFUNCTION("""COMPUTED_VALUE"""),1046)</f>
        <v>1046</v>
      </c>
      <c r="F513" s="624">
        <f ca="1">IFERROR(__xludf.DUMMYFUNCTION("""COMPUTED_VALUE"""),6645)</f>
        <v>6645</v>
      </c>
      <c r="G513" s="624" t="str">
        <f ca="1">IFERROR(__xludf.DUMMYFUNCTION("""COMPUTED_VALUE"""),"金萬林-創")</f>
        <v>金萬林-創</v>
      </c>
      <c r="H513" s="632">
        <f ca="1">IFERROR(__xludf.DUMMYFUNCTION("""COMPUTED_VALUE"""),0.000006)</f>
        <v>6.0000000000000002E-6</v>
      </c>
      <c r="I513" s="62"/>
      <c r="J513" s="62"/>
      <c r="K513" s="63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</row>
    <row r="514" spans="1:41" ht="15.5">
      <c r="A514" s="623">
        <f ca="1">IFERROR(__xludf.DUMMYFUNCTION("""COMPUTED_VALUE"""),513)</f>
        <v>513</v>
      </c>
      <c r="B514" s="624">
        <f ca="1">IFERROR(__xludf.DUMMYFUNCTION("""COMPUTED_VALUE"""),1582)</f>
        <v>1582</v>
      </c>
      <c r="C514" s="624" t="str">
        <f ca="1">IFERROR(__xludf.DUMMYFUNCTION("""COMPUTED_VALUE"""),"信錦")</f>
        <v>信錦</v>
      </c>
      <c r="D514" s="630">
        <f ca="1">IFERROR(__xludf.DUMMYFUNCTION("""COMPUTED_VALUE"""),0.000068)</f>
        <v>6.7999999999999999E-5</v>
      </c>
      <c r="E514" s="628">
        <f ca="1">IFERROR(__xludf.DUMMYFUNCTION("""COMPUTED_VALUE"""),1047)</f>
        <v>1047</v>
      </c>
      <c r="F514" s="624">
        <f ca="1">IFERROR(__xludf.DUMMYFUNCTION("""COMPUTED_VALUE"""),1340)</f>
        <v>1340</v>
      </c>
      <c r="G514" s="624" t="str">
        <f ca="1">IFERROR(__xludf.DUMMYFUNCTION("""COMPUTED_VALUE"""),"勝悅-KY")</f>
        <v>勝悅-KY</v>
      </c>
      <c r="H514" s="632">
        <f ca="1">IFERROR(__xludf.DUMMYFUNCTION("""COMPUTED_VALUE"""),0.000006)</f>
        <v>6.0000000000000002E-6</v>
      </c>
      <c r="I514" s="62"/>
      <c r="J514" s="62"/>
      <c r="K514" s="63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</row>
    <row r="515" spans="1:41" ht="15.5">
      <c r="A515" s="623">
        <f ca="1">IFERROR(__xludf.DUMMYFUNCTION("""COMPUTED_VALUE"""),514)</f>
        <v>514</v>
      </c>
      <c r="B515" s="624">
        <f ca="1">IFERROR(__xludf.DUMMYFUNCTION("""COMPUTED_VALUE"""),1612)</f>
        <v>1612</v>
      </c>
      <c r="C515" s="624" t="str">
        <f ca="1">IFERROR(__xludf.DUMMYFUNCTION("""COMPUTED_VALUE"""),"宏泰")</f>
        <v>宏泰</v>
      </c>
      <c r="D515" s="630">
        <f ca="1">IFERROR(__xludf.DUMMYFUNCTION("""COMPUTED_VALUE"""),0.000068)</f>
        <v>6.7999999999999999E-5</v>
      </c>
      <c r="E515" s="628">
        <f ca="1">IFERROR(__xludf.DUMMYFUNCTION("""COMPUTED_VALUE"""),1048)</f>
        <v>1048</v>
      </c>
      <c r="F515" s="624">
        <f ca="1">IFERROR(__xludf.DUMMYFUNCTION("""COMPUTED_VALUE"""),1418)</f>
        <v>1418</v>
      </c>
      <c r="G515" s="624" t="str">
        <f ca="1">IFERROR(__xludf.DUMMYFUNCTION("""COMPUTED_VALUE"""),"東華")</f>
        <v>東華</v>
      </c>
      <c r="H515" s="632">
        <f ca="1">IFERROR(__xludf.DUMMYFUNCTION("""COMPUTED_VALUE"""),0.000006)</f>
        <v>6.0000000000000002E-6</v>
      </c>
      <c r="I515" s="62"/>
      <c r="J515" s="62"/>
      <c r="K515" s="63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</row>
    <row r="516" spans="1:41" ht="15.5">
      <c r="A516" s="623">
        <f ca="1">IFERROR(__xludf.DUMMYFUNCTION("""COMPUTED_VALUE"""),515)</f>
        <v>515</v>
      </c>
      <c r="B516" s="624">
        <f ca="1">IFERROR(__xludf.DUMMYFUNCTION("""COMPUTED_VALUE"""),9942)</f>
        <v>9942</v>
      </c>
      <c r="C516" s="624" t="str">
        <f ca="1">IFERROR(__xludf.DUMMYFUNCTION("""COMPUTED_VALUE"""),"茂順")</f>
        <v>茂順</v>
      </c>
      <c r="D516" s="630">
        <f ca="1">IFERROR(__xludf.DUMMYFUNCTION("""COMPUTED_VALUE"""),0.000068)</f>
        <v>6.7999999999999999E-5</v>
      </c>
      <c r="E516" s="628">
        <f ca="1">IFERROR(__xludf.DUMMYFUNCTION("""COMPUTED_VALUE"""),1049)</f>
        <v>1049</v>
      </c>
      <c r="F516" s="624">
        <f ca="1">IFERROR(__xludf.DUMMYFUNCTION("""COMPUTED_VALUE"""),2939)</f>
        <v>2939</v>
      </c>
      <c r="G516" s="624" t="str">
        <f ca="1">IFERROR(__xludf.DUMMYFUNCTION("""COMPUTED_VALUE"""),"永邑-KY")</f>
        <v>永邑-KY</v>
      </c>
      <c r="H516" s="632">
        <f ca="1">IFERROR(__xludf.DUMMYFUNCTION("""COMPUTED_VALUE"""),0.000006)</f>
        <v>6.0000000000000002E-6</v>
      </c>
      <c r="I516" s="62"/>
      <c r="J516" s="62"/>
      <c r="K516" s="63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</row>
    <row r="517" spans="1:41" ht="15.5">
      <c r="A517" s="623">
        <f ca="1">IFERROR(__xludf.DUMMYFUNCTION("""COMPUTED_VALUE"""),516)</f>
        <v>516</v>
      </c>
      <c r="B517" s="624">
        <f ca="1">IFERROR(__xludf.DUMMYFUNCTION("""COMPUTED_VALUE"""),6277)</f>
        <v>6277</v>
      </c>
      <c r="C517" s="624" t="str">
        <f ca="1">IFERROR(__xludf.DUMMYFUNCTION("""COMPUTED_VALUE"""),"宏正")</f>
        <v>宏正</v>
      </c>
      <c r="D517" s="630">
        <f ca="1">IFERROR(__xludf.DUMMYFUNCTION("""COMPUTED_VALUE"""),0.000068)</f>
        <v>6.7999999999999999E-5</v>
      </c>
      <c r="E517" s="628">
        <f ca="1">IFERROR(__xludf.DUMMYFUNCTION("""COMPUTED_VALUE"""),1050)</f>
        <v>1050</v>
      </c>
      <c r="F517" s="624">
        <f ca="1">IFERROR(__xludf.DUMMYFUNCTION("""COMPUTED_VALUE"""),3057)</f>
        <v>3057</v>
      </c>
      <c r="G517" s="624" t="str">
        <f ca="1">IFERROR(__xludf.DUMMYFUNCTION("""COMPUTED_VALUE"""),"喬鼎")</f>
        <v>喬鼎</v>
      </c>
      <c r="H517" s="632">
        <f ca="1">IFERROR(__xludf.DUMMYFUNCTION("""COMPUTED_VALUE"""),0.000006)</f>
        <v>6.0000000000000002E-6</v>
      </c>
      <c r="I517" s="62"/>
      <c r="J517" s="62"/>
      <c r="K517" s="63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</row>
    <row r="518" spans="1:41" ht="15.5">
      <c r="A518" s="623">
        <f ca="1">IFERROR(__xludf.DUMMYFUNCTION("""COMPUTED_VALUE"""),517)</f>
        <v>517</v>
      </c>
      <c r="B518" s="624">
        <f ca="1">IFERROR(__xludf.DUMMYFUNCTION("""COMPUTED_VALUE"""),4989)</f>
        <v>4989</v>
      </c>
      <c r="C518" s="624" t="str">
        <f ca="1">IFERROR(__xludf.DUMMYFUNCTION("""COMPUTED_VALUE"""),"榮科")</f>
        <v>榮科</v>
      </c>
      <c r="D518" s="630">
        <f ca="1">IFERROR(__xludf.DUMMYFUNCTION("""COMPUTED_VALUE"""),0.000068)</f>
        <v>6.7999999999999999E-5</v>
      </c>
      <c r="E518" s="628">
        <f ca="1">IFERROR(__xludf.DUMMYFUNCTION("""COMPUTED_VALUE"""),1051)</f>
        <v>1051</v>
      </c>
      <c r="F518" s="624">
        <f ca="1">IFERROR(__xludf.DUMMYFUNCTION("""COMPUTED_VALUE"""),2434)</f>
        <v>2434</v>
      </c>
      <c r="G518" s="624" t="str">
        <f ca="1">IFERROR(__xludf.DUMMYFUNCTION("""COMPUTED_VALUE"""),"統懋")</f>
        <v>統懋</v>
      </c>
      <c r="H518" s="632">
        <f ca="1">IFERROR(__xludf.DUMMYFUNCTION("""COMPUTED_VALUE"""),0.000006)</f>
        <v>6.0000000000000002E-6</v>
      </c>
      <c r="I518" s="62"/>
      <c r="J518" s="62"/>
      <c r="K518" s="63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</row>
    <row r="519" spans="1:41" ht="15.5">
      <c r="A519" s="623">
        <f ca="1">IFERROR(__xludf.DUMMYFUNCTION("""COMPUTED_VALUE"""),518)</f>
        <v>518</v>
      </c>
      <c r="B519" s="624">
        <f ca="1">IFERROR(__xludf.DUMMYFUNCTION("""COMPUTED_VALUE"""),4977)</f>
        <v>4977</v>
      </c>
      <c r="C519" s="624" t="str">
        <f ca="1">IFERROR(__xludf.DUMMYFUNCTION("""COMPUTED_VALUE"""),"眾達-KY")</f>
        <v>眾達-KY</v>
      </c>
      <c r="D519" s="630">
        <f ca="1">IFERROR(__xludf.DUMMYFUNCTION("""COMPUTED_VALUE"""),0.000067)</f>
        <v>6.7000000000000002E-5</v>
      </c>
      <c r="E519" s="628">
        <f ca="1">IFERROR(__xludf.DUMMYFUNCTION("""COMPUTED_VALUE"""),1052)</f>
        <v>1052</v>
      </c>
      <c r="F519" s="624">
        <f ca="1">IFERROR(__xludf.DUMMYFUNCTION("""COMPUTED_VALUE"""),3043)</f>
        <v>3043</v>
      </c>
      <c r="G519" s="624" t="str">
        <f ca="1">IFERROR(__xludf.DUMMYFUNCTION("""COMPUTED_VALUE"""),"科風")</f>
        <v>科風</v>
      </c>
      <c r="H519" s="632">
        <f ca="1">IFERROR(__xludf.DUMMYFUNCTION("""COMPUTED_VALUE"""),0.000005)</f>
        <v>5.0000000000000004E-6</v>
      </c>
      <c r="I519" s="62"/>
      <c r="J519" s="62"/>
      <c r="K519" s="63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</row>
    <row r="520" spans="1:41" ht="15.5">
      <c r="A520" s="623">
        <f ca="1">IFERROR(__xludf.DUMMYFUNCTION("""COMPUTED_VALUE"""),519)</f>
        <v>519</v>
      </c>
      <c r="B520" s="624">
        <f ca="1">IFERROR(__xludf.DUMMYFUNCTION("""COMPUTED_VALUE"""),6230)</f>
        <v>6230</v>
      </c>
      <c r="C520" s="624" t="str">
        <f ca="1">IFERROR(__xludf.DUMMYFUNCTION("""COMPUTED_VALUE"""),"尼得科超眾")</f>
        <v>尼得科超眾</v>
      </c>
      <c r="D520" s="630">
        <f ca="1">IFERROR(__xludf.DUMMYFUNCTION("""COMPUTED_VALUE"""),0.000067)</f>
        <v>6.7000000000000002E-5</v>
      </c>
      <c r="E520" s="628">
        <f ca="1">IFERROR(__xludf.DUMMYFUNCTION("""COMPUTED_VALUE"""),1053)</f>
        <v>1053</v>
      </c>
      <c r="F520" s="624">
        <f ca="1">IFERROR(__xludf.DUMMYFUNCTION("""COMPUTED_VALUE"""),3150)</f>
        <v>3150</v>
      </c>
      <c r="G520" s="624" t="str">
        <f ca="1">IFERROR(__xludf.DUMMYFUNCTION("""COMPUTED_VALUE"""),"鈺寶-創")</f>
        <v>鈺寶-創</v>
      </c>
      <c r="H520" s="632">
        <f ca="1">IFERROR(__xludf.DUMMYFUNCTION("""COMPUTED_VALUE"""),0.000005)</f>
        <v>5.0000000000000004E-6</v>
      </c>
      <c r="I520" s="62"/>
      <c r="J520" s="62"/>
      <c r="K520" s="63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</row>
    <row r="521" spans="1:41" ht="15.5">
      <c r="A521" s="623">
        <f ca="1">IFERROR(__xludf.DUMMYFUNCTION("""COMPUTED_VALUE"""),520)</f>
        <v>520</v>
      </c>
      <c r="B521" s="624">
        <f ca="1">IFERROR(__xludf.DUMMYFUNCTION("""COMPUTED_VALUE"""),4739)</f>
        <v>4739</v>
      </c>
      <c r="C521" s="624" t="str">
        <f ca="1">IFERROR(__xludf.DUMMYFUNCTION("""COMPUTED_VALUE"""),"康普")</f>
        <v>康普</v>
      </c>
      <c r="D521" s="630">
        <f ca="1">IFERROR(__xludf.DUMMYFUNCTION("""COMPUTED_VALUE"""),0.000067)</f>
        <v>6.7000000000000002E-5</v>
      </c>
      <c r="E521" s="628">
        <f ca="1">IFERROR(__xludf.DUMMYFUNCTION("""COMPUTED_VALUE"""),1054)</f>
        <v>1054</v>
      </c>
      <c r="F521" s="624">
        <f ca="1">IFERROR(__xludf.DUMMYFUNCTION("""COMPUTED_VALUE"""),2911)</f>
        <v>2911</v>
      </c>
      <c r="G521" s="624" t="str">
        <f ca="1">IFERROR(__xludf.DUMMYFUNCTION("""COMPUTED_VALUE"""),"麗嬰房")</f>
        <v>麗嬰房</v>
      </c>
      <c r="H521" s="632">
        <f ca="1">IFERROR(__xludf.DUMMYFUNCTION("""COMPUTED_VALUE"""),0.000005)</f>
        <v>5.0000000000000004E-6</v>
      </c>
      <c r="I521" s="62"/>
      <c r="J521" s="62"/>
      <c r="K521" s="63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</row>
    <row r="522" spans="1:41" ht="15.5">
      <c r="A522" s="623">
        <f ca="1">IFERROR(__xludf.DUMMYFUNCTION("""COMPUTED_VALUE"""),521)</f>
        <v>521</v>
      </c>
      <c r="B522" s="624">
        <f ca="1">IFERROR(__xludf.DUMMYFUNCTION("""COMPUTED_VALUE"""),2495)</f>
        <v>2495</v>
      </c>
      <c r="C522" s="624" t="str">
        <f ca="1">IFERROR(__xludf.DUMMYFUNCTION("""COMPUTED_VALUE"""),"普安")</f>
        <v>普安</v>
      </c>
      <c r="D522" s="630">
        <f ca="1">IFERROR(__xludf.DUMMYFUNCTION("""COMPUTED_VALUE"""),0.000067)</f>
        <v>6.7000000000000002E-5</v>
      </c>
      <c r="E522" s="628">
        <f ca="1">IFERROR(__xludf.DUMMYFUNCTION("""COMPUTED_VALUE"""),1055)</f>
        <v>1055</v>
      </c>
      <c r="F522" s="624">
        <f ca="1">IFERROR(__xludf.DUMMYFUNCTION("""COMPUTED_VALUE"""),1324)</f>
        <v>1324</v>
      </c>
      <c r="G522" s="624" t="str">
        <f ca="1">IFERROR(__xludf.DUMMYFUNCTION("""COMPUTED_VALUE"""),"地球")</f>
        <v>地球</v>
      </c>
      <c r="H522" s="632">
        <f ca="1">IFERROR(__xludf.DUMMYFUNCTION("""COMPUTED_VALUE"""),0.000005)</f>
        <v>5.0000000000000004E-6</v>
      </c>
      <c r="I522" s="62"/>
      <c r="J522" s="62"/>
      <c r="K522" s="63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</row>
    <row r="523" spans="1:41" ht="15.5">
      <c r="A523" s="623">
        <f ca="1">IFERROR(__xludf.DUMMYFUNCTION("""COMPUTED_VALUE"""),522)</f>
        <v>522</v>
      </c>
      <c r="B523" s="624">
        <f ca="1">IFERROR(__xludf.DUMMYFUNCTION("""COMPUTED_VALUE"""),2414)</f>
        <v>2414</v>
      </c>
      <c r="C523" s="624" t="str">
        <f ca="1">IFERROR(__xludf.DUMMYFUNCTION("""COMPUTED_VALUE"""),"精技")</f>
        <v>精技</v>
      </c>
      <c r="D523" s="630">
        <f ca="1">IFERROR(__xludf.DUMMYFUNCTION("""COMPUTED_VALUE"""),0.000067)</f>
        <v>6.7000000000000002E-5</v>
      </c>
      <c r="E523" s="628">
        <f ca="1">IFERROR(__xludf.DUMMYFUNCTION("""COMPUTED_VALUE"""),1056)</f>
        <v>1056</v>
      </c>
      <c r="F523" s="624">
        <f ca="1">IFERROR(__xludf.DUMMYFUNCTION("""COMPUTED_VALUE"""),1512)</f>
        <v>1512</v>
      </c>
      <c r="G523" s="624" t="str">
        <f ca="1">IFERROR(__xludf.DUMMYFUNCTION("""COMPUTED_VALUE"""),"瑞利")</f>
        <v>瑞利</v>
      </c>
      <c r="H523" s="632">
        <f ca="1">IFERROR(__xludf.DUMMYFUNCTION("""COMPUTED_VALUE"""),0.000005)</f>
        <v>5.0000000000000004E-6</v>
      </c>
      <c r="I523" s="62"/>
      <c r="J523" s="62"/>
      <c r="K523" s="63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</row>
    <row r="524" spans="1:41" ht="15.5">
      <c r="A524" s="623">
        <f ca="1">IFERROR(__xludf.DUMMYFUNCTION("""COMPUTED_VALUE"""),523)</f>
        <v>523</v>
      </c>
      <c r="B524" s="624">
        <f ca="1">IFERROR(__xludf.DUMMYFUNCTION("""COMPUTED_VALUE"""),2636)</f>
        <v>2636</v>
      </c>
      <c r="C524" s="624" t="str">
        <f ca="1">IFERROR(__xludf.DUMMYFUNCTION("""COMPUTED_VALUE"""),"台驊控股")</f>
        <v>台驊控股</v>
      </c>
      <c r="D524" s="630">
        <f ca="1">IFERROR(__xludf.DUMMYFUNCTION("""COMPUTED_VALUE"""),0.000067)</f>
        <v>6.7000000000000002E-5</v>
      </c>
      <c r="E524" s="628">
        <f ca="1">IFERROR(__xludf.DUMMYFUNCTION("""COMPUTED_VALUE"""),1057)</f>
        <v>1057</v>
      </c>
      <c r="F524" s="624">
        <f ca="1">IFERROR(__xludf.DUMMYFUNCTION("""COMPUTED_VALUE"""),6641)</f>
        <v>6641</v>
      </c>
      <c r="G524" s="624" t="str">
        <f ca="1">IFERROR(__xludf.DUMMYFUNCTION("""COMPUTED_VALUE"""),"基士德-KY")</f>
        <v>基士德-KY</v>
      </c>
      <c r="H524" s="632">
        <f ca="1">IFERROR(__xludf.DUMMYFUNCTION("""COMPUTED_VALUE"""),0.000005)</f>
        <v>5.0000000000000004E-6</v>
      </c>
      <c r="I524" s="62"/>
      <c r="J524" s="62"/>
      <c r="K524" s="63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</row>
    <row r="525" spans="1:41" ht="15.5">
      <c r="A525" s="623">
        <f ca="1">IFERROR(__xludf.DUMMYFUNCTION("""COMPUTED_VALUE"""),524)</f>
        <v>524</v>
      </c>
      <c r="B525" s="624">
        <f ca="1">IFERROR(__xludf.DUMMYFUNCTION("""COMPUTED_VALUE"""),1110)</f>
        <v>1110</v>
      </c>
      <c r="C525" s="624" t="str">
        <f ca="1">IFERROR(__xludf.DUMMYFUNCTION("""COMPUTED_VALUE"""),"東泥")</f>
        <v>東泥</v>
      </c>
      <c r="D525" s="630">
        <f ca="1">IFERROR(__xludf.DUMMYFUNCTION("""COMPUTED_VALUE"""),0.000066)</f>
        <v>6.6000000000000005E-5</v>
      </c>
      <c r="E525" s="628">
        <f ca="1">IFERROR(__xludf.DUMMYFUNCTION("""COMPUTED_VALUE"""),1058)</f>
        <v>1058</v>
      </c>
      <c r="F525" s="624">
        <f ca="1">IFERROR(__xludf.DUMMYFUNCTION("""COMPUTED_VALUE"""),8201)</f>
        <v>8201</v>
      </c>
      <c r="G525" s="624" t="str">
        <f ca="1">IFERROR(__xludf.DUMMYFUNCTION("""COMPUTED_VALUE"""),"無敵")</f>
        <v>無敵</v>
      </c>
      <c r="H525" s="632">
        <f ca="1">IFERROR(__xludf.DUMMYFUNCTION("""COMPUTED_VALUE"""),0.000005)</f>
        <v>5.0000000000000004E-6</v>
      </c>
      <c r="I525" s="62"/>
      <c r="J525" s="62"/>
      <c r="K525" s="63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</row>
    <row r="526" spans="1:41" ht="15.5">
      <c r="A526" s="623">
        <f ca="1">IFERROR(__xludf.DUMMYFUNCTION("""COMPUTED_VALUE"""),525)</f>
        <v>525</v>
      </c>
      <c r="B526" s="624">
        <f ca="1">IFERROR(__xludf.DUMMYFUNCTION("""COMPUTED_VALUE"""),2102)</f>
        <v>2102</v>
      </c>
      <c r="C526" s="624" t="str">
        <f ca="1">IFERROR(__xludf.DUMMYFUNCTION("""COMPUTED_VALUE"""),"泰豐")</f>
        <v>泰豐</v>
      </c>
      <c r="D526" s="630">
        <f ca="1">IFERROR(__xludf.DUMMYFUNCTION("""COMPUTED_VALUE"""),0.000065)</f>
        <v>6.4999999999999994E-5</v>
      </c>
      <c r="E526" s="628">
        <f ca="1">IFERROR(__xludf.DUMMYFUNCTION("""COMPUTED_VALUE"""),1059)</f>
        <v>1059</v>
      </c>
      <c r="F526" s="624">
        <f ca="1">IFERROR(__xludf.DUMMYFUNCTION("""COMPUTED_VALUE"""),8488)</f>
        <v>8488</v>
      </c>
      <c r="G526" s="624" t="str">
        <f ca="1">IFERROR(__xludf.DUMMYFUNCTION("""COMPUTED_VALUE"""),"吉源-KY")</f>
        <v>吉源-KY</v>
      </c>
      <c r="H526" s="632">
        <f ca="1">IFERROR(__xludf.DUMMYFUNCTION("""COMPUTED_VALUE"""),0.000005)</f>
        <v>5.0000000000000004E-6</v>
      </c>
      <c r="I526" s="62"/>
      <c r="J526" s="62"/>
      <c r="K526" s="63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</row>
    <row r="527" spans="1:41" ht="15.5">
      <c r="A527" s="623">
        <f ca="1">IFERROR(__xludf.DUMMYFUNCTION("""COMPUTED_VALUE"""),526)</f>
        <v>526</v>
      </c>
      <c r="B527" s="624">
        <f ca="1">IFERROR(__xludf.DUMMYFUNCTION("""COMPUTED_VALUE"""),7765)</f>
        <v>7765</v>
      </c>
      <c r="C527" s="624" t="str">
        <f ca="1">IFERROR(__xludf.DUMMYFUNCTION("""COMPUTED_VALUE"""),"中華資安")</f>
        <v>中華資安</v>
      </c>
      <c r="D527" s="630">
        <f ca="1">IFERROR(__xludf.DUMMYFUNCTION("""COMPUTED_VALUE"""),0.000065)</f>
        <v>6.4999999999999994E-5</v>
      </c>
      <c r="E527" s="628">
        <f ca="1">IFERROR(__xludf.DUMMYFUNCTION("""COMPUTED_VALUE"""),1060)</f>
        <v>1060</v>
      </c>
      <c r="F527" s="624">
        <f ca="1">IFERROR(__xludf.DUMMYFUNCTION("""COMPUTED_VALUE"""),9912)</f>
        <v>9912</v>
      </c>
      <c r="G527" s="624" t="str">
        <f ca="1">IFERROR(__xludf.DUMMYFUNCTION("""COMPUTED_VALUE"""),"偉聯")</f>
        <v>偉聯</v>
      </c>
      <c r="H527" s="632">
        <f ca="1">IFERROR(__xludf.DUMMYFUNCTION("""COMPUTED_VALUE"""),0.000005)</f>
        <v>5.0000000000000004E-6</v>
      </c>
      <c r="I527" s="62"/>
      <c r="J527" s="62"/>
      <c r="K527" s="63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</row>
    <row r="528" spans="1:41" ht="15.5">
      <c r="A528" s="623">
        <f ca="1">IFERROR(__xludf.DUMMYFUNCTION("""COMPUTED_VALUE"""),527)</f>
        <v>527</v>
      </c>
      <c r="B528" s="624">
        <f ca="1">IFERROR(__xludf.DUMMYFUNCTION("""COMPUTED_VALUE"""),6869)</f>
        <v>6869</v>
      </c>
      <c r="C528" s="624" t="str">
        <f ca="1">IFERROR(__xludf.DUMMYFUNCTION("""COMPUTED_VALUE"""),"雲豹能源")</f>
        <v>雲豹能源</v>
      </c>
      <c r="D528" s="630">
        <f ca="1">IFERROR(__xludf.DUMMYFUNCTION("""COMPUTED_VALUE"""),0.000064)</f>
        <v>6.3999999999999997E-5</v>
      </c>
      <c r="E528" s="628">
        <f ca="1">IFERROR(__xludf.DUMMYFUNCTION("""COMPUTED_VALUE"""),1061)</f>
        <v>1061</v>
      </c>
      <c r="F528" s="624">
        <f ca="1">IFERROR(__xludf.DUMMYFUNCTION("""COMPUTED_VALUE"""),8443)</f>
        <v>8443</v>
      </c>
      <c r="G528" s="624" t="str">
        <f ca="1">IFERROR(__xludf.DUMMYFUNCTION("""COMPUTED_VALUE"""),"阿瘦")</f>
        <v>阿瘦</v>
      </c>
      <c r="H528" s="632">
        <f ca="1">IFERROR(__xludf.DUMMYFUNCTION("""COMPUTED_VALUE"""),0.000005)</f>
        <v>5.0000000000000004E-6</v>
      </c>
      <c r="I528" s="62"/>
      <c r="J528" s="62"/>
      <c r="K528" s="63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</row>
    <row r="529" spans="1:41" ht="15.5">
      <c r="A529" s="623">
        <f ca="1">IFERROR(__xludf.DUMMYFUNCTION("""COMPUTED_VALUE"""),528)</f>
        <v>528</v>
      </c>
      <c r="B529" s="624">
        <f ca="1">IFERROR(__xludf.DUMMYFUNCTION("""COMPUTED_VALUE"""),3645)</f>
        <v>3645</v>
      </c>
      <c r="C529" s="624" t="str">
        <f ca="1">IFERROR(__xludf.DUMMYFUNCTION("""COMPUTED_VALUE"""),"達邁")</f>
        <v>達邁</v>
      </c>
      <c r="D529" s="630">
        <f ca="1">IFERROR(__xludf.DUMMYFUNCTION("""COMPUTED_VALUE"""),0.000064)</f>
        <v>6.3999999999999997E-5</v>
      </c>
      <c r="E529" s="628">
        <f ca="1">IFERROR(__xludf.DUMMYFUNCTION("""COMPUTED_VALUE"""),1062)</f>
        <v>1062</v>
      </c>
      <c r="F529" s="624">
        <f ca="1">IFERROR(__xludf.DUMMYFUNCTION("""COMPUTED_VALUE"""),6988)</f>
        <v>6988</v>
      </c>
      <c r="G529" s="624" t="str">
        <f ca="1">IFERROR(__xludf.DUMMYFUNCTION("""COMPUTED_VALUE"""),"威力暘-創")</f>
        <v>威力暘-創</v>
      </c>
      <c r="H529" s="632">
        <f ca="1">IFERROR(__xludf.DUMMYFUNCTION("""COMPUTED_VALUE"""),0.000004)</f>
        <v>3.9999999999999998E-6</v>
      </c>
      <c r="I529" s="62"/>
      <c r="J529" s="62"/>
      <c r="K529" s="63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</row>
    <row r="530" spans="1:41" ht="15.5">
      <c r="A530" s="623">
        <f ca="1">IFERROR(__xludf.DUMMYFUNCTION("""COMPUTED_VALUE"""),529)</f>
        <v>529</v>
      </c>
      <c r="B530" s="624">
        <f ca="1">IFERROR(__xludf.DUMMYFUNCTION("""COMPUTED_VALUE"""),4968)</f>
        <v>4968</v>
      </c>
      <c r="C530" s="624" t="str">
        <f ca="1">IFERROR(__xludf.DUMMYFUNCTION("""COMPUTED_VALUE"""),"立積")</f>
        <v>立積</v>
      </c>
      <c r="D530" s="630">
        <f ca="1">IFERROR(__xludf.DUMMYFUNCTION("""COMPUTED_VALUE"""),0.000064)</f>
        <v>6.3999999999999997E-5</v>
      </c>
      <c r="E530" s="628">
        <f ca="1">IFERROR(__xludf.DUMMYFUNCTION("""COMPUTED_VALUE"""),1063)</f>
        <v>1063</v>
      </c>
      <c r="F530" s="624">
        <f ca="1">IFERROR(__xludf.DUMMYFUNCTION("""COMPUTED_VALUE"""),3432)</f>
        <v>3432</v>
      </c>
      <c r="G530" s="624" t="str">
        <f ca="1">IFERROR(__xludf.DUMMYFUNCTION("""COMPUTED_VALUE"""),"台端")</f>
        <v>台端</v>
      </c>
      <c r="H530" s="632">
        <f ca="1">IFERROR(__xludf.DUMMYFUNCTION("""COMPUTED_VALUE"""),0.000004)</f>
        <v>3.9999999999999998E-6</v>
      </c>
      <c r="I530" s="62"/>
      <c r="J530" s="62"/>
      <c r="K530" s="63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</row>
    <row r="531" spans="1:41" ht="15.5">
      <c r="A531" s="623">
        <f ca="1">IFERROR(__xludf.DUMMYFUNCTION("""COMPUTED_VALUE"""),530)</f>
        <v>530</v>
      </c>
      <c r="B531" s="624">
        <f ca="1">IFERROR(__xludf.DUMMYFUNCTION("""COMPUTED_VALUE"""),6153)</f>
        <v>6153</v>
      </c>
      <c r="C531" s="624" t="str">
        <f ca="1">IFERROR(__xludf.DUMMYFUNCTION("""COMPUTED_VALUE"""),"嘉聯益")</f>
        <v>嘉聯益</v>
      </c>
      <c r="D531" s="630">
        <f ca="1">IFERROR(__xludf.DUMMYFUNCTION("""COMPUTED_VALUE"""),0.000064)</f>
        <v>6.3999999999999997E-5</v>
      </c>
      <c r="E531" s="628">
        <f ca="1">IFERROR(__xludf.DUMMYFUNCTION("""COMPUTED_VALUE"""),1064)</f>
        <v>1064</v>
      </c>
      <c r="F531" s="624">
        <f ca="1">IFERROR(__xludf.DUMMYFUNCTION("""COMPUTED_VALUE"""),1516)</f>
        <v>1516</v>
      </c>
      <c r="G531" s="624" t="str">
        <f ca="1">IFERROR(__xludf.DUMMYFUNCTION("""COMPUTED_VALUE"""),"川飛")</f>
        <v>川飛</v>
      </c>
      <c r="H531" s="632">
        <f ca="1">IFERROR(__xludf.DUMMYFUNCTION("""COMPUTED_VALUE"""),0.000004)</f>
        <v>3.9999999999999998E-6</v>
      </c>
      <c r="I531" s="62"/>
      <c r="J531" s="62"/>
      <c r="K531" s="63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</row>
    <row r="532" spans="1:41" ht="15.5">
      <c r="A532" s="623">
        <f ca="1">IFERROR(__xludf.DUMMYFUNCTION("""COMPUTED_VALUE"""),531)</f>
        <v>531</v>
      </c>
      <c r="B532" s="624">
        <f ca="1">IFERROR(__xludf.DUMMYFUNCTION("""COMPUTED_VALUE"""),1604)</f>
        <v>1604</v>
      </c>
      <c r="C532" s="624" t="str">
        <f ca="1">IFERROR(__xludf.DUMMYFUNCTION("""COMPUTED_VALUE"""),"聲寶")</f>
        <v>聲寶</v>
      </c>
      <c r="D532" s="630">
        <f ca="1">IFERROR(__xludf.DUMMYFUNCTION("""COMPUTED_VALUE"""),0.000064)</f>
        <v>6.3999999999999997E-5</v>
      </c>
      <c r="E532" s="628">
        <f ca="1">IFERROR(__xludf.DUMMYFUNCTION("""COMPUTED_VALUE"""),1065)</f>
        <v>1065</v>
      </c>
      <c r="F532" s="624">
        <f ca="1">IFERROR(__xludf.DUMMYFUNCTION("""COMPUTED_VALUE"""),1441)</f>
        <v>1441</v>
      </c>
      <c r="G532" s="624" t="str">
        <f ca="1">IFERROR(__xludf.DUMMYFUNCTION("""COMPUTED_VALUE"""),"大東")</f>
        <v>大東</v>
      </c>
      <c r="H532" s="632">
        <f ca="1">IFERROR(__xludf.DUMMYFUNCTION("""COMPUTED_VALUE"""),0.000004)</f>
        <v>3.9999999999999998E-6</v>
      </c>
      <c r="I532" s="62"/>
      <c r="J532" s="62"/>
      <c r="K532" s="63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</row>
    <row r="533" spans="1:41" ht="15.5">
      <c r="A533" s="623">
        <f ca="1">IFERROR(__xludf.DUMMYFUNCTION("""COMPUTED_VALUE"""),532)</f>
        <v>532</v>
      </c>
      <c r="B533" s="624">
        <f ca="1">IFERROR(__xludf.DUMMYFUNCTION("""COMPUTED_VALUE"""),1532)</f>
        <v>1532</v>
      </c>
      <c r="C533" s="624" t="str">
        <f ca="1">IFERROR(__xludf.DUMMYFUNCTION("""COMPUTED_VALUE"""),"勤美")</f>
        <v>勤美</v>
      </c>
      <c r="D533" s="630">
        <f ca="1">IFERROR(__xludf.DUMMYFUNCTION("""COMPUTED_VALUE"""),0.000064)</f>
        <v>6.3999999999999997E-5</v>
      </c>
      <c r="E533" s="628">
        <f ca="1">IFERROR(__xludf.DUMMYFUNCTION("""COMPUTED_VALUE"""),1066)</f>
        <v>1066</v>
      </c>
      <c r="F533" s="624">
        <f ca="1">IFERROR(__xludf.DUMMYFUNCTION("""COMPUTED_VALUE"""),2929)</f>
        <v>2929</v>
      </c>
      <c r="G533" s="624" t="str">
        <f ca="1">IFERROR(__xludf.DUMMYFUNCTION("""COMPUTED_VALUE"""),"淘帝-KY")</f>
        <v>淘帝-KY</v>
      </c>
      <c r="H533" s="632">
        <f ca="1">IFERROR(__xludf.DUMMYFUNCTION("""COMPUTED_VALUE"""),0.000004)</f>
        <v>3.9999999999999998E-6</v>
      </c>
      <c r="I533" s="62"/>
      <c r="J533" s="62"/>
      <c r="K533" s="63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</row>
    <row r="534" spans="1:41" ht="15.5">
      <c r="A534" s="618">
        <f ca="1">IFERROR(__xludf.DUMMYFUNCTION("""COMPUTED_VALUE"""),533)</f>
        <v>533</v>
      </c>
      <c r="B534" s="624">
        <f ca="1">IFERROR(__xludf.DUMMYFUNCTION("""COMPUTED_VALUE"""),3055)</f>
        <v>3055</v>
      </c>
      <c r="C534" s="624" t="str">
        <f ca="1">IFERROR(__xludf.DUMMYFUNCTION("""COMPUTED_VALUE"""),"蔚華科")</f>
        <v>蔚華科</v>
      </c>
      <c r="D534" s="630">
        <f ca="1">IFERROR(__xludf.DUMMYFUNCTION("""COMPUTED_VALUE"""),0.000064)</f>
        <v>6.3999999999999997E-5</v>
      </c>
      <c r="E534" s="628">
        <f ca="1">IFERROR(__xludf.DUMMYFUNCTION("""COMPUTED_VALUE"""),1067)</f>
        <v>1067</v>
      </c>
      <c r="F534" s="624">
        <f ca="1">IFERROR(__xludf.DUMMYFUNCTION("""COMPUTED_VALUE"""),3018)</f>
        <v>3018</v>
      </c>
      <c r="G534" s="624" t="str">
        <f ca="1">IFERROR(__xludf.DUMMYFUNCTION("""COMPUTED_VALUE"""),"隆銘綠能")</f>
        <v>隆銘綠能</v>
      </c>
      <c r="H534" s="632">
        <f ca="1">IFERROR(__xludf.DUMMYFUNCTION("""COMPUTED_VALUE"""),0.000004)</f>
        <v>3.9999999999999998E-6</v>
      </c>
      <c r="I534" s="62"/>
      <c r="J534" s="62"/>
      <c r="K534" s="63"/>
      <c r="L534" s="62"/>
      <c r="M534" s="62"/>
      <c r="N534" s="62"/>
      <c r="O534" s="62"/>
      <c r="P534" s="62"/>
      <c r="Q534" s="62"/>
      <c r="R534" s="62"/>
      <c r="S534" s="62"/>
      <c r="T534" s="63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</row>
    <row r="535" spans="1:41" ht="16" thickBot="1">
      <c r="A535" s="625">
        <f ca="1">IFERROR(__xludf.DUMMYFUNCTION("""COMPUTED_VALUE"""),534)</f>
        <v>534</v>
      </c>
      <c r="B535" s="626">
        <f ca="1">IFERROR(__xludf.DUMMYFUNCTION("""COMPUTED_VALUE"""),2457)</f>
        <v>2457</v>
      </c>
      <c r="C535" s="626" t="str">
        <f ca="1">IFERROR(__xludf.DUMMYFUNCTION("""COMPUTED_VALUE"""),"飛宏")</f>
        <v>飛宏</v>
      </c>
      <c r="D535" s="631">
        <f ca="1">IFERROR(__xludf.DUMMYFUNCTION("""COMPUTED_VALUE"""),0.000064)</f>
        <v>6.3999999999999997E-5</v>
      </c>
      <c r="E535" s="629">
        <f ca="1">IFERROR(__xludf.DUMMYFUNCTION("""COMPUTED_VALUE"""),1068)</f>
        <v>1068</v>
      </c>
      <c r="F535" s="626">
        <f ca="1">IFERROR(__xludf.DUMMYFUNCTION("""COMPUTED_VALUE"""),3494)</f>
        <v>3494</v>
      </c>
      <c r="G535" s="626" t="str">
        <f ca="1">IFERROR(__xludf.DUMMYFUNCTION("""COMPUTED_VALUE"""),"誠研")</f>
        <v>誠研</v>
      </c>
      <c r="H535" s="633">
        <f ca="1">IFERROR(__xludf.DUMMYFUNCTION("""COMPUTED_VALUE"""),0.000003)</f>
        <v>3.0000000000000001E-6</v>
      </c>
      <c r="I535" s="62"/>
      <c r="J535" s="62"/>
      <c r="K535" s="63"/>
      <c r="L535" s="62"/>
      <c r="M535" s="62"/>
      <c r="N535" s="62"/>
      <c r="O535" s="62"/>
      <c r="P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</row>
    <row r="536" spans="1:41" ht="15.5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3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</row>
    <row r="537" spans="1:41" ht="15.5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3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</row>
    <row r="538" spans="1:41" ht="15.5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3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</row>
    <row r="539" spans="1:41" ht="15.5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3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</row>
    <row r="540" spans="1:41" ht="15.5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3"/>
      <c r="L540" s="62"/>
      <c r="M540" s="62"/>
      <c r="N540" s="62"/>
      <c r="O540" s="62"/>
      <c r="P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</row>
    <row r="541" spans="1:41" ht="15.5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3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</row>
    <row r="542" spans="1:41" ht="15.5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3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</row>
    <row r="543" spans="1:41" ht="15.5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3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</row>
    <row r="544" spans="1:41" ht="15.5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3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</row>
    <row r="545" spans="1:41" ht="15.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3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</row>
    <row r="546" spans="1:41" ht="15.5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3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</row>
    <row r="547" spans="1:41" ht="15.5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3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</row>
    <row r="548" spans="1:41" ht="15.5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3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</row>
    <row r="549" spans="1:41" ht="15.5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3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</row>
    <row r="550" spans="1:41" ht="15.5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3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</row>
    <row r="551" spans="1:41" ht="15.5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3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</row>
    <row r="552" spans="1:41" ht="15.5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3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</row>
    <row r="553" spans="1:41" ht="15.5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3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</row>
    <row r="554" spans="1:41" ht="15.5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3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</row>
    <row r="555" spans="1:41" ht="15.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3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</row>
    <row r="556" spans="1:41" ht="15.5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3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</row>
    <row r="557" spans="1:41" ht="15.5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3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</row>
    <row r="558" spans="1:41" ht="15.5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3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</row>
    <row r="559" spans="1:41" ht="15.5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3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</row>
    <row r="560" spans="1:41" ht="15.5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3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</row>
    <row r="561" spans="1:41" ht="15.5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3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</row>
    <row r="562" spans="1:41" ht="15.5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3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</row>
    <row r="563" spans="1:41" ht="15.5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3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</row>
    <row r="564" spans="1:41" ht="15.5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3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</row>
    <row r="565" spans="1:41" ht="15.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3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</row>
    <row r="566" spans="1:41" ht="15.5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3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</row>
    <row r="567" spans="1:41" ht="15.5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3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</row>
    <row r="568" spans="1:41" ht="15.5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3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</row>
    <row r="569" spans="1:41" ht="15.5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3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</row>
    <row r="570" spans="1:41" ht="15.5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3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</row>
    <row r="571" spans="1:41" ht="15.5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3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</row>
    <row r="572" spans="1:41" ht="15.5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3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</row>
    <row r="573" spans="1:41" ht="15.5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3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</row>
    <row r="574" spans="1:41" ht="15.5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3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</row>
    <row r="575" spans="1:41" ht="15.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3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</row>
    <row r="576" spans="1:41" ht="15.5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3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</row>
    <row r="577" spans="1:41" ht="15.5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3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</row>
    <row r="578" spans="1:41" ht="15.5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3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</row>
    <row r="579" spans="1:41" ht="15.5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3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</row>
    <row r="580" spans="1:41" ht="15.5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3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</row>
    <row r="581" spans="1:41" ht="15.5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3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</row>
    <row r="582" spans="1:41" ht="15.5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3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</row>
    <row r="583" spans="1:41" ht="15.5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3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</row>
    <row r="584" spans="1:41" ht="15.5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3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</row>
    <row r="585" spans="1:41" ht="15.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3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</row>
    <row r="586" spans="1:41" ht="15.5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3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</row>
    <row r="587" spans="1:41" ht="15.5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3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</row>
    <row r="588" spans="1:41" ht="15.5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3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</row>
    <row r="589" spans="1:41" ht="15.5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3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</row>
    <row r="590" spans="1:41" ht="15.5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3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</row>
    <row r="591" spans="1:41" ht="15.5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3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</row>
    <row r="592" spans="1:41" ht="15.5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3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</row>
    <row r="593" spans="1:41" ht="15.5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3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</row>
    <row r="594" spans="1:41" ht="15.5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3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</row>
    <row r="595" spans="1:41" ht="15.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3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</row>
    <row r="596" spans="1:41" ht="15.5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3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</row>
    <row r="597" spans="1:41" ht="15.5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3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</row>
    <row r="598" spans="1:41" ht="15.5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3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</row>
    <row r="599" spans="1:41" ht="15.5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3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</row>
    <row r="600" spans="1:41" ht="15.5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3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</row>
    <row r="601" spans="1:41" ht="15.5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3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</row>
    <row r="602" spans="1:41" ht="15.5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3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</row>
    <row r="603" spans="1:41" ht="15.5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3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</row>
    <row r="604" spans="1:41" ht="15.5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3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</row>
    <row r="605" spans="1:41" ht="15.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3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</row>
    <row r="606" spans="1:41" ht="15.5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3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</row>
    <row r="607" spans="1:41" ht="15.5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3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</row>
    <row r="608" spans="1:41" ht="15.5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3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</row>
    <row r="609" spans="1:41" ht="15.5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3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</row>
    <row r="610" spans="1:41" ht="15.5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3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</row>
    <row r="611" spans="1:41" ht="15.5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3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</row>
    <row r="612" spans="1:41" ht="15.5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3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</row>
    <row r="613" spans="1:41" ht="15.5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3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</row>
    <row r="614" spans="1:41" ht="15.5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3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</row>
    <row r="615" spans="1:41" ht="15.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3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</row>
    <row r="616" spans="1:41" ht="15.5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3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</row>
    <row r="617" spans="1:41" ht="15.5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3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</row>
    <row r="618" spans="1:41" ht="15.5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3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</row>
    <row r="619" spans="1:41" ht="15.5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3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</row>
    <row r="620" spans="1:41" ht="15.5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3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</row>
    <row r="621" spans="1:41" ht="15.5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3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</row>
    <row r="622" spans="1:41" ht="15.5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3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</row>
    <row r="623" spans="1:41" ht="15.5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3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</row>
    <row r="624" spans="1:41" ht="15.5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3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</row>
    <row r="625" spans="1:41" ht="15.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3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</row>
    <row r="626" spans="1:41" ht="15.5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3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</row>
    <row r="627" spans="1:41" ht="15.5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3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</row>
    <row r="628" spans="1:41" ht="15.5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3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</row>
    <row r="629" spans="1:41" ht="15.5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3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</row>
    <row r="630" spans="1:41" ht="15.5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3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</row>
    <row r="631" spans="1:41" ht="15.5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3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</row>
    <row r="632" spans="1:41" ht="15.5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3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</row>
    <row r="633" spans="1:41" ht="15.5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3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</row>
    <row r="634" spans="1:41" ht="15.5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3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</row>
    <row r="635" spans="1:41" ht="15.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3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</row>
    <row r="636" spans="1:41" ht="15.5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3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</row>
    <row r="637" spans="1:41" ht="15.5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3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</row>
    <row r="638" spans="1:41" ht="15.5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3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</row>
    <row r="639" spans="1:41" ht="15.5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3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</row>
    <row r="640" spans="1:41" ht="15.5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3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</row>
    <row r="641" spans="1:41" ht="15.5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3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</row>
    <row r="642" spans="1:41" ht="15.5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3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</row>
    <row r="643" spans="1:41" ht="15.5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3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</row>
    <row r="644" spans="1:41" ht="15.5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3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</row>
    <row r="645" spans="1:41" ht="15.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3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</row>
    <row r="646" spans="1:41" ht="15.5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3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</row>
    <row r="647" spans="1:41" ht="15.5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3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</row>
    <row r="648" spans="1:41" ht="15.5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3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</row>
    <row r="649" spans="1:41" ht="15.5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3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</row>
    <row r="650" spans="1:41" ht="15.5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3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</row>
    <row r="651" spans="1:41" ht="15.5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3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</row>
    <row r="652" spans="1:41" ht="15.5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3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</row>
    <row r="653" spans="1:41" ht="15.5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3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</row>
    <row r="654" spans="1:41" ht="15.5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3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</row>
    <row r="655" spans="1:41" ht="15.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3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</row>
    <row r="656" spans="1:41" ht="15.5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3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</row>
    <row r="657" spans="1:41" ht="15.5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3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</row>
    <row r="658" spans="1:41" ht="15.5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3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</row>
    <row r="659" spans="1:41" ht="15.5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3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</row>
    <row r="660" spans="1:41" ht="15.5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3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</row>
    <row r="661" spans="1:41" ht="15.5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3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</row>
    <row r="662" spans="1:41" ht="15.5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3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</row>
    <row r="663" spans="1:41" ht="15.5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3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</row>
    <row r="664" spans="1:41" ht="15.5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3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</row>
    <row r="665" spans="1:41" ht="15.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3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</row>
    <row r="666" spans="1:41" ht="15.5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3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</row>
    <row r="667" spans="1:41" ht="15.5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3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</row>
    <row r="668" spans="1:41" ht="15.5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3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</row>
    <row r="669" spans="1:41" ht="15.5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3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</row>
    <row r="670" spans="1:41" ht="15.5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3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</row>
    <row r="671" spans="1:41" ht="15.5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3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</row>
    <row r="672" spans="1:41" ht="15.5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3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</row>
    <row r="673" spans="1:41" ht="15.5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3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</row>
    <row r="674" spans="1:41" ht="15.5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3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</row>
    <row r="675" spans="1:41" ht="15.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3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</row>
    <row r="676" spans="1:41" ht="15.5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3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</row>
    <row r="677" spans="1:41" ht="15.5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3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</row>
    <row r="678" spans="1:41" ht="15.5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3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</row>
    <row r="679" spans="1:41" ht="15.5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3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</row>
    <row r="680" spans="1:41" ht="15.5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3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</row>
    <row r="681" spans="1:41" ht="15.5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3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</row>
    <row r="682" spans="1:41" ht="15.5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3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</row>
    <row r="683" spans="1:41" ht="15.5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3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</row>
    <row r="684" spans="1:41" ht="15.5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3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</row>
    <row r="685" spans="1:41" ht="15.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3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</row>
    <row r="686" spans="1:41" ht="15.5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3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</row>
    <row r="687" spans="1:41" ht="15.5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3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</row>
    <row r="688" spans="1:41" ht="15.5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3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</row>
    <row r="689" spans="1:41" ht="15.5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3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</row>
    <row r="690" spans="1:41" ht="15.5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3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</row>
    <row r="691" spans="1:41" ht="15.5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3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</row>
    <row r="692" spans="1:41" ht="15.5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3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</row>
    <row r="693" spans="1:41" ht="15.5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3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</row>
    <row r="694" spans="1:41" ht="15.5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3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</row>
    <row r="695" spans="1:41" ht="15.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3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</row>
    <row r="696" spans="1:41" ht="15.5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3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</row>
    <row r="697" spans="1:41" ht="15.5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3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</row>
    <row r="698" spans="1:41" ht="15.5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3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</row>
    <row r="699" spans="1:41" ht="15.5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3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</row>
    <row r="700" spans="1:41" ht="15.5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3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</row>
    <row r="701" spans="1:41" ht="15.5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3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</row>
    <row r="702" spans="1:41" ht="15.5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3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</row>
    <row r="703" spans="1:41" ht="15.5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3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</row>
    <row r="704" spans="1:41" ht="15.5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3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</row>
    <row r="705" spans="1:41" ht="15.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3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</row>
    <row r="706" spans="1:41" ht="15.5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3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</row>
    <row r="707" spans="1:41" ht="15.5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3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</row>
    <row r="708" spans="1:41" ht="15.5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3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</row>
    <row r="709" spans="1:41" ht="15.5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3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</row>
    <row r="710" spans="1:41" ht="15.5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3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</row>
    <row r="711" spans="1:41" ht="15.5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3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</row>
    <row r="712" spans="1:41" ht="15.5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3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</row>
    <row r="713" spans="1:41" ht="15.5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3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</row>
    <row r="714" spans="1:41" ht="15.5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3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</row>
    <row r="715" spans="1:41" ht="15.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3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</row>
    <row r="716" spans="1:41" ht="15.5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3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</row>
    <row r="717" spans="1:41" ht="15.5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3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</row>
    <row r="718" spans="1:41" ht="15.5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3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</row>
    <row r="719" spans="1:41" ht="15.5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3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</row>
    <row r="720" spans="1:41" ht="15.5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3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</row>
    <row r="721" spans="1:41" ht="15.5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3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</row>
    <row r="722" spans="1:41" ht="15.5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3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</row>
    <row r="723" spans="1:41" ht="15.5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3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</row>
    <row r="724" spans="1:41" ht="15.5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3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</row>
    <row r="725" spans="1:41" ht="15.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3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</row>
    <row r="726" spans="1:41" ht="15.5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3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</row>
    <row r="727" spans="1:41" ht="15.5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3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</row>
    <row r="728" spans="1:41" ht="15.5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3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</row>
    <row r="729" spans="1:41" ht="15.5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3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</row>
    <row r="730" spans="1:41" ht="15.5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3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</row>
    <row r="731" spans="1:41" ht="15.5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3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</row>
    <row r="732" spans="1:41" ht="15.5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3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</row>
    <row r="733" spans="1:41" ht="15.5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3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</row>
    <row r="734" spans="1:41" ht="15.5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3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</row>
    <row r="735" spans="1:41" ht="15.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3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</row>
    <row r="736" spans="1:41" ht="15.5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3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</row>
    <row r="737" spans="1:41" ht="15.5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3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</row>
    <row r="738" spans="1:41" ht="15.5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3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</row>
    <row r="739" spans="1:41" ht="15.5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3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</row>
    <row r="740" spans="1:41" ht="15.5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3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</row>
    <row r="741" spans="1:41" ht="15.5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3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</row>
    <row r="742" spans="1:41" ht="15.5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3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</row>
    <row r="743" spans="1:41" ht="15.5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3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</row>
    <row r="744" spans="1:41" ht="15.5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3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</row>
    <row r="745" spans="1:41" ht="15.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3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</row>
    <row r="746" spans="1:41" ht="15.5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3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</row>
    <row r="747" spans="1:41" ht="15.5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3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</row>
    <row r="748" spans="1:41" ht="15.5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3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</row>
    <row r="749" spans="1:41" ht="15.5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3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</row>
    <row r="750" spans="1:41" ht="15.5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3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</row>
    <row r="751" spans="1:41" ht="15.5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3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</row>
    <row r="752" spans="1:41" ht="15.5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3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</row>
    <row r="753" spans="1:41" ht="15.5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3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</row>
    <row r="754" spans="1:41" ht="15.5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3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</row>
    <row r="755" spans="1:41" ht="15.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3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</row>
    <row r="756" spans="1:41" ht="15.5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3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</row>
    <row r="757" spans="1:41" ht="15.5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3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</row>
    <row r="758" spans="1:41" ht="15.5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3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</row>
    <row r="759" spans="1:41" ht="15.5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3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</row>
    <row r="760" spans="1:41" ht="15.5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3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</row>
    <row r="761" spans="1:41" ht="15.5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3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</row>
    <row r="762" spans="1:41" ht="15.5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3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</row>
    <row r="763" spans="1:41" ht="15.5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3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</row>
    <row r="764" spans="1:41" ht="15.5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3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</row>
    <row r="765" spans="1:41" ht="15.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3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</row>
    <row r="766" spans="1:41" ht="15.5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3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</row>
    <row r="767" spans="1:41" ht="15.5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3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</row>
    <row r="768" spans="1:41" ht="15.5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3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</row>
    <row r="769" spans="1:41" ht="15.5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3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</row>
    <row r="770" spans="1:41" ht="15.5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3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</row>
    <row r="771" spans="1:41" ht="15.5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3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</row>
    <row r="772" spans="1:41" ht="15.5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3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</row>
    <row r="773" spans="1:41" ht="15.5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3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</row>
    <row r="774" spans="1:41" ht="15.5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3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</row>
    <row r="775" spans="1:41" ht="15.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3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</row>
    <row r="776" spans="1:41" ht="15.5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3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</row>
    <row r="777" spans="1:41" ht="15.5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3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</row>
    <row r="778" spans="1:41" ht="15.5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3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</row>
    <row r="779" spans="1:41" ht="15.5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3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</row>
    <row r="780" spans="1:41" ht="15.5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3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</row>
    <row r="781" spans="1:41" ht="15.5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3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</row>
    <row r="782" spans="1:41" ht="15.5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3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</row>
    <row r="783" spans="1:41" ht="15.5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3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</row>
    <row r="784" spans="1:41" ht="15.5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3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</row>
    <row r="785" spans="1:41" ht="15.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3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</row>
    <row r="786" spans="1:41" ht="15.5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3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</row>
    <row r="787" spans="1:41" ht="15.5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3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</row>
    <row r="788" spans="1:41" ht="15.5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3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</row>
    <row r="789" spans="1:41" ht="15.5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3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</row>
    <row r="790" spans="1:41" ht="15.5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3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</row>
    <row r="791" spans="1:41" ht="15.5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3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</row>
    <row r="792" spans="1:41" ht="15.5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3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</row>
    <row r="793" spans="1:41" ht="15.5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3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</row>
    <row r="794" spans="1:41" ht="15.5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3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</row>
    <row r="795" spans="1:41" ht="15.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3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</row>
    <row r="796" spans="1:41" ht="15.5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3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</row>
    <row r="797" spans="1:41" ht="15.5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3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</row>
    <row r="798" spans="1:41" ht="15.5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3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</row>
    <row r="799" spans="1:41" ht="15.5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3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</row>
    <row r="800" spans="1:41" ht="15.5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3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</row>
    <row r="801" spans="1:41" ht="15.5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3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</row>
    <row r="802" spans="1:41" ht="15.5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3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</row>
    <row r="803" spans="1:41" ht="15.5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3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</row>
    <row r="804" spans="1:41" ht="15.5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3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</row>
    <row r="805" spans="1:41" ht="15.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3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</row>
    <row r="806" spans="1:41" ht="15.5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3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</row>
    <row r="807" spans="1:41" ht="15.5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3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</row>
    <row r="808" spans="1:41" ht="15.5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3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</row>
    <row r="809" spans="1:41" ht="15.5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3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</row>
    <row r="810" spans="1:41" ht="15.5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3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</row>
    <row r="811" spans="1:41" ht="15.5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3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</row>
    <row r="812" spans="1:41" ht="15.5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3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</row>
    <row r="813" spans="1:41" ht="15.5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3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</row>
    <row r="814" spans="1:41" ht="15.5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3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</row>
    <row r="815" spans="1:41" ht="15.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3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</row>
    <row r="816" spans="1:41" ht="15.5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3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</row>
    <row r="817" spans="1:41" ht="15.5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3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</row>
    <row r="818" spans="1:41" ht="15.5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3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</row>
    <row r="819" spans="1:41" ht="15.5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3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</row>
    <row r="820" spans="1:41" ht="15.5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3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</row>
    <row r="821" spans="1:41" ht="15.5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3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</row>
    <row r="822" spans="1:41" ht="15.5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3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</row>
    <row r="823" spans="1:41" ht="15.5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3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</row>
    <row r="824" spans="1:41" ht="15.5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3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</row>
    <row r="825" spans="1:41" ht="15.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3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</row>
    <row r="826" spans="1:41" ht="15.5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3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</row>
    <row r="827" spans="1:41" ht="15.5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3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</row>
    <row r="828" spans="1:41" ht="15.5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3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</row>
    <row r="829" spans="1:41" ht="15.5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3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</row>
    <row r="830" spans="1:41" ht="15.5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3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</row>
    <row r="831" spans="1:41" ht="15.5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3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</row>
    <row r="832" spans="1:41" ht="15.5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3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</row>
    <row r="833" spans="1:41" ht="15.5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3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</row>
    <row r="834" spans="1:41" ht="15.5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3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</row>
    <row r="835" spans="1:41" ht="15.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3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</row>
    <row r="836" spans="1:41" ht="15.5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3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</row>
    <row r="837" spans="1:41" ht="15.5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3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</row>
    <row r="838" spans="1:41" ht="15.5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3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</row>
    <row r="839" spans="1:41" ht="15.5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3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</row>
    <row r="840" spans="1:41" ht="15.5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3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</row>
    <row r="841" spans="1:41" ht="15.5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3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</row>
    <row r="842" spans="1:41" ht="15.5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3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</row>
    <row r="843" spans="1:41" ht="15.5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3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</row>
    <row r="844" spans="1:41" ht="15.5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3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</row>
    <row r="845" spans="1:41" ht="15.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3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</row>
    <row r="846" spans="1:41" ht="15.5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3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</row>
    <row r="847" spans="1:41" ht="15.5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3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</row>
    <row r="848" spans="1:41" ht="15.5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3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</row>
    <row r="849" spans="1:41" ht="15.5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3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</row>
    <row r="850" spans="1:41" ht="15.5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3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</row>
    <row r="851" spans="1:41" ht="15.5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3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</row>
    <row r="852" spans="1:41" ht="15.5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3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</row>
    <row r="853" spans="1:41" ht="15.5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3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</row>
    <row r="854" spans="1:41" ht="15.5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3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</row>
    <row r="855" spans="1:41" ht="15.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3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</row>
    <row r="856" spans="1:41" ht="15.5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3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</row>
    <row r="857" spans="1:41" ht="15.5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3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</row>
    <row r="858" spans="1:41" ht="15.5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3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</row>
    <row r="859" spans="1:41" ht="15.5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3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</row>
    <row r="860" spans="1:41" ht="15.5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3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</row>
    <row r="861" spans="1:41" ht="15.5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3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</row>
    <row r="862" spans="1:41" ht="15.5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3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</row>
    <row r="863" spans="1:41" ht="15.5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3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</row>
    <row r="864" spans="1:41" ht="15.5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3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</row>
    <row r="865" spans="1:41" ht="15.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3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</row>
    <row r="866" spans="1:41" ht="15.5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3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</row>
    <row r="867" spans="1:41" ht="15.5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3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</row>
    <row r="868" spans="1:41" ht="15.5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3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</row>
    <row r="869" spans="1:41" ht="15.5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3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</row>
    <row r="870" spans="1:41" ht="15.5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3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</row>
    <row r="871" spans="1:41" ht="15.5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3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</row>
    <row r="872" spans="1:41" ht="15.5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3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</row>
    <row r="873" spans="1:41" ht="15.5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3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</row>
    <row r="874" spans="1:41" ht="15.5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3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</row>
    <row r="875" spans="1:41" ht="15.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3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</row>
    <row r="876" spans="1:41" ht="15.5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3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</row>
    <row r="877" spans="1:41" ht="15.5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3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</row>
    <row r="878" spans="1:41" ht="15.5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3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</row>
    <row r="879" spans="1:41" ht="15.5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3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</row>
    <row r="880" spans="1:41" ht="15.5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3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</row>
    <row r="881" spans="1:41" ht="15.5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3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</row>
    <row r="882" spans="1:41" ht="15.5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3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</row>
    <row r="883" spans="1:41" ht="15.5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3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</row>
    <row r="884" spans="1:41" ht="15.5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3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</row>
    <row r="885" spans="1:41" ht="15.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3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</row>
    <row r="886" spans="1:41" ht="15.5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3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</row>
    <row r="887" spans="1:41" ht="15.5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3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</row>
    <row r="888" spans="1:41" ht="15.5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3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</row>
    <row r="889" spans="1:41" ht="15.5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3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</row>
    <row r="890" spans="1:41" ht="15.5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3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</row>
    <row r="891" spans="1:41" ht="15.5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3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</row>
    <row r="892" spans="1:41" ht="15.5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3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</row>
    <row r="893" spans="1:41" ht="15.5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3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</row>
    <row r="894" spans="1:41" ht="15.5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3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</row>
    <row r="895" spans="1:41" ht="15.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3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</row>
    <row r="896" spans="1:41" ht="15.5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3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</row>
    <row r="897" spans="1:41" ht="15.5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3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</row>
    <row r="898" spans="1:41" ht="15.5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3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</row>
    <row r="899" spans="1:41" ht="15.5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3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</row>
    <row r="900" spans="1:41" ht="15.5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3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</row>
    <row r="901" spans="1:41" ht="15.5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3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</row>
    <row r="902" spans="1:41" ht="15.5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3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</row>
    <row r="903" spans="1:41" ht="15.5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3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</row>
    <row r="904" spans="1:41" ht="15.5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3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</row>
    <row r="905" spans="1:41" ht="15.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3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</row>
    <row r="906" spans="1:41" ht="15.5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3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</row>
    <row r="907" spans="1:41" ht="15.5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3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</row>
    <row r="908" spans="1:41" ht="15.5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3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</row>
    <row r="909" spans="1:41" ht="15.5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3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</row>
    <row r="910" spans="1:41" ht="15.5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3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</row>
    <row r="911" spans="1:41" ht="15.5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3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</row>
    <row r="912" spans="1:41" ht="15.5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3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</row>
    <row r="913" spans="1:41" ht="15.5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3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</row>
    <row r="914" spans="1:41" ht="15.5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3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</row>
    <row r="915" spans="1:41" ht="15.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3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</row>
    <row r="916" spans="1:41" ht="15.5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3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</row>
    <row r="917" spans="1:41" ht="15.5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3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</row>
    <row r="918" spans="1:41" ht="15.5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3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</row>
    <row r="919" spans="1:41" ht="15.5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3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</row>
    <row r="920" spans="1:41" ht="15.5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3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</row>
    <row r="921" spans="1:41" ht="15.5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3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</row>
    <row r="922" spans="1:41" ht="15.5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3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</row>
    <row r="923" spans="1:41" ht="15.5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3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</row>
    <row r="924" spans="1:41" ht="15.5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3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</row>
    <row r="925" spans="1:41" ht="15.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3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</row>
    <row r="926" spans="1:41" ht="15.5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3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</row>
    <row r="927" spans="1:41" ht="15.5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3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</row>
    <row r="928" spans="1:41" ht="15.5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3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</row>
    <row r="929" spans="1:41" ht="15.5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3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</row>
    <row r="930" spans="1:41" ht="15.5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3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</row>
    <row r="931" spans="1:41" ht="15.5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3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</row>
    <row r="932" spans="1:41" ht="15.5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3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</row>
    <row r="933" spans="1:41" ht="15.5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3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</row>
    <row r="934" spans="1:41" ht="15.5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3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</row>
    <row r="935" spans="1:41" ht="15.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3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</row>
    <row r="936" spans="1:41" ht="15.5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3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</row>
    <row r="937" spans="1:41" ht="15.5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3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</row>
    <row r="938" spans="1:41" ht="15.5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3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</row>
    <row r="939" spans="1:41" ht="15.5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3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</row>
    <row r="940" spans="1:41" ht="15.5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3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</row>
    <row r="941" spans="1:41" ht="15.5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3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</row>
    <row r="942" spans="1:41" ht="15.5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3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</row>
    <row r="943" spans="1:41" ht="15.5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3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</row>
    <row r="944" spans="1:41" ht="15.5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3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</row>
    <row r="945" spans="1:41" ht="15.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3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</row>
    <row r="946" spans="1:41" ht="15.5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3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</row>
    <row r="947" spans="1:41" ht="15.5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3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</row>
    <row r="948" spans="1:41" ht="15.5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3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</row>
    <row r="949" spans="1:41" ht="15.5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3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</row>
    <row r="950" spans="1:41" ht="15.5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3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</row>
    <row r="951" spans="1:41" ht="15.5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3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</row>
    <row r="952" spans="1:41" ht="15.5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3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</row>
    <row r="953" spans="1:41" ht="15.5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3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</row>
    <row r="954" spans="1:41" ht="15.5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3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</row>
    <row r="955" spans="1:41" ht="15.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3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</row>
    <row r="956" spans="1:41" ht="15.5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3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</row>
    <row r="957" spans="1:41" ht="15.5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3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</row>
    <row r="958" spans="1:41" ht="15.5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3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</row>
    <row r="959" spans="1:41" ht="15.5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3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</row>
    <row r="960" spans="1:41" ht="15.5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3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</row>
    <row r="961" spans="1:41" ht="15.5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3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</row>
    <row r="962" spans="1:41" ht="15.5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3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</row>
    <row r="963" spans="1:41" ht="15.5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3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</row>
    <row r="964" spans="1:41" ht="15.5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3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</row>
    <row r="965" spans="1:41" ht="15.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3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</row>
    <row r="966" spans="1:41" ht="15.5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3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</row>
    <row r="967" spans="1:41" ht="15.5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3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</row>
    <row r="968" spans="1:41" ht="15.5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3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</row>
    <row r="969" spans="1:41" ht="15.5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3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</row>
    <row r="970" spans="1:41" ht="15.5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3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</row>
    <row r="971" spans="1:41" ht="15.5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3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</row>
    <row r="972" spans="1:41" ht="15.5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3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</row>
    <row r="973" spans="1:41" ht="15.5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3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</row>
    <row r="974" spans="1:41" ht="15.5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3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</row>
    <row r="975" spans="1:41" ht="15.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3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</row>
    <row r="976" spans="1:41" ht="15.5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3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</row>
    <row r="977" spans="1:41" ht="15.5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3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</row>
    <row r="978" spans="1:41" ht="15.5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3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</row>
    <row r="979" spans="1:41" ht="15.5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3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</row>
    <row r="980" spans="1:41" ht="15.5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3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</row>
    <row r="981" spans="1:41" ht="15.5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3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</row>
    <row r="982" spans="1:41" ht="15.5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3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</row>
    <row r="983" spans="1:41" ht="15.5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3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</row>
    <row r="984" spans="1:41" ht="15.5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3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</row>
    <row r="985" spans="1:41" ht="15.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3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</row>
    <row r="986" spans="1:41" ht="15.5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3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</row>
    <row r="987" spans="1:41" ht="15.5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3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</row>
    <row r="988" spans="1:41" ht="15.5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3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</row>
    <row r="989" spans="1:41" ht="15.5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3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</row>
    <row r="990" spans="1:41" ht="15.5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3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</row>
    <row r="991" spans="1:41" ht="15.5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3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</row>
    <row r="992" spans="1:41" ht="15.5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3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</row>
    <row r="993" spans="1:41" ht="15.5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3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</row>
    <row r="994" spans="1:41" ht="15.5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3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</row>
    <row r="995" spans="1:41" ht="15.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3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</row>
    <row r="996" spans="1:41" ht="15.5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3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</row>
    <row r="997" spans="1:41" ht="15.5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3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</row>
    <row r="998" spans="1:41" ht="15.5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3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</row>
    <row r="999" spans="1:41" ht="15.5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3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</row>
    <row r="1000" spans="1:41" ht="15.5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3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</row>
  </sheetData>
  <phoneticPr fontId="4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6A6A6"/>
    <outlinePr summaryBelow="0" summaryRight="0"/>
  </sheetPr>
  <dimension ref="A1:M1735"/>
  <sheetViews>
    <sheetView workbookViewId="0">
      <pane ySplit="1" topLeftCell="A50" activePane="bottomLeft" state="frozen"/>
      <selection pane="bottomLeft" activeCell="H42" sqref="H42"/>
    </sheetView>
  </sheetViews>
  <sheetFormatPr defaultColWidth="12.6328125" defaultRowHeight="15.75" customHeight="1" outlineLevelRow="1"/>
  <cols>
    <col min="1" max="1" width="20" customWidth="1"/>
    <col min="2" max="4" width="20.90625" customWidth="1"/>
    <col min="5" max="10" width="14.54296875" customWidth="1"/>
  </cols>
  <sheetData>
    <row r="1" spans="1:13" ht="15.75" customHeight="1">
      <c r="A1" s="634" t="str">
        <f ca="1">IFERROR(__xludf.DUMMYFUNCTION("IMPORTHTML(SUBSTITUTE(""https://isin.twse.com.tw/isin/single_main.jsp?owncode=股票代碼&amp;stockname="", ""股票代碼"",'股價預估'!E1),""table"",0)"),"頁面編號")</f>
        <v>頁面編號</v>
      </c>
      <c r="B1" s="635" t="str">
        <f ca="1">IFERROR(__xludf.DUMMYFUNCTION("""COMPUTED_VALUE"""),"國際證券編碼")</f>
        <v>國際證券編碼</v>
      </c>
      <c r="C1" s="635" t="str">
        <f ca="1">IFERROR(__xludf.DUMMYFUNCTION("""COMPUTED_VALUE"""),"有價證券代號")</f>
        <v>有價證券代號</v>
      </c>
      <c r="D1" s="635" t="str">
        <f ca="1">IFERROR(__xludf.DUMMYFUNCTION("""COMPUTED_VALUE"""),"有價證券名稱")</f>
        <v>有價證券名稱</v>
      </c>
      <c r="E1" s="635" t="str">
        <f ca="1">IFERROR(__xludf.DUMMYFUNCTION("""COMPUTED_VALUE"""),"市場別")</f>
        <v>市場別</v>
      </c>
      <c r="F1" s="635" t="str">
        <f ca="1">IFERROR(__xludf.DUMMYFUNCTION("""COMPUTED_VALUE"""),"有價證券別")</f>
        <v>有價證券別</v>
      </c>
      <c r="G1" s="635" t="str">
        <f ca="1">IFERROR(__xludf.DUMMYFUNCTION("""COMPUTED_VALUE"""),"產業別")</f>
        <v>產業別</v>
      </c>
      <c r="H1" s="635" t="str">
        <f ca="1">IFERROR(__xludf.DUMMYFUNCTION("""COMPUTED_VALUE"""),"公開發行/上市(櫃)/發行日")</f>
        <v>公開發行/上市(櫃)/發行日</v>
      </c>
      <c r="I1" s="635" t="str">
        <f ca="1">IFERROR(__xludf.DUMMYFUNCTION("""COMPUTED_VALUE"""),"CFICode")</f>
        <v>CFICode</v>
      </c>
      <c r="J1" s="636" t="str">
        <f ca="1">IFERROR(__xludf.DUMMYFUNCTION("""COMPUTED_VALUE"""),"備 註")</f>
        <v>備 註</v>
      </c>
      <c r="M1" s="51"/>
    </row>
    <row r="2" spans="1:13" ht="15.75" customHeight="1" thickBot="1">
      <c r="A2" s="637">
        <f ca="1">IFERROR(__xludf.DUMMYFUNCTION("""COMPUTED_VALUE"""),1)</f>
        <v>1</v>
      </c>
      <c r="B2" s="638" t="str">
        <f ca="1">IFERROR(__xludf.DUMMYFUNCTION("""COMPUTED_VALUE"""),"TW0002330008")</f>
        <v>TW0002330008</v>
      </c>
      <c r="C2" s="638">
        <f ca="1">IFERROR(__xludf.DUMMYFUNCTION("""COMPUTED_VALUE"""),2330)</f>
        <v>2330</v>
      </c>
      <c r="D2" s="638" t="str">
        <f ca="1">IFERROR(__xludf.DUMMYFUNCTION("""COMPUTED_VALUE"""),"台積電")</f>
        <v>台積電</v>
      </c>
      <c r="E2" s="638" t="str">
        <f ca="1">IFERROR(__xludf.DUMMYFUNCTION("""COMPUTED_VALUE"""),"上市")</f>
        <v>上市</v>
      </c>
      <c r="F2" s="638" t="str">
        <f ca="1">IFERROR(__xludf.DUMMYFUNCTION("""COMPUTED_VALUE"""),"股票")</f>
        <v>股票</v>
      </c>
      <c r="G2" s="638" t="str">
        <f ca="1">IFERROR(__xludf.DUMMYFUNCTION("""COMPUTED_VALUE"""),"半導體業")</f>
        <v>半導體業</v>
      </c>
      <c r="H2" s="639">
        <f ca="1">IFERROR(__xludf.DUMMYFUNCTION("""COMPUTED_VALUE"""),34582)</f>
        <v>34582</v>
      </c>
      <c r="I2" s="638" t="str">
        <f ca="1">IFERROR(__xludf.DUMMYFUNCTION("""COMPUTED_VALUE"""),"ESVUFR")</f>
        <v>ESVUFR</v>
      </c>
      <c r="J2" s="640"/>
      <c r="M2" s="25"/>
    </row>
    <row r="3" spans="1:13" ht="15.75" customHeight="1" collapsed="1" thickBot="1">
      <c r="A3" s="699" t="s">
        <v>278</v>
      </c>
      <c r="M3" s="25"/>
    </row>
    <row r="4" spans="1:13" ht="15.75" hidden="1" customHeight="1" outlineLevel="1">
      <c r="M4" s="25"/>
    </row>
    <row r="5" spans="1:13" ht="15.75" hidden="1" customHeight="1" outlineLevel="1">
      <c r="M5" s="25"/>
    </row>
    <row r="6" spans="1:13" ht="15.75" hidden="1" customHeight="1" outlineLevel="1">
      <c r="M6" s="25"/>
    </row>
    <row r="7" spans="1:13" ht="15.75" hidden="1" customHeight="1" outlineLevel="1">
      <c r="M7" s="25"/>
    </row>
    <row r="8" spans="1:13" ht="15.75" hidden="1" customHeight="1" outlineLevel="1">
      <c r="M8" s="25"/>
    </row>
    <row r="9" spans="1:13" ht="15.75" hidden="1" customHeight="1" outlineLevel="1">
      <c r="M9" s="25"/>
    </row>
    <row r="10" spans="1:13" ht="15.75" hidden="1" customHeight="1" outlineLevel="1">
      <c r="M10" s="25"/>
    </row>
    <row r="11" spans="1:13" ht="15.75" hidden="1" customHeight="1" outlineLevel="1">
      <c r="M11" s="25"/>
    </row>
    <row r="12" spans="1:13" ht="15.75" hidden="1" customHeight="1" outlineLevel="1">
      <c r="M12" s="25"/>
    </row>
    <row r="13" spans="1:13" ht="15.75" hidden="1" customHeight="1" outlineLevel="1">
      <c r="M13" s="25"/>
    </row>
    <row r="14" spans="1:13" ht="15.75" hidden="1" customHeight="1" outlineLevel="1">
      <c r="M14" s="25"/>
    </row>
    <row r="15" spans="1:13" ht="15.75" hidden="1" customHeight="1" outlineLevel="1">
      <c r="M15" s="25"/>
    </row>
    <row r="16" spans="1:13" ht="15.75" hidden="1" customHeight="1" outlineLevel="1">
      <c r="M16" s="25"/>
    </row>
    <row r="17" spans="1:13" ht="15.75" hidden="1" customHeight="1" outlineLevel="1">
      <c r="M17" s="25"/>
    </row>
    <row r="18" spans="1:13" ht="15.75" hidden="1" customHeight="1" outlineLevel="1">
      <c r="M18" s="25"/>
    </row>
    <row r="19" spans="1:13" ht="15.75" hidden="1" customHeight="1" outlineLevel="1">
      <c r="M19" s="25"/>
    </row>
    <row r="20" spans="1:13" ht="15.75" hidden="1" customHeight="1" outlineLevel="1">
      <c r="M20" s="25"/>
    </row>
    <row r="21" spans="1:13" ht="15.75" hidden="1" customHeight="1" outlineLevel="1">
      <c r="M21" s="25"/>
    </row>
    <row r="22" spans="1:13" ht="15.75" hidden="1" customHeight="1" outlineLevel="1">
      <c r="M22" s="25"/>
    </row>
    <row r="23" spans="1:13" ht="15.75" hidden="1" customHeight="1" outlineLevel="1">
      <c r="M23" s="25"/>
    </row>
    <row r="24" spans="1:13" ht="15.75" hidden="1" customHeight="1" outlineLevel="1">
      <c r="M24" s="25"/>
    </row>
    <row r="25" spans="1:13" ht="15.75" hidden="1" customHeight="1" outlineLevel="1">
      <c r="M25" s="25"/>
    </row>
    <row r="26" spans="1:13" ht="15.75" hidden="1" customHeight="1" outlineLevel="1">
      <c r="M26" s="25"/>
    </row>
    <row r="27" spans="1:13" ht="15.75" hidden="1" customHeight="1" outlineLevel="1">
      <c r="M27" s="25"/>
    </row>
    <row r="28" spans="1:13" ht="15.75" hidden="1" customHeight="1" outlineLevel="1">
      <c r="B28" s="7"/>
      <c r="C28" s="7"/>
      <c r="D28" s="7"/>
      <c r="E28" s="7"/>
      <c r="F28" s="7"/>
      <c r="M28" s="25"/>
    </row>
    <row r="29" spans="1:13" ht="15.75" hidden="1" customHeight="1" outlineLevel="1">
      <c r="A29" s="7"/>
      <c r="B29" s="7"/>
      <c r="C29" s="7"/>
      <c r="D29" s="7"/>
      <c r="E29" s="7"/>
      <c r="F29" s="7"/>
      <c r="M29" s="25"/>
    </row>
    <row r="30" spans="1:13" ht="15.75" hidden="1" customHeight="1" outlineLevel="1">
      <c r="A30" s="7"/>
      <c r="B30" s="7"/>
      <c r="C30" s="7"/>
      <c r="D30" s="7"/>
      <c r="E30" s="7"/>
      <c r="F30" s="7"/>
      <c r="M30" s="25"/>
    </row>
    <row r="31" spans="1:13" ht="15.75" hidden="1" customHeight="1" outlineLevel="1">
      <c r="A31" s="7"/>
      <c r="B31" s="7"/>
      <c r="C31" s="7"/>
      <c r="D31" s="7"/>
      <c r="E31" s="7"/>
      <c r="F31" s="7"/>
      <c r="M31" s="25"/>
    </row>
    <row r="32" spans="1:13" ht="15.75" hidden="1" customHeight="1" outlineLevel="1">
      <c r="A32" s="7"/>
      <c r="B32" s="7"/>
      <c r="C32" s="7"/>
      <c r="D32" s="7"/>
      <c r="E32" s="7"/>
      <c r="F32" s="7"/>
      <c r="M32" s="25"/>
    </row>
    <row r="33" spans="1:13" ht="15.75" hidden="1" customHeight="1" outlineLevel="1">
      <c r="A33" s="7"/>
      <c r="B33" s="7"/>
      <c r="C33" s="7"/>
      <c r="D33" s="7"/>
      <c r="E33" s="7"/>
      <c r="F33" s="7"/>
      <c r="M33" s="25"/>
    </row>
    <row r="34" spans="1:13" ht="15.75" hidden="1" customHeight="1" outlineLevel="1" thickBot="1">
      <c r="A34" s="7"/>
      <c r="B34" s="7"/>
      <c r="C34" s="7"/>
      <c r="D34" s="7"/>
      <c r="E34" s="7"/>
      <c r="F34" s="7"/>
      <c r="M34" s="25"/>
    </row>
    <row r="35" spans="1:13" ht="15.75" customHeight="1">
      <c r="A35" s="641" t="str">
        <f ca="1">IFERROR(__xludf.DUMMYFUNCTION("IMPORTHTML(SUBSTITUTE(""https://concords.moneydj.com/z/zc/zci/zci_股票代碼.djhtm"", ""股票代碼"",'股價預估'!E1),""table"",0)"),"台積電(2330)重大行事曆")</f>
        <v>台積電(2330)重大行事曆</v>
      </c>
      <c r="B35" s="642"/>
      <c r="C35" s="642"/>
      <c r="D35" s="643"/>
      <c r="E35" s="7"/>
      <c r="F35" s="7"/>
      <c r="M35" s="25"/>
    </row>
    <row r="36" spans="1:13" ht="15.75" customHeight="1">
      <c r="A36" s="644"/>
      <c r="B36" s="645" t="str">
        <f ca="1">IFERROR(__xludf.DUMMYFUNCTION("""COMPUTED_VALUE"""),"股東會")</f>
        <v>股東會</v>
      </c>
      <c r="C36" s="645" t="str">
        <f ca="1">IFERROR(__xludf.DUMMYFUNCTION("""COMPUTED_VALUE"""),"除息日")</f>
        <v>除息日</v>
      </c>
      <c r="D36" s="646" t="str">
        <f ca="1">IFERROR(__xludf.DUMMYFUNCTION("""COMPUTED_VALUE"""),"除權日")</f>
        <v>除權日</v>
      </c>
      <c r="E36" s="7" t="str">
        <f ca="1">IFERROR(__xludf.DUMMYFUNCTION("""COMPUTED_VALUE"""),"現增除權日")</f>
        <v>現增除權日</v>
      </c>
      <c r="F36" s="7" t="str">
        <f ca="1">IFERROR(__xludf.DUMMYFUNCTION("""COMPUTED_VALUE"""),"減資")</f>
        <v>減資</v>
      </c>
      <c r="M36" s="25"/>
    </row>
    <row r="37" spans="1:13" ht="15.75" customHeight="1">
      <c r="A37" s="647" t="str">
        <f ca="1">IFERROR(__xludf.DUMMYFUNCTION("""COMPUTED_VALUE"""),"日期")</f>
        <v>日期</v>
      </c>
      <c r="B37" s="509" t="s">
        <v>19</v>
      </c>
      <c r="C37" s="648" t="s">
        <v>258</v>
      </c>
      <c r="D37" s="649"/>
      <c r="E37" s="7"/>
      <c r="F37" s="7"/>
      <c r="M37" s="25"/>
    </row>
    <row r="38" spans="1:13" ht="15.75" customHeight="1">
      <c r="A38" s="647" t="str">
        <f ca="1">IFERROR(__xludf.DUMMYFUNCTION("""COMPUTED_VALUE"""),"最後過戶日")</f>
        <v>最後過戶日</v>
      </c>
      <c r="B38" s="509" t="s">
        <v>19</v>
      </c>
      <c r="C38" s="648" t="s">
        <v>259</v>
      </c>
      <c r="D38" s="649"/>
      <c r="E38" s="7"/>
      <c r="F38" s="7"/>
      <c r="M38" s="25"/>
    </row>
    <row r="39" spans="1:13" ht="15.75" customHeight="1">
      <c r="A39" s="650" t="str">
        <f ca="1">IFERROR(__xludf.DUMMYFUNCTION("""COMPUTED_VALUE"""),"停止過戶期間")</f>
        <v>停止過戶期間</v>
      </c>
      <c r="B39" s="420" t="str">
        <f ca="1">IFERROR(__xludf.DUMMYFUNCTION("""COMPUTED_VALUE"""),"115/04/06 ~ 115/06/04")</f>
        <v>115/04/06 ~ 115/06/04</v>
      </c>
      <c r="C39" s="420" t="str">
        <f ca="1">IFERROR(__xludf.DUMMYFUNCTION("""COMPUTED_VALUE"""),"115/09/18 ~ 115/09/22")</f>
        <v>115/09/18 ~ 115/09/22</v>
      </c>
      <c r="D39" s="651"/>
      <c r="E39" s="4"/>
      <c r="F39" s="4"/>
      <c r="M39" s="25"/>
    </row>
    <row r="40" spans="1:13" ht="15.75" customHeight="1">
      <c r="A40" s="650" t="str">
        <f ca="1">IFERROR(__xludf.DUMMYFUNCTION("""COMPUTED_VALUE"""),"融券最後回補日")</f>
        <v>融券最後回補日</v>
      </c>
      <c r="B40" s="509" t="s">
        <v>19</v>
      </c>
      <c r="C40" s="648" t="s">
        <v>260</v>
      </c>
      <c r="D40" s="651"/>
      <c r="E40" s="4"/>
      <c r="F40" s="4"/>
      <c r="M40" s="25"/>
    </row>
    <row r="41" spans="1:13" ht="15.75" customHeight="1">
      <c r="A41" s="650" t="str">
        <f ca="1">IFERROR(__xludf.DUMMYFUNCTION("""COMPUTED_VALUE"""),"停止融券期間")</f>
        <v>停止融券期間</v>
      </c>
      <c r="B41" s="420" t="str">
        <f ca="1">IFERROR(__xludf.DUMMYFUNCTION("""COMPUTED_VALUE"""),"115/03/26 ~ 115/03/31")</f>
        <v>115/03/26 ~ 115/03/31</v>
      </c>
      <c r="C41" s="420" t="str">
        <f ca="1">IFERROR(__xludf.DUMMYFUNCTION("""COMPUTED_VALUE"""),"115/09/10 ~ 115/09/15")</f>
        <v>115/09/10 ~ 115/09/15</v>
      </c>
      <c r="D41" s="651"/>
      <c r="E41" s="4"/>
      <c r="F41" s="4"/>
      <c r="M41" s="25"/>
    </row>
    <row r="42" spans="1:13" ht="15.75" customHeight="1">
      <c r="A42" s="650" t="str">
        <f ca="1">IFERROR(__xludf.DUMMYFUNCTION("""COMPUTED_VALUE"""),"新股上市日")</f>
        <v>新股上市日</v>
      </c>
      <c r="B42" s="420"/>
      <c r="C42" s="420"/>
      <c r="D42" s="651"/>
      <c r="E42" s="4"/>
      <c r="F42" s="4"/>
      <c r="M42" s="25"/>
    </row>
    <row r="43" spans="1:13" ht="15.75" customHeight="1">
      <c r="A43" s="650" t="str">
        <f ca="1">IFERROR(__xludf.DUMMYFUNCTION("""COMPUTED_VALUE"""),"息值/權值/現增股數/減資比率(%)/分割比率(%)")</f>
        <v>息值/權值/現增股數/減資比率(%)/分割比率(%)</v>
      </c>
      <c r="B43" s="420"/>
      <c r="C43" s="420">
        <f ca="1">IFERROR(__xludf.DUMMYFUNCTION("""COMPUTED_VALUE"""),7)</f>
        <v>7</v>
      </c>
      <c r="D43" s="651"/>
      <c r="E43" s="4"/>
      <c r="F43" s="4"/>
      <c r="M43" s="25"/>
    </row>
    <row r="44" spans="1:13" ht="15.75" customHeight="1">
      <c r="A44" s="650" t="str">
        <f ca="1">IFERROR(__xludf.DUMMYFUNCTION("""COMPUTED_VALUE"""),"現金股利發放日")</f>
        <v>現金股利發放日</v>
      </c>
      <c r="B44" s="420"/>
      <c r="C44" s="698" t="s">
        <v>277</v>
      </c>
      <c r="D44" s="651"/>
      <c r="E44" s="4"/>
      <c r="F44" s="4"/>
      <c r="M44" s="25"/>
    </row>
    <row r="45" spans="1:13" ht="15.75" customHeight="1" thickBot="1">
      <c r="A45" s="637" t="str">
        <f ca="1">IFERROR(__xludf.DUMMYFUNCTION("""COMPUTED_VALUE"""),"現增價格")</f>
        <v>現增價格</v>
      </c>
      <c r="B45" s="638"/>
      <c r="C45" s="638"/>
      <c r="D45" s="640"/>
      <c r="E45" s="4"/>
      <c r="F45" s="4"/>
      <c r="M45" s="25"/>
    </row>
    <row r="46" spans="1:13" ht="15.75" customHeight="1">
      <c r="M46" s="25"/>
    </row>
    <row r="47" spans="1:13" ht="15.75" customHeight="1">
      <c r="A47" s="4" t="str">
        <f ca="1">IFERROR(__xludf.DUMMYFUNCTION("IMPORTHTML(SUBSTITUTE(""https://ww2.money-link.com.tw/TWStock/StockChart.aspx?SymId=股票代碼"", ""股票代碼"",'股價預估'!E1),""table"",0)"),"產業關係")</f>
        <v>產業關係</v>
      </c>
      <c r="B47" s="4" t="str">
        <f ca="1">IFERROR(__xludf.DUMMYFUNCTION("""COMPUTED_VALUE"""),"個股名稱")</f>
        <v>個股名稱</v>
      </c>
      <c r="C47" s="4" t="str">
        <f ca="1">IFERROR(__xludf.DUMMYFUNCTION("""COMPUTED_VALUE"""),"生產類別")</f>
        <v>生產類別</v>
      </c>
      <c r="D47" s="4" t="str">
        <f ca="1">IFERROR(__xludf.DUMMYFUNCTION("""COMPUTED_VALUE"""),"成交價")</f>
        <v>成交價</v>
      </c>
      <c r="E47" s="4" t="str">
        <f ca="1">IFERROR(__xludf.DUMMYFUNCTION("""COMPUTED_VALUE"""),"漲跌")</f>
        <v>漲跌</v>
      </c>
      <c r="F47" s="4" t="str">
        <f ca="1">IFERROR(__xludf.DUMMYFUNCTION("""COMPUTED_VALUE"""),"漲跌幅")</f>
        <v>漲跌幅</v>
      </c>
      <c r="M47" s="25"/>
    </row>
    <row r="48" spans="1:13" ht="15.75" customHeight="1">
      <c r="A48" s="4" t="str">
        <f ca="1">IFERROR(__xludf.DUMMYFUNCTION("""COMPUTED_VALUE"""),"競爭者")</f>
        <v>競爭者</v>
      </c>
      <c r="B48" s="4" t="str">
        <f ca="1">IFERROR(__xludf.DUMMYFUNCTION("""COMPUTED_VALUE"""),"2303聯電")</f>
        <v>2303聯電</v>
      </c>
      <c r="C48" s="4" t="str">
        <f ca="1">IFERROR(__xludf.DUMMYFUNCTION("""COMPUTED_VALUE"""),"專業晶圓代工")</f>
        <v>專業晶圓代工</v>
      </c>
      <c r="D48" s="4">
        <f ca="1">IFERROR(__xludf.DUMMYFUNCTION("""COMPUTED_VALUE"""),121)</f>
        <v>121</v>
      </c>
      <c r="E48" s="4" t="str">
        <f ca="1">IFERROR(__xludf.DUMMYFUNCTION("""COMPUTED_VALUE"""),"▽3.5")</f>
        <v>▽3.5</v>
      </c>
      <c r="F48" s="4" t="str">
        <f ca="1">IFERROR(__xludf.DUMMYFUNCTION("""COMPUTED_VALUE"""),"▽2.81%")</f>
        <v>▽2.81%</v>
      </c>
      <c r="M48" s="25"/>
    </row>
    <row r="49" spans="1:13" ht="15.75" customHeight="1">
      <c r="A49" s="4" t="str">
        <f ca="1">IFERROR(__xludf.DUMMYFUNCTION("""COMPUTED_VALUE"""),"競爭者")</f>
        <v>競爭者</v>
      </c>
      <c r="B49" s="4" t="str">
        <f ca="1">IFERROR(__xludf.DUMMYFUNCTION("""COMPUTED_VALUE"""),"6770力積電")</f>
        <v>6770力積電</v>
      </c>
      <c r="C49" s="4" t="str">
        <f ca="1">IFERROR(__xludf.DUMMYFUNCTION("""COMPUTED_VALUE"""),"專業晶圓代工")</f>
        <v>專業晶圓代工</v>
      </c>
      <c r="D49" s="4">
        <f ca="1">IFERROR(__xludf.DUMMYFUNCTION("""COMPUTED_VALUE"""),78.4)</f>
        <v>78.400000000000006</v>
      </c>
      <c r="E49" s="4" t="str">
        <f ca="1">IFERROR(__xludf.DUMMYFUNCTION("""COMPUTED_VALUE"""),"△3.5")</f>
        <v>△3.5</v>
      </c>
      <c r="F49" s="4" t="str">
        <f ca="1">IFERROR(__xludf.DUMMYFUNCTION("""COMPUTED_VALUE"""),"△4.67%")</f>
        <v>△4.67%</v>
      </c>
      <c r="M49" s="25"/>
    </row>
    <row r="50" spans="1:13" ht="15.75" customHeight="1">
      <c r="A50" s="4" t="str">
        <f ca="1">IFERROR(__xludf.DUMMYFUNCTION("""COMPUTED_VALUE"""),"上游供應商")</f>
        <v>上游供應商</v>
      </c>
      <c r="B50" s="4" t="str">
        <f ca="1">IFERROR(__xludf.DUMMYFUNCTION("""COMPUTED_VALUE"""),"3265台星科")</f>
        <v>3265台星科</v>
      </c>
      <c r="C50" s="4" t="str">
        <f ca="1">IFERROR(__xludf.DUMMYFUNCTION("""COMPUTED_VALUE"""),"IC封裝")</f>
        <v>IC封裝</v>
      </c>
      <c r="D50" s="4">
        <f ca="1">IFERROR(__xludf.DUMMYFUNCTION("""COMPUTED_VALUE"""),173)</f>
        <v>173</v>
      </c>
      <c r="E50" s="4" t="str">
        <f ca="1">IFERROR(__xludf.DUMMYFUNCTION("""COMPUTED_VALUE"""),"▽8")</f>
        <v>▽8</v>
      </c>
      <c r="F50" s="4" t="str">
        <f ca="1">IFERROR(__xludf.DUMMYFUNCTION("""COMPUTED_VALUE"""),"▽4.42%")</f>
        <v>▽4.42%</v>
      </c>
      <c r="M50" s="25"/>
    </row>
    <row r="51" spans="1:13" ht="15.75" customHeight="1">
      <c r="A51" s="4" t="str">
        <f ca="1">IFERROR(__xludf.DUMMYFUNCTION("""COMPUTED_VALUE"""),"上游供應商")</f>
        <v>上游供應商</v>
      </c>
      <c r="B51" s="4" t="str">
        <f ca="1">IFERROR(__xludf.DUMMYFUNCTION("""COMPUTED_VALUE"""),"3374精材")</f>
        <v>3374精材</v>
      </c>
      <c r="C51" s="4" t="str">
        <f ca="1">IFERROR(__xludf.DUMMYFUNCTION("""COMPUTED_VALUE"""),"IC封裝")</f>
        <v>IC封裝</v>
      </c>
      <c r="D51" s="4">
        <f ca="1">IFERROR(__xludf.DUMMYFUNCTION("""COMPUTED_VALUE"""),325)</f>
        <v>325</v>
      </c>
      <c r="E51" s="4" t="str">
        <f ca="1">IFERROR(__xludf.DUMMYFUNCTION("""COMPUTED_VALUE"""),"--")</f>
        <v>--</v>
      </c>
      <c r="F51" s="4" t="str">
        <f ca="1">IFERROR(__xludf.DUMMYFUNCTION("""COMPUTED_VALUE"""),"--")</f>
        <v>--</v>
      </c>
      <c r="M51" s="25"/>
    </row>
    <row r="52" spans="1:13" ht="15.75" customHeight="1">
      <c r="A52" s="4" t="str">
        <f ca="1">IFERROR(__xludf.DUMMYFUNCTION("""COMPUTED_VALUE"""),"上游供應商")</f>
        <v>上游供應商</v>
      </c>
      <c r="B52" s="4" t="str">
        <f ca="1">IFERROR(__xludf.DUMMYFUNCTION("""COMPUTED_VALUE"""),"3711日月光投控")</f>
        <v>3711日月光投控</v>
      </c>
      <c r="C52" s="4" t="str">
        <f ca="1">IFERROR(__xludf.DUMMYFUNCTION("""COMPUTED_VALUE"""),"IC封裝")</f>
        <v>IC封裝</v>
      </c>
      <c r="D52" s="4">
        <f ca="1">IFERROR(__xludf.DUMMYFUNCTION("""COMPUTED_VALUE"""),616)</f>
        <v>616</v>
      </c>
      <c r="E52" s="4" t="str">
        <f ca="1">IFERROR(__xludf.DUMMYFUNCTION("""COMPUTED_VALUE"""),"▽10")</f>
        <v>▽10</v>
      </c>
      <c r="F52" s="4" t="str">
        <f ca="1">IFERROR(__xludf.DUMMYFUNCTION("""COMPUTED_VALUE"""),"▽1.6%")</f>
        <v>▽1.6%</v>
      </c>
      <c r="M52" s="25"/>
    </row>
    <row r="53" spans="1:13" ht="15.75" customHeight="1">
      <c r="A53" s="4" t="str">
        <f ca="1">IFERROR(__xludf.DUMMYFUNCTION("""COMPUTED_VALUE"""),"上游供應商")</f>
        <v>上游供應商</v>
      </c>
      <c r="B53" s="4" t="str">
        <f ca="1">IFERROR(__xludf.DUMMYFUNCTION("""COMPUTED_VALUE"""),"6510精測")</f>
        <v>6510精測</v>
      </c>
      <c r="C53" s="4" t="str">
        <f ca="1">IFERROR(__xludf.DUMMYFUNCTION("""COMPUTED_VALUE"""),"IC封裝")</f>
        <v>IC封裝</v>
      </c>
      <c r="D53" s="4">
        <f ca="1">IFERROR(__xludf.DUMMYFUNCTION("""COMPUTED_VALUE"""),2990)</f>
        <v>2990</v>
      </c>
      <c r="E53" s="4" t="str">
        <f ca="1">IFERROR(__xludf.DUMMYFUNCTION("""COMPUTED_VALUE"""),"△170")</f>
        <v>△170</v>
      </c>
      <c r="F53" s="4" t="str">
        <f ca="1">IFERROR(__xludf.DUMMYFUNCTION("""COMPUTED_VALUE"""),"△6.03%")</f>
        <v>△6.03%</v>
      </c>
      <c r="M53" s="25"/>
    </row>
    <row r="54" spans="1:13" ht="15.75" customHeight="1">
      <c r="A54" s="4" t="str">
        <f ca="1">IFERROR(__xludf.DUMMYFUNCTION("""COMPUTED_VALUE"""),"上游供應商")</f>
        <v>上游供應商</v>
      </c>
      <c r="B54" s="4" t="str">
        <f ca="1">IFERROR(__xludf.DUMMYFUNCTION("""COMPUTED_VALUE"""),"3443創意")</f>
        <v>3443創意</v>
      </c>
      <c r="C54" s="4" t="str">
        <f ca="1">IFERROR(__xludf.DUMMYFUNCTION("""COMPUTED_VALUE"""),"IC設計服務")</f>
        <v>IC設計服務</v>
      </c>
      <c r="D54" s="4">
        <f ca="1">IFERROR(__xludf.DUMMYFUNCTION("""COMPUTED_VALUE"""),5465)</f>
        <v>5465</v>
      </c>
      <c r="E54" s="4" t="str">
        <f ca="1">IFERROR(__xludf.DUMMYFUNCTION("""COMPUTED_VALUE"""),"▽75")</f>
        <v>▽75</v>
      </c>
      <c r="F54" s="4" t="str">
        <f ca="1">IFERROR(__xludf.DUMMYFUNCTION("""COMPUTED_VALUE"""),"▽1.35%")</f>
        <v>▽1.35%</v>
      </c>
      <c r="M54" s="25"/>
    </row>
    <row r="55" spans="1:13" ht="15.75" customHeight="1">
      <c r="A55" s="4" t="str">
        <f ca="1">IFERROR(__xludf.DUMMYFUNCTION("""COMPUTED_VALUE"""),"上游供應商")</f>
        <v>上游供應商</v>
      </c>
      <c r="B55" s="4" t="str">
        <f ca="1">IFERROR(__xludf.DUMMYFUNCTION("""COMPUTED_VALUE"""),"3529力旺")</f>
        <v>3529力旺</v>
      </c>
      <c r="C55" s="4" t="str">
        <f ca="1">IFERROR(__xludf.DUMMYFUNCTION("""COMPUTED_VALUE"""),"IC設計服務")</f>
        <v>IC設計服務</v>
      </c>
      <c r="D55" s="4">
        <f ca="1">IFERROR(__xludf.DUMMYFUNCTION("""COMPUTED_VALUE"""),2655)</f>
        <v>2655</v>
      </c>
      <c r="E55" s="4" t="str">
        <f ca="1">IFERROR(__xludf.DUMMYFUNCTION("""COMPUTED_VALUE"""),"▽45")</f>
        <v>▽45</v>
      </c>
      <c r="F55" s="4" t="str">
        <f ca="1">IFERROR(__xludf.DUMMYFUNCTION("""COMPUTED_VALUE"""),"▽1.67%")</f>
        <v>▽1.67%</v>
      </c>
      <c r="M55" s="25"/>
    </row>
    <row r="56" spans="1:13" ht="12.5">
      <c r="A56" s="4" t="str">
        <f ca="1">IFERROR(__xludf.DUMMYFUNCTION("""COMPUTED_VALUE"""),"上游供應商")</f>
        <v>上游供應商</v>
      </c>
      <c r="B56" s="4" t="str">
        <f ca="1">IFERROR(__xludf.DUMMYFUNCTION("""COMPUTED_VALUE"""),"3661世芯-KY")</f>
        <v>3661世芯-KY</v>
      </c>
      <c r="C56" s="4" t="str">
        <f ca="1">IFERROR(__xludf.DUMMYFUNCTION("""COMPUTED_VALUE"""),"IC設計服務")</f>
        <v>IC設計服務</v>
      </c>
      <c r="D56" s="4">
        <f ca="1">IFERROR(__xludf.DUMMYFUNCTION("""COMPUTED_VALUE"""),4210)</f>
        <v>4210</v>
      </c>
      <c r="E56" s="4" t="str">
        <f ca="1">IFERROR(__xludf.DUMMYFUNCTION("""COMPUTED_VALUE"""),"△20")</f>
        <v>△20</v>
      </c>
      <c r="F56" s="4" t="str">
        <f ca="1">IFERROR(__xludf.DUMMYFUNCTION("""COMPUTED_VALUE"""),"△0.48%")</f>
        <v>△0.48%</v>
      </c>
      <c r="M56" s="25"/>
    </row>
    <row r="57" spans="1:13" ht="12.5">
      <c r="A57" s="4" t="str">
        <f ca="1">IFERROR(__xludf.DUMMYFUNCTION("""COMPUTED_VALUE"""),"上游供應商")</f>
        <v>上游供應商</v>
      </c>
      <c r="B57" s="4" t="str">
        <f ca="1">IFERROR(__xludf.DUMMYFUNCTION("""COMPUTED_VALUE"""),"6531愛普")</f>
        <v>6531愛普</v>
      </c>
      <c r="C57" s="4" t="str">
        <f ca="1">IFERROR(__xludf.DUMMYFUNCTION("""COMPUTED_VALUE"""),"IC設計服務")</f>
        <v>IC設計服務</v>
      </c>
      <c r="D57" s="4">
        <f ca="1">IFERROR(__xludf.DUMMYFUNCTION("""COMPUTED_VALUE"""),932)</f>
        <v>932</v>
      </c>
      <c r="E57" s="4" t="str">
        <f ca="1">IFERROR(__xludf.DUMMYFUNCTION("""COMPUTED_VALUE"""),"△67")</f>
        <v>△67</v>
      </c>
      <c r="F57" s="4" t="str">
        <f ca="1">IFERROR(__xludf.DUMMYFUNCTION("""COMPUTED_VALUE"""),"△7.75%")</f>
        <v>△7.75%</v>
      </c>
      <c r="M57" s="25"/>
    </row>
    <row r="58" spans="1:13" ht="12.5">
      <c r="A58" s="4" t="str">
        <f ca="1">IFERROR(__xludf.DUMMYFUNCTION("""COMPUTED_VALUE"""),"上游供應商")</f>
        <v>上游供應商</v>
      </c>
      <c r="B58" s="4" t="str">
        <f ca="1">IFERROR(__xludf.DUMMYFUNCTION("""COMPUTED_VALUE"""),"6531愛普*")</f>
        <v>6531愛普*</v>
      </c>
      <c r="C58" s="4" t="str">
        <f ca="1">IFERROR(__xludf.DUMMYFUNCTION("""COMPUTED_VALUE"""),"IC設計服務")</f>
        <v>IC設計服務</v>
      </c>
      <c r="D58" s="4">
        <f ca="1">IFERROR(__xludf.DUMMYFUNCTION("""COMPUTED_VALUE"""),932)</f>
        <v>932</v>
      </c>
      <c r="E58" s="4" t="str">
        <f ca="1">IFERROR(__xludf.DUMMYFUNCTION("""COMPUTED_VALUE"""),"△67")</f>
        <v>△67</v>
      </c>
      <c r="F58" s="4" t="str">
        <f ca="1">IFERROR(__xludf.DUMMYFUNCTION("""COMPUTED_VALUE"""),"△7.75%")</f>
        <v>△7.75%</v>
      </c>
      <c r="M58" s="25"/>
    </row>
    <row r="59" spans="1:13" ht="12.5">
      <c r="A59" s="4" t="str">
        <f ca="1">IFERROR(__xludf.DUMMYFUNCTION("""COMPUTED_VALUE"""),"上游供應商")</f>
        <v>上游供應商</v>
      </c>
      <c r="B59" s="4" t="str">
        <f ca="1">IFERROR(__xludf.DUMMYFUNCTION("""COMPUTED_VALUE"""),"2464盟立")</f>
        <v>2464盟立</v>
      </c>
      <c r="C59" s="4" t="str">
        <f ca="1">IFERROR(__xludf.DUMMYFUNCTION("""COMPUTED_VALUE"""),"半導體設備")</f>
        <v>半導體設備</v>
      </c>
      <c r="D59" s="4">
        <f ca="1">IFERROR(__xludf.DUMMYFUNCTION("""COMPUTED_VALUE"""),192)</f>
        <v>192</v>
      </c>
      <c r="E59" s="4" t="str">
        <f ca="1">IFERROR(__xludf.DUMMYFUNCTION("""COMPUTED_VALUE"""),"▽4")</f>
        <v>▽4</v>
      </c>
      <c r="F59" s="4" t="str">
        <f ca="1">IFERROR(__xludf.DUMMYFUNCTION("""COMPUTED_VALUE"""),"▽2.04%")</f>
        <v>▽2.04%</v>
      </c>
      <c r="M59" s="25"/>
    </row>
    <row r="60" spans="1:13" ht="12.5">
      <c r="A60" s="4" t="str">
        <f ca="1">IFERROR(__xludf.DUMMYFUNCTION("""COMPUTED_VALUE"""),"上游供應商")</f>
        <v>上游供應商</v>
      </c>
      <c r="B60" s="4" t="str">
        <f ca="1">IFERROR(__xludf.DUMMYFUNCTION("""COMPUTED_VALUE"""),"2467志聖")</f>
        <v>2467志聖</v>
      </c>
      <c r="C60" s="4" t="str">
        <f ca="1">IFERROR(__xludf.DUMMYFUNCTION("""COMPUTED_VALUE"""),"半導體設備")</f>
        <v>半導體設備</v>
      </c>
      <c r="D60" s="4">
        <f ca="1">IFERROR(__xludf.DUMMYFUNCTION("""COMPUTED_VALUE"""),535)</f>
        <v>535</v>
      </c>
      <c r="E60" s="4" t="str">
        <f ca="1">IFERROR(__xludf.DUMMYFUNCTION("""COMPUTED_VALUE"""),"▽13")</f>
        <v>▽13</v>
      </c>
      <c r="F60" s="4" t="str">
        <f ca="1">IFERROR(__xludf.DUMMYFUNCTION("""COMPUTED_VALUE"""),"▽2.37%")</f>
        <v>▽2.37%</v>
      </c>
      <c r="M60" s="25"/>
    </row>
    <row r="61" spans="1:13" ht="12.5">
      <c r="A61" s="4" t="str">
        <f ca="1">IFERROR(__xludf.DUMMYFUNCTION("""COMPUTED_VALUE"""),"上游供應商")</f>
        <v>上游供應商</v>
      </c>
      <c r="B61" s="4" t="str">
        <f ca="1">IFERROR(__xludf.DUMMYFUNCTION("""COMPUTED_VALUE"""),"3413京鼎")</f>
        <v>3413京鼎</v>
      </c>
      <c r="C61" s="4" t="str">
        <f ca="1">IFERROR(__xludf.DUMMYFUNCTION("""COMPUTED_VALUE"""),"半導體設備")</f>
        <v>半導體設備</v>
      </c>
      <c r="D61" s="4">
        <f ca="1">IFERROR(__xludf.DUMMYFUNCTION("""COMPUTED_VALUE"""),295.5)</f>
        <v>295.5</v>
      </c>
      <c r="E61" s="4" t="str">
        <f ca="1">IFERROR(__xludf.DUMMYFUNCTION("""COMPUTED_VALUE"""),"▽6.5")</f>
        <v>▽6.5</v>
      </c>
      <c r="F61" s="4" t="str">
        <f ca="1">IFERROR(__xludf.DUMMYFUNCTION("""COMPUTED_VALUE"""),"▽2.15%")</f>
        <v>▽2.15%</v>
      </c>
      <c r="M61" s="25"/>
    </row>
    <row r="62" spans="1:13" ht="12.5">
      <c r="A62" s="4" t="str">
        <f ca="1">IFERROR(__xludf.DUMMYFUNCTION("""COMPUTED_VALUE"""),"上游供應商")</f>
        <v>上游供應商</v>
      </c>
      <c r="B62" s="4" t="str">
        <f ca="1">IFERROR(__xludf.DUMMYFUNCTION("""COMPUTED_VALUE"""),"3583辛耘")</f>
        <v>3583辛耘</v>
      </c>
      <c r="C62" s="4" t="str">
        <f ca="1">IFERROR(__xludf.DUMMYFUNCTION("""COMPUTED_VALUE"""),"半導體設備")</f>
        <v>半導體設備</v>
      </c>
      <c r="D62" s="4">
        <f ca="1">IFERROR(__xludf.DUMMYFUNCTION("""COMPUTED_VALUE"""),711)</f>
        <v>711</v>
      </c>
      <c r="E62" s="4" t="str">
        <f ca="1">IFERROR(__xludf.DUMMYFUNCTION("""COMPUTED_VALUE"""),"▽8")</f>
        <v>▽8</v>
      </c>
      <c r="F62" s="4" t="str">
        <f ca="1">IFERROR(__xludf.DUMMYFUNCTION("""COMPUTED_VALUE"""),"▽1.11%")</f>
        <v>▽1.11%</v>
      </c>
      <c r="M62" s="25"/>
    </row>
    <row r="63" spans="1:13" ht="12.5">
      <c r="A63" s="4" t="str">
        <f ca="1">IFERROR(__xludf.DUMMYFUNCTION("""COMPUTED_VALUE"""),"上游供應商")</f>
        <v>上游供應商</v>
      </c>
      <c r="B63" s="4" t="str">
        <f ca="1">IFERROR(__xludf.DUMMYFUNCTION("""COMPUTED_VALUE"""),"3680家登")</f>
        <v>3680家登</v>
      </c>
      <c r="C63" s="4" t="str">
        <f ca="1">IFERROR(__xludf.DUMMYFUNCTION("""COMPUTED_VALUE"""),"半導體設備")</f>
        <v>半導體設備</v>
      </c>
      <c r="D63" s="4">
        <f ca="1">IFERROR(__xludf.DUMMYFUNCTION("""COMPUTED_VALUE"""),463.5)</f>
        <v>463.5</v>
      </c>
      <c r="E63" s="4" t="str">
        <f ca="1">IFERROR(__xludf.DUMMYFUNCTION("""COMPUTED_VALUE"""),"▽8.5")</f>
        <v>▽8.5</v>
      </c>
      <c r="F63" s="4" t="str">
        <f ca="1">IFERROR(__xludf.DUMMYFUNCTION("""COMPUTED_VALUE"""),"▽1.8%")</f>
        <v>▽1.8%</v>
      </c>
      <c r="M63" s="25"/>
    </row>
    <row r="64" spans="1:13" ht="12.5">
      <c r="A64" s="4" t="str">
        <f ca="1">IFERROR(__xludf.DUMMYFUNCTION("""COMPUTED_VALUE"""),"上游供應商")</f>
        <v>上游供應商</v>
      </c>
      <c r="B64" s="4" t="str">
        <f ca="1">IFERROR(__xludf.DUMMYFUNCTION("""COMPUTED_VALUE"""),"6208日揚")</f>
        <v>6208日揚</v>
      </c>
      <c r="C64" s="4" t="str">
        <f ca="1">IFERROR(__xludf.DUMMYFUNCTION("""COMPUTED_VALUE"""),"半導體設備")</f>
        <v>半導體設備</v>
      </c>
      <c r="D64" s="4">
        <f ca="1">IFERROR(__xludf.DUMMYFUNCTION("""COMPUTED_VALUE"""),82)</f>
        <v>82</v>
      </c>
      <c r="E64" s="4" t="str">
        <f ca="1">IFERROR(__xludf.DUMMYFUNCTION("""COMPUTED_VALUE"""),"△0.5")</f>
        <v>△0.5</v>
      </c>
      <c r="F64" s="4" t="str">
        <f ca="1">IFERROR(__xludf.DUMMYFUNCTION("""COMPUTED_VALUE"""),"△0.61%")</f>
        <v>△0.61%</v>
      </c>
      <c r="M64" s="25"/>
    </row>
    <row r="65" spans="1:13" ht="12.5">
      <c r="A65" s="4" t="str">
        <f ca="1">IFERROR(__xludf.DUMMYFUNCTION("""COMPUTED_VALUE"""),"上游供應商")</f>
        <v>上游供應商</v>
      </c>
      <c r="B65" s="4" t="str">
        <f ca="1">IFERROR(__xludf.DUMMYFUNCTION("""COMPUTED_VALUE"""),"6438迅得")</f>
        <v>6438迅得</v>
      </c>
      <c r="C65" s="4" t="str">
        <f ca="1">IFERROR(__xludf.DUMMYFUNCTION("""COMPUTED_VALUE"""),"半導體設備")</f>
        <v>半導體設備</v>
      </c>
      <c r="D65" s="4">
        <f ca="1">IFERROR(__xludf.DUMMYFUNCTION("""COMPUTED_VALUE"""),144.5)</f>
        <v>144.5</v>
      </c>
      <c r="E65" s="4" t="str">
        <f ca="1">IFERROR(__xludf.DUMMYFUNCTION("""COMPUTED_VALUE"""),"▽3")</f>
        <v>▽3</v>
      </c>
      <c r="F65" s="4" t="str">
        <f ca="1">IFERROR(__xludf.DUMMYFUNCTION("""COMPUTED_VALUE"""),"▽2.03%")</f>
        <v>▽2.03%</v>
      </c>
      <c r="M65" s="25"/>
    </row>
    <row r="66" spans="1:13" ht="12.5">
      <c r="A66" s="4" t="str">
        <f ca="1">IFERROR(__xludf.DUMMYFUNCTION("""COMPUTED_VALUE"""),"上游供應商")</f>
        <v>上游供應商</v>
      </c>
      <c r="B66" s="4" t="str">
        <f ca="1">IFERROR(__xludf.DUMMYFUNCTION("""COMPUTED_VALUE"""),"6667信紘科")</f>
        <v>6667信紘科</v>
      </c>
      <c r="C66" s="4" t="str">
        <f ca="1">IFERROR(__xludf.DUMMYFUNCTION("""COMPUTED_VALUE"""),"半導體設備")</f>
        <v>半導體設備</v>
      </c>
      <c r="D66" s="4">
        <f ca="1">IFERROR(__xludf.DUMMYFUNCTION("""COMPUTED_VALUE"""),222)</f>
        <v>222</v>
      </c>
      <c r="E66" s="4" t="str">
        <f ca="1">IFERROR(__xludf.DUMMYFUNCTION("""COMPUTED_VALUE"""),"▽3.5")</f>
        <v>▽3.5</v>
      </c>
      <c r="F66" s="4" t="str">
        <f ca="1">IFERROR(__xludf.DUMMYFUNCTION("""COMPUTED_VALUE"""),"▽1.55%")</f>
        <v>▽1.55%</v>
      </c>
      <c r="M66" s="25"/>
    </row>
    <row r="67" spans="1:13" ht="12.5">
      <c r="A67" s="4" t="str">
        <f ca="1">IFERROR(__xludf.DUMMYFUNCTION("""COMPUTED_VALUE"""),"上游供應商")</f>
        <v>上游供應商</v>
      </c>
      <c r="B67" s="4" t="str">
        <f ca="1">IFERROR(__xludf.DUMMYFUNCTION("""COMPUTED_VALUE"""),"7734印能科技")</f>
        <v>7734印能科技</v>
      </c>
      <c r="C67" s="4" t="str">
        <f ca="1">IFERROR(__xludf.DUMMYFUNCTION("""COMPUTED_VALUE"""),"半導體設備")</f>
        <v>半導體設備</v>
      </c>
      <c r="D67" s="4">
        <f ca="1">IFERROR(__xludf.DUMMYFUNCTION("""COMPUTED_VALUE"""),3090)</f>
        <v>3090</v>
      </c>
      <c r="E67" s="4" t="str">
        <f ca="1">IFERROR(__xludf.DUMMYFUNCTION("""COMPUTED_VALUE"""),"▽160")</f>
        <v>▽160</v>
      </c>
      <c r="F67" s="4" t="str">
        <f ca="1">IFERROR(__xludf.DUMMYFUNCTION("""COMPUTED_VALUE"""),"▽4.92%")</f>
        <v>▽4.92%</v>
      </c>
      <c r="M67" s="25"/>
    </row>
    <row r="68" spans="1:13" ht="12.5">
      <c r="A68" s="4" t="str">
        <f ca="1">IFERROR(__xludf.DUMMYFUNCTION("""COMPUTED_VALUE"""),"上游供應商")</f>
        <v>上游供應商</v>
      </c>
      <c r="B68" s="4" t="str">
        <f ca="1">IFERROR(__xludf.DUMMYFUNCTION("""COMPUTED_VALUE"""),"7769鴻勁")</f>
        <v>7769鴻勁</v>
      </c>
      <c r="C68" s="4" t="str">
        <f ca="1">IFERROR(__xludf.DUMMYFUNCTION("""COMPUTED_VALUE"""),"半導體設備")</f>
        <v>半導體設備</v>
      </c>
      <c r="D68" s="4">
        <f ca="1">IFERROR(__xludf.DUMMYFUNCTION("""COMPUTED_VALUE"""),6590)</f>
        <v>6590</v>
      </c>
      <c r="E68" s="4" t="str">
        <f ca="1">IFERROR(__xludf.DUMMYFUNCTION("""COMPUTED_VALUE"""),"▽180")</f>
        <v>▽180</v>
      </c>
      <c r="F68" s="4" t="str">
        <f ca="1">IFERROR(__xludf.DUMMYFUNCTION("""COMPUTED_VALUE"""),"▽2.66%")</f>
        <v>▽2.66%</v>
      </c>
      <c r="M68" s="25"/>
    </row>
    <row r="69" spans="1:13" ht="12.5">
      <c r="A69" s="4" t="str">
        <f ca="1">IFERROR(__xludf.DUMMYFUNCTION("""COMPUTED_VALUE"""),"上游供應商")</f>
        <v>上游供應商</v>
      </c>
      <c r="B69" s="4" t="str">
        <f ca="1">IFERROR(__xludf.DUMMYFUNCTION("""COMPUTED_VALUE"""),"8091翔名")</f>
        <v>8091翔名</v>
      </c>
      <c r="C69" s="4" t="str">
        <f ca="1">IFERROR(__xludf.DUMMYFUNCTION("""COMPUTED_VALUE"""),"半導體設備")</f>
        <v>半導體設備</v>
      </c>
      <c r="D69" s="4">
        <f ca="1">IFERROR(__xludf.DUMMYFUNCTION("""COMPUTED_VALUE"""),230)</f>
        <v>230</v>
      </c>
      <c r="E69" s="4" t="str">
        <f ca="1">IFERROR(__xludf.DUMMYFUNCTION("""COMPUTED_VALUE"""),"▽3")</f>
        <v>▽3</v>
      </c>
      <c r="F69" s="4" t="str">
        <f ca="1">IFERROR(__xludf.DUMMYFUNCTION("""COMPUTED_VALUE"""),"▽1.29%")</f>
        <v>▽1.29%</v>
      </c>
      <c r="M69" s="25"/>
    </row>
    <row r="70" spans="1:13" ht="12.5">
      <c r="A70" s="4" t="str">
        <f ca="1">IFERROR(__xludf.DUMMYFUNCTION("""COMPUTED_VALUE"""),"上游供應商")</f>
        <v>上游供應商</v>
      </c>
      <c r="B70" s="4" t="str">
        <f ca="1">IFERROR(__xludf.DUMMYFUNCTION("""COMPUTED_VALUE"""),"8028昇陽半")</f>
        <v>8028昇陽半</v>
      </c>
      <c r="C70" s="4" t="str">
        <f ca="1">IFERROR(__xludf.DUMMYFUNCTION("""COMPUTED_VALUE"""),"再生晶圓")</f>
        <v>再生晶圓</v>
      </c>
      <c r="D70" s="4">
        <f ca="1">IFERROR(__xludf.DUMMYFUNCTION("""COMPUTED_VALUE"""),263)</f>
        <v>263</v>
      </c>
      <c r="E70" s="4" t="str">
        <f ca="1">IFERROR(__xludf.DUMMYFUNCTION("""COMPUTED_VALUE"""),"▽4.5")</f>
        <v>▽4.5</v>
      </c>
      <c r="F70" s="4" t="str">
        <f ca="1">IFERROR(__xludf.DUMMYFUNCTION("""COMPUTED_VALUE"""),"▽1.68%")</f>
        <v>▽1.68%</v>
      </c>
      <c r="M70" s="25"/>
    </row>
    <row r="71" spans="1:13" ht="12.5">
      <c r="A71" s="4" t="str">
        <f ca="1">IFERROR(__xludf.DUMMYFUNCTION("""COMPUTED_VALUE"""),"上游供應商")</f>
        <v>上游供應商</v>
      </c>
      <c r="B71" s="4" t="str">
        <f ca="1">IFERROR(__xludf.DUMMYFUNCTION("""COMPUTED_VALUE"""),"3532台勝科")</f>
        <v>3532台勝科</v>
      </c>
      <c r="C71" s="4" t="str">
        <f ca="1">IFERROR(__xludf.DUMMYFUNCTION("""COMPUTED_VALUE"""),"矽晶圓")</f>
        <v>矽晶圓</v>
      </c>
      <c r="D71" s="4">
        <f ca="1">IFERROR(__xludf.DUMMYFUNCTION("""COMPUTED_VALUE"""),356)</f>
        <v>356</v>
      </c>
      <c r="E71" s="4" t="str">
        <f ca="1">IFERROR(__xludf.DUMMYFUNCTION("""COMPUTED_VALUE"""),"△13")</f>
        <v>△13</v>
      </c>
      <c r="F71" s="4" t="str">
        <f ca="1">IFERROR(__xludf.DUMMYFUNCTION("""COMPUTED_VALUE"""),"△3.79%")</f>
        <v>△3.79%</v>
      </c>
      <c r="M71" s="25"/>
    </row>
    <row r="72" spans="1:13" ht="12.5">
      <c r="A72" s="4" t="str">
        <f ca="1">IFERROR(__xludf.DUMMYFUNCTION("""COMPUTED_VALUE"""),"上游供應商")</f>
        <v>上游供應商</v>
      </c>
      <c r="B72" s="4" t="str">
        <f ca="1">IFERROR(__xludf.DUMMYFUNCTION("""COMPUTED_VALUE"""),"3707漢磊")</f>
        <v>3707漢磊</v>
      </c>
      <c r="C72" s="4" t="str">
        <f ca="1">IFERROR(__xludf.DUMMYFUNCTION("""COMPUTED_VALUE"""),"矽晶圓")</f>
        <v>矽晶圓</v>
      </c>
      <c r="D72" s="4">
        <f ca="1">IFERROR(__xludf.DUMMYFUNCTION("""COMPUTED_VALUE"""),65.6)</f>
        <v>65.599999999999994</v>
      </c>
      <c r="E72" s="4" t="str">
        <f ca="1">IFERROR(__xludf.DUMMYFUNCTION("""COMPUTED_VALUE"""),"--")</f>
        <v>--</v>
      </c>
      <c r="F72" s="4" t="str">
        <f ca="1">IFERROR(__xludf.DUMMYFUNCTION("""COMPUTED_VALUE"""),"--")</f>
        <v>--</v>
      </c>
      <c r="M72" s="25"/>
    </row>
    <row r="73" spans="1:13" ht="12.5">
      <c r="A73" s="4" t="str">
        <f ca="1">IFERROR(__xludf.DUMMYFUNCTION("""COMPUTED_VALUE"""),"上游供應商")</f>
        <v>上游供應商</v>
      </c>
      <c r="B73" s="4" t="str">
        <f ca="1">IFERROR(__xludf.DUMMYFUNCTION("""COMPUTED_VALUE"""),"6488環球晶")</f>
        <v>6488環球晶</v>
      </c>
      <c r="C73" s="4" t="str">
        <f ca="1">IFERROR(__xludf.DUMMYFUNCTION("""COMPUTED_VALUE"""),"矽晶圓")</f>
        <v>矽晶圓</v>
      </c>
      <c r="D73" s="4">
        <f ca="1">IFERROR(__xludf.DUMMYFUNCTION("""COMPUTED_VALUE"""),1010)</f>
        <v>1010</v>
      </c>
      <c r="E73" s="4" t="str">
        <f ca="1">IFERROR(__xludf.DUMMYFUNCTION("""COMPUTED_VALUE"""),"▽15")</f>
        <v>▽15</v>
      </c>
      <c r="F73" s="4" t="str">
        <f ca="1">IFERROR(__xludf.DUMMYFUNCTION("""COMPUTED_VALUE"""),"▽1.46%")</f>
        <v>▽1.46%</v>
      </c>
      <c r="M73" s="25"/>
    </row>
    <row r="74" spans="1:13" ht="12.5">
      <c r="A74" s="4" t="str">
        <f ca="1">IFERROR(__xludf.DUMMYFUNCTION("""COMPUTED_VALUE"""),"上游供應商")</f>
        <v>上游供應商</v>
      </c>
      <c r="B74" s="4" t="str">
        <f ca="1">IFERROR(__xludf.DUMMYFUNCTION("""COMPUTED_VALUE"""),"1717長興")</f>
        <v>1717長興</v>
      </c>
      <c r="C74" s="4" t="str">
        <f ca="1">IFERROR(__xludf.DUMMYFUNCTION("""COMPUTED_VALUE"""),"研磨液")</f>
        <v>研磨液</v>
      </c>
      <c r="D74" s="4">
        <f ca="1">IFERROR(__xludf.DUMMYFUNCTION("""COMPUTED_VALUE"""),71.7)</f>
        <v>71.7</v>
      </c>
      <c r="E74" s="4" t="str">
        <f ca="1">IFERROR(__xludf.DUMMYFUNCTION("""COMPUTED_VALUE"""),"▽6.5")</f>
        <v>▽6.5</v>
      </c>
      <c r="F74" s="4" t="str">
        <f ca="1">IFERROR(__xludf.DUMMYFUNCTION("""COMPUTED_VALUE"""),"▽8.31%")</f>
        <v>▽8.31%</v>
      </c>
      <c r="M74" s="25"/>
    </row>
    <row r="75" spans="1:13" ht="12.5">
      <c r="A75" s="4" t="str">
        <f ca="1">IFERROR(__xludf.DUMMYFUNCTION("""COMPUTED_VALUE"""),"上游供應商")</f>
        <v>上游供應商</v>
      </c>
      <c r="B75" s="4" t="str">
        <f ca="1">IFERROR(__xludf.DUMMYFUNCTION("""COMPUTED_VALUE"""),"6223旺矽")</f>
        <v>6223旺矽</v>
      </c>
      <c r="C75" s="4" t="str">
        <f ca="1">IFERROR(__xludf.DUMMYFUNCTION("""COMPUTED_VALUE"""),"探針、探針卡")</f>
        <v>探針、探針卡</v>
      </c>
      <c r="D75" s="4">
        <f ca="1">IFERROR(__xludf.DUMMYFUNCTION("""COMPUTED_VALUE"""),6440)</f>
        <v>6440</v>
      </c>
      <c r="E75" s="4" t="str">
        <f ca="1">IFERROR(__xludf.DUMMYFUNCTION("""COMPUTED_VALUE"""),"▽55")</f>
        <v>▽55</v>
      </c>
      <c r="F75" s="4" t="str">
        <f ca="1">IFERROR(__xludf.DUMMYFUNCTION("""COMPUTED_VALUE"""),"▽0.85%")</f>
        <v>▽0.85%</v>
      </c>
      <c r="M75" s="25"/>
    </row>
    <row r="76" spans="1:13" ht="12.5">
      <c r="A76" s="4" t="str">
        <f ca="1">IFERROR(__xludf.DUMMYFUNCTION("""COMPUTED_VALUE"""),"上游供應商")</f>
        <v>上游供應商</v>
      </c>
      <c r="B76" s="4" t="str">
        <f ca="1">IFERROR(__xludf.DUMMYFUNCTION("""COMPUTED_VALUE"""),"6643M31")</f>
        <v>6643M31</v>
      </c>
      <c r="C76" s="4" t="str">
        <f ca="1">IFERROR(__xludf.DUMMYFUNCTION("""COMPUTED_VALUE"""),"設計IP")</f>
        <v>設計IP</v>
      </c>
      <c r="D76" s="4">
        <f ca="1">IFERROR(__xludf.DUMMYFUNCTION("""COMPUTED_VALUE"""),440)</f>
        <v>440</v>
      </c>
      <c r="E76" s="4" t="str">
        <f ca="1">IFERROR(__xludf.DUMMYFUNCTION("""COMPUTED_VALUE"""),"▽7.5")</f>
        <v>▽7.5</v>
      </c>
      <c r="F76" s="4" t="str">
        <f ca="1">IFERROR(__xludf.DUMMYFUNCTION("""COMPUTED_VALUE"""),"▽1.68%")</f>
        <v>▽1.68%</v>
      </c>
      <c r="M76" s="25"/>
    </row>
    <row r="77" spans="1:13" ht="12.5">
      <c r="A77" s="4" t="str">
        <f ca="1">IFERROR(__xludf.DUMMYFUNCTION("""COMPUTED_VALUE"""),"上游供應商")</f>
        <v>上游供應商</v>
      </c>
      <c r="B77" s="4" t="str">
        <f ca="1">IFERROR(__xludf.DUMMYFUNCTION("""COMPUTED_VALUE"""),"6182合晶")</f>
        <v>6182合晶</v>
      </c>
      <c r="C77" s="4" t="str">
        <f ca="1">IFERROR(__xludf.DUMMYFUNCTION("""COMPUTED_VALUE"""),"晶粒")</f>
        <v>晶粒</v>
      </c>
      <c r="D77" s="4">
        <f ca="1">IFERROR(__xludf.DUMMYFUNCTION("""COMPUTED_VALUE"""),111.5)</f>
        <v>111.5</v>
      </c>
      <c r="E77" s="4" t="str">
        <f ca="1">IFERROR(__xludf.DUMMYFUNCTION("""COMPUTED_VALUE"""),"▽1.5")</f>
        <v>▽1.5</v>
      </c>
      <c r="F77" s="4" t="str">
        <f ca="1">IFERROR(__xludf.DUMMYFUNCTION("""COMPUTED_VALUE"""),"▽1.33%")</f>
        <v>▽1.33%</v>
      </c>
      <c r="M77" s="25"/>
    </row>
    <row r="78" spans="1:13" ht="12.5">
      <c r="A78" s="4" t="str">
        <f ca="1">IFERROR(__xludf.DUMMYFUNCTION("""COMPUTED_VALUE"""),"上游供應商")</f>
        <v>上游供應商</v>
      </c>
      <c r="B78" s="4" t="str">
        <f ca="1">IFERROR(__xludf.DUMMYFUNCTION("""COMPUTED_VALUE"""),"2006東和鋼鐵")</f>
        <v>2006東和鋼鐵</v>
      </c>
      <c r="C78" s="4" t="str">
        <f ca="1">IFERROR(__xludf.DUMMYFUNCTION("""COMPUTED_VALUE"""),"無塵室工程")</f>
        <v>無塵室工程</v>
      </c>
      <c r="D78" s="4">
        <f ca="1">IFERROR(__xludf.DUMMYFUNCTION("""COMPUTED_VALUE"""),80.9)</f>
        <v>80.900000000000006</v>
      </c>
      <c r="E78" s="4" t="str">
        <f ca="1">IFERROR(__xludf.DUMMYFUNCTION("""COMPUTED_VALUE"""),"▽4.5")</f>
        <v>▽4.5</v>
      </c>
      <c r="F78" s="4" t="str">
        <f ca="1">IFERROR(__xludf.DUMMYFUNCTION("""COMPUTED_VALUE"""),"▽5.27%")</f>
        <v>▽5.27%</v>
      </c>
      <c r="M78" s="25"/>
    </row>
    <row r="79" spans="1:13" ht="12.5">
      <c r="A79" s="4" t="str">
        <f ca="1">IFERROR(__xludf.DUMMYFUNCTION("""COMPUTED_VALUE"""),"上游供應商")</f>
        <v>上游供應商</v>
      </c>
      <c r="B79" s="4" t="str">
        <f ca="1">IFERROR(__xludf.DUMMYFUNCTION("""COMPUTED_VALUE"""),"2404漢唐")</f>
        <v>2404漢唐</v>
      </c>
      <c r="C79" s="4" t="str">
        <f ca="1">IFERROR(__xludf.DUMMYFUNCTION("""COMPUTED_VALUE"""),"無塵室工程")</f>
        <v>無塵室工程</v>
      </c>
      <c r="D79" s="4">
        <f ca="1">IFERROR(__xludf.DUMMYFUNCTION("""COMPUTED_VALUE"""),1125)</f>
        <v>1125</v>
      </c>
      <c r="E79" s="4" t="str">
        <f ca="1">IFERROR(__xludf.DUMMYFUNCTION("""COMPUTED_VALUE"""),"▽5")</f>
        <v>▽5</v>
      </c>
      <c r="F79" s="4" t="str">
        <f ca="1">IFERROR(__xludf.DUMMYFUNCTION("""COMPUTED_VALUE"""),"▽0.44%")</f>
        <v>▽0.44%</v>
      </c>
      <c r="M79" s="25"/>
    </row>
    <row r="80" spans="1:13" ht="12.5">
      <c r="A80" s="4" t="str">
        <f ca="1">IFERROR(__xludf.DUMMYFUNCTION("""COMPUTED_VALUE"""),"上游供應商")</f>
        <v>上游供應商</v>
      </c>
      <c r="B80" s="4" t="str">
        <f ca="1">IFERROR(__xludf.DUMMYFUNCTION("""COMPUTED_VALUE"""),"2535達欣工")</f>
        <v>2535達欣工</v>
      </c>
      <c r="C80" s="4" t="str">
        <f ca="1">IFERROR(__xludf.DUMMYFUNCTION("""COMPUTED_VALUE"""),"無塵室工程")</f>
        <v>無塵室工程</v>
      </c>
      <c r="D80" s="4">
        <f ca="1">IFERROR(__xludf.DUMMYFUNCTION("""COMPUTED_VALUE"""),88.3)</f>
        <v>88.3</v>
      </c>
      <c r="E80" s="4" t="str">
        <f ca="1">IFERROR(__xludf.DUMMYFUNCTION("""COMPUTED_VALUE"""),"△0.8")</f>
        <v>△0.8</v>
      </c>
      <c r="F80" s="4" t="str">
        <f ca="1">IFERROR(__xludf.DUMMYFUNCTION("""COMPUTED_VALUE"""),"△0.91%")</f>
        <v>△0.91%</v>
      </c>
      <c r="M80" s="25"/>
    </row>
    <row r="81" spans="1:13" ht="12.5">
      <c r="A81" s="4" t="str">
        <f ca="1">IFERROR(__xludf.DUMMYFUNCTION("""COMPUTED_VALUE"""),"上游供應商")</f>
        <v>上游供應商</v>
      </c>
      <c r="B81" s="4" t="str">
        <f ca="1">IFERROR(__xludf.DUMMYFUNCTION("""COMPUTED_VALUE"""),"5536聖暉*")</f>
        <v>5536聖暉*</v>
      </c>
      <c r="C81" s="4" t="str">
        <f ca="1">IFERROR(__xludf.DUMMYFUNCTION("""COMPUTED_VALUE"""),"無塵室工程")</f>
        <v>無塵室工程</v>
      </c>
      <c r="D81" s="4">
        <f ca="1">IFERROR(__xludf.DUMMYFUNCTION("""COMPUTED_VALUE"""),925)</f>
        <v>925</v>
      </c>
      <c r="E81" s="4" t="str">
        <f ca="1">IFERROR(__xludf.DUMMYFUNCTION("""COMPUTED_VALUE"""),"△22")</f>
        <v>△22</v>
      </c>
      <c r="F81" s="4" t="str">
        <f ca="1">IFERROR(__xludf.DUMMYFUNCTION("""COMPUTED_VALUE"""),"△2.44%")</f>
        <v>△2.44%</v>
      </c>
      <c r="M81" s="25"/>
    </row>
    <row r="82" spans="1:13" ht="12.5">
      <c r="A82" s="4" t="str">
        <f ca="1">IFERROR(__xludf.DUMMYFUNCTION("""COMPUTED_VALUE"""),"上游供應商")</f>
        <v>上游供應商</v>
      </c>
      <c r="B82" s="4" t="str">
        <f ca="1">IFERROR(__xludf.DUMMYFUNCTION("""COMPUTED_VALUE"""),"6196帆宣")</f>
        <v>6196帆宣</v>
      </c>
      <c r="C82" s="4" t="str">
        <f ca="1">IFERROR(__xludf.DUMMYFUNCTION("""COMPUTED_VALUE"""),"無塵室工程")</f>
        <v>無塵室工程</v>
      </c>
      <c r="D82" s="4">
        <f ca="1">IFERROR(__xludf.DUMMYFUNCTION("""COMPUTED_VALUE"""),510)</f>
        <v>510</v>
      </c>
      <c r="E82" s="4" t="str">
        <f ca="1">IFERROR(__xludf.DUMMYFUNCTION("""COMPUTED_VALUE"""),"▽1")</f>
        <v>▽1</v>
      </c>
      <c r="F82" s="4" t="str">
        <f ca="1">IFERROR(__xludf.DUMMYFUNCTION("""COMPUTED_VALUE"""),"▽0.2%")</f>
        <v>▽0.2%</v>
      </c>
      <c r="M82" s="25"/>
    </row>
    <row r="83" spans="1:13" ht="12.5">
      <c r="A83" s="4" t="str">
        <f ca="1">IFERROR(__xludf.DUMMYFUNCTION("""COMPUTED_VALUE"""),"上游供應商")</f>
        <v>上游供應商</v>
      </c>
      <c r="B83" s="4" t="str">
        <f ca="1">IFERROR(__xludf.DUMMYFUNCTION("""COMPUTED_VALUE"""),"6691洋基工程")</f>
        <v>6691洋基工程</v>
      </c>
      <c r="C83" s="4" t="str">
        <f ca="1">IFERROR(__xludf.DUMMYFUNCTION("""COMPUTED_VALUE"""),"無塵室工程")</f>
        <v>無塵室工程</v>
      </c>
      <c r="D83" s="4">
        <f ca="1">IFERROR(__xludf.DUMMYFUNCTION("""COMPUTED_VALUE"""),728)</f>
        <v>728</v>
      </c>
      <c r="E83" s="4" t="str">
        <f ca="1">IFERROR(__xludf.DUMMYFUNCTION("""COMPUTED_VALUE"""),"--")</f>
        <v>--</v>
      </c>
      <c r="F83" s="4" t="str">
        <f ca="1">IFERROR(__xludf.DUMMYFUNCTION("""COMPUTED_VALUE"""),"--")</f>
        <v>--</v>
      </c>
      <c r="M83" s="25"/>
    </row>
    <row r="84" spans="1:13" ht="12.5">
      <c r="A84" s="4" t="str">
        <f ca="1">IFERROR(__xludf.DUMMYFUNCTION("""COMPUTED_VALUE"""),"上游供應商")</f>
        <v>上游供應商</v>
      </c>
      <c r="B84" s="4" t="str">
        <f ca="1">IFERROR(__xludf.DUMMYFUNCTION("""COMPUTED_VALUE"""),"1773勝一")</f>
        <v>1773勝一</v>
      </c>
      <c r="C84" s="4" t="str">
        <f ca="1">IFERROR(__xludf.DUMMYFUNCTION("""COMPUTED_VALUE"""),"製程化學品")</f>
        <v>製程化學品</v>
      </c>
      <c r="D84" s="4">
        <f ca="1">IFERROR(__xludf.DUMMYFUNCTION("""COMPUTED_VALUE"""),157.5)</f>
        <v>157.5</v>
      </c>
      <c r="E84" s="4" t="str">
        <f ca="1">IFERROR(__xludf.DUMMYFUNCTION("""COMPUTED_VALUE"""),"▽3")</f>
        <v>▽3</v>
      </c>
      <c r="F84" s="4" t="str">
        <f ca="1">IFERROR(__xludf.DUMMYFUNCTION("""COMPUTED_VALUE"""),"▽1.87%")</f>
        <v>▽1.87%</v>
      </c>
      <c r="M84" s="25"/>
    </row>
    <row r="85" spans="1:13" ht="12.5">
      <c r="A85" s="4" t="str">
        <f ca="1">IFERROR(__xludf.DUMMYFUNCTION("""COMPUTED_VALUE"""),"上游供應商")</f>
        <v>上游供應商</v>
      </c>
      <c r="B85" s="4" t="str">
        <f ca="1">IFERROR(__xludf.DUMMYFUNCTION("""COMPUTED_VALUE"""),"1785光洋科")</f>
        <v>1785光洋科</v>
      </c>
      <c r="C85" s="4" t="str">
        <f ca="1">IFERROR(__xludf.DUMMYFUNCTION("""COMPUTED_VALUE"""),"製程化學品")</f>
        <v>製程化學品</v>
      </c>
      <c r="D85" s="4">
        <f ca="1">IFERROR(__xludf.DUMMYFUNCTION("""COMPUTED_VALUE"""),104.5)</f>
        <v>104.5</v>
      </c>
      <c r="E85" s="4" t="str">
        <f ca="1">IFERROR(__xludf.DUMMYFUNCTION("""COMPUTED_VALUE"""),"▽4.5")</f>
        <v>▽4.5</v>
      </c>
      <c r="F85" s="4" t="str">
        <f ca="1">IFERROR(__xludf.DUMMYFUNCTION("""COMPUTED_VALUE"""),"▽4.13%")</f>
        <v>▽4.13%</v>
      </c>
      <c r="M85" s="25"/>
    </row>
    <row r="86" spans="1:13" ht="12.5">
      <c r="A86" s="4" t="str">
        <f ca="1">IFERROR(__xludf.DUMMYFUNCTION("""COMPUTED_VALUE"""),"上游供應商")</f>
        <v>上游供應商</v>
      </c>
      <c r="B86" s="4" t="str">
        <f ca="1">IFERROR(__xludf.DUMMYFUNCTION("""COMPUTED_VALUE"""),"4749新應材")</f>
        <v>4749新應材</v>
      </c>
      <c r="C86" s="4" t="str">
        <f ca="1">IFERROR(__xludf.DUMMYFUNCTION("""COMPUTED_VALUE"""),"製程化學品")</f>
        <v>製程化學品</v>
      </c>
      <c r="D86" s="4">
        <f ca="1">IFERROR(__xludf.DUMMYFUNCTION("""COMPUTED_VALUE"""),787)</f>
        <v>787</v>
      </c>
      <c r="E86" s="4" t="str">
        <f ca="1">IFERROR(__xludf.DUMMYFUNCTION("""COMPUTED_VALUE"""),"▽11")</f>
        <v>▽11</v>
      </c>
      <c r="F86" s="4" t="str">
        <f ca="1">IFERROR(__xludf.DUMMYFUNCTION("""COMPUTED_VALUE"""),"▽1.38%")</f>
        <v>▽1.38%</v>
      </c>
      <c r="M86" s="25"/>
    </row>
    <row r="87" spans="1:13" ht="12.5">
      <c r="A87" s="4" t="str">
        <f ca="1">IFERROR(__xludf.DUMMYFUNCTION("""COMPUTED_VALUE"""),"上游供應商")</f>
        <v>上游供應商</v>
      </c>
      <c r="B87" s="4" t="str">
        <f ca="1">IFERROR(__xludf.DUMMYFUNCTION("""COMPUTED_VALUE"""),"4755三福化")</f>
        <v>4755三福化</v>
      </c>
      <c r="C87" s="4" t="str">
        <f ca="1">IFERROR(__xludf.DUMMYFUNCTION("""COMPUTED_VALUE"""),"製程化學品")</f>
        <v>製程化學品</v>
      </c>
      <c r="D87" s="4">
        <f ca="1">IFERROR(__xludf.DUMMYFUNCTION("""COMPUTED_VALUE"""),118)</f>
        <v>118</v>
      </c>
      <c r="E87" s="4" t="str">
        <f ca="1">IFERROR(__xludf.DUMMYFUNCTION("""COMPUTED_VALUE"""),"▽1.5")</f>
        <v>▽1.5</v>
      </c>
      <c r="F87" s="4" t="str">
        <f ca="1">IFERROR(__xludf.DUMMYFUNCTION("""COMPUTED_VALUE"""),"▽1.26%")</f>
        <v>▽1.26%</v>
      </c>
      <c r="M87" s="25"/>
    </row>
    <row r="88" spans="1:13" ht="12.5">
      <c r="A88" s="4" t="str">
        <f ca="1">IFERROR(__xludf.DUMMYFUNCTION("""COMPUTED_VALUE"""),"上游供應商")</f>
        <v>上游供應商</v>
      </c>
      <c r="B88" s="4" t="str">
        <f ca="1">IFERROR(__xludf.DUMMYFUNCTION("""COMPUTED_VALUE"""),"3131弘塑")</f>
        <v>3131弘塑</v>
      </c>
      <c r="C88" s="4" t="str">
        <f ca="1">IFERROR(__xludf.DUMMYFUNCTION("""COMPUTED_VALUE"""),"檢驗儀器")</f>
        <v>檢驗儀器</v>
      </c>
      <c r="D88" s="4">
        <f ca="1">IFERROR(__xludf.DUMMYFUNCTION("""COMPUTED_VALUE"""),2535)</f>
        <v>2535</v>
      </c>
      <c r="E88" s="4" t="str">
        <f ca="1">IFERROR(__xludf.DUMMYFUNCTION("""COMPUTED_VALUE"""),"▽100")</f>
        <v>▽100</v>
      </c>
      <c r="F88" s="4" t="str">
        <f ca="1">IFERROR(__xludf.DUMMYFUNCTION("""COMPUTED_VALUE"""),"▽3.8%")</f>
        <v>▽3.8%</v>
      </c>
      <c r="M88" s="25"/>
    </row>
    <row r="89" spans="1:13" ht="12.5">
      <c r="A89" s="4" t="str">
        <f ca="1">IFERROR(__xludf.DUMMYFUNCTION("""COMPUTED_VALUE"""),"上游供應商")</f>
        <v>上游供應商</v>
      </c>
      <c r="B89" s="4" t="str">
        <f ca="1">IFERROR(__xludf.DUMMYFUNCTION("""COMPUTED_VALUE"""),"3551世禾")</f>
        <v>3551世禾</v>
      </c>
      <c r="C89" s="4" t="str">
        <f ca="1">IFERROR(__xludf.DUMMYFUNCTION("""COMPUTED_VALUE"""),"檢驗儀器")</f>
        <v>檢驗儀器</v>
      </c>
      <c r="D89" s="4">
        <f ca="1">IFERROR(__xludf.DUMMYFUNCTION("""COMPUTED_VALUE"""),175)</f>
        <v>175</v>
      </c>
      <c r="E89" s="4" t="str">
        <f ca="1">IFERROR(__xludf.DUMMYFUNCTION("""COMPUTED_VALUE"""),"▽4.5")</f>
        <v>▽4.5</v>
      </c>
      <c r="F89" s="4" t="str">
        <f ca="1">IFERROR(__xludf.DUMMYFUNCTION("""COMPUTED_VALUE"""),"▽2.51%")</f>
        <v>▽2.51%</v>
      </c>
      <c r="M89" s="25"/>
    </row>
    <row r="90" spans="1:13" ht="12.5">
      <c r="A90" s="4" t="str">
        <f ca="1">IFERROR(__xludf.DUMMYFUNCTION("""COMPUTED_VALUE"""),"上游供應商")</f>
        <v>上游供應商</v>
      </c>
      <c r="B90" s="4" t="str">
        <f ca="1">IFERROR(__xludf.DUMMYFUNCTION("""COMPUTED_VALUE"""),"3583辛耘")</f>
        <v>3583辛耘</v>
      </c>
      <c r="C90" s="4" t="str">
        <f ca="1">IFERROR(__xludf.DUMMYFUNCTION("""COMPUTED_VALUE"""),"檢驗儀器")</f>
        <v>檢驗儀器</v>
      </c>
      <c r="D90" s="4">
        <f ca="1">IFERROR(__xludf.DUMMYFUNCTION("""COMPUTED_VALUE"""),711)</f>
        <v>711</v>
      </c>
      <c r="E90" s="4" t="str">
        <f ca="1">IFERROR(__xludf.DUMMYFUNCTION("""COMPUTED_VALUE"""),"▽8")</f>
        <v>▽8</v>
      </c>
      <c r="F90" s="4" t="str">
        <f ca="1">IFERROR(__xludf.DUMMYFUNCTION("""COMPUTED_VALUE"""),"▽1.11%")</f>
        <v>▽1.11%</v>
      </c>
      <c r="M90" s="25"/>
    </row>
    <row r="91" spans="1:13" ht="12.5">
      <c r="A91" s="4" t="str">
        <f ca="1">IFERROR(__xludf.DUMMYFUNCTION("""COMPUTED_VALUE"""),"上游供應商")</f>
        <v>上游供應商</v>
      </c>
      <c r="B91" s="4" t="str">
        <f ca="1">IFERROR(__xludf.DUMMYFUNCTION("""COMPUTED_VALUE"""),"3587閎康")</f>
        <v>3587閎康</v>
      </c>
      <c r="C91" s="4" t="str">
        <f ca="1">IFERROR(__xludf.DUMMYFUNCTION("""COMPUTED_VALUE"""),"檢驗儀器")</f>
        <v>檢驗儀器</v>
      </c>
      <c r="D91" s="4">
        <f ca="1">IFERROR(__xludf.DUMMYFUNCTION("""COMPUTED_VALUE"""),246)</f>
        <v>246</v>
      </c>
      <c r="E91" s="4" t="str">
        <f ca="1">IFERROR(__xludf.DUMMYFUNCTION("""COMPUTED_VALUE"""),"▽4")</f>
        <v>▽4</v>
      </c>
      <c r="F91" s="4" t="str">
        <f ca="1">IFERROR(__xludf.DUMMYFUNCTION("""COMPUTED_VALUE"""),"▽1.6%")</f>
        <v>▽1.6%</v>
      </c>
      <c r="M91" s="25"/>
    </row>
    <row r="92" spans="1:13" ht="12.5">
      <c r="A92" s="4" t="str">
        <f ca="1">IFERROR(__xludf.DUMMYFUNCTION("""COMPUTED_VALUE"""),"上游供應商")</f>
        <v>上游供應商</v>
      </c>
      <c r="B92" s="4" t="str">
        <f ca="1">IFERROR(__xludf.DUMMYFUNCTION("""COMPUTED_VALUE"""),"1560中砂")</f>
        <v>1560中砂</v>
      </c>
      <c r="C92" s="4" t="str">
        <f ca="1">IFERROR(__xludf.DUMMYFUNCTION("""COMPUTED_VALUE"""),"鑽石碟")</f>
        <v>鑽石碟</v>
      </c>
      <c r="D92" s="4">
        <f ca="1">IFERROR(__xludf.DUMMYFUNCTION("""COMPUTED_VALUE"""),725)</f>
        <v>725</v>
      </c>
      <c r="E92" s="4" t="str">
        <f ca="1">IFERROR(__xludf.DUMMYFUNCTION("""COMPUTED_VALUE"""),"△18")</f>
        <v>△18</v>
      </c>
      <c r="F92" s="4" t="str">
        <f ca="1">IFERROR(__xludf.DUMMYFUNCTION("""COMPUTED_VALUE"""),"△2.55%")</f>
        <v>△2.55%</v>
      </c>
      <c r="M92" s="25"/>
    </row>
    <row r="93" spans="1:13" ht="12.5">
      <c r="A93" s="4" t="str">
        <f ca="1">IFERROR(__xludf.DUMMYFUNCTION("""COMPUTED_VALUE"""),"下游客戶")</f>
        <v>下游客戶</v>
      </c>
      <c r="B93" s="4" t="str">
        <f ca="1">IFERROR(__xludf.DUMMYFUNCTION("""COMPUTED_VALUE"""),"2379瑞昱")</f>
        <v>2379瑞昱</v>
      </c>
      <c r="C93" s="4" t="str">
        <f ca="1">IFERROR(__xludf.DUMMYFUNCTION("""COMPUTED_VALUE"""),"IC設計")</f>
        <v>IC設計</v>
      </c>
      <c r="D93" s="4">
        <f ca="1">IFERROR(__xludf.DUMMYFUNCTION("""COMPUTED_VALUE"""),721)</f>
        <v>721</v>
      </c>
      <c r="E93" s="4" t="str">
        <f ca="1">IFERROR(__xludf.DUMMYFUNCTION("""COMPUTED_VALUE"""),"▽37")</f>
        <v>▽37</v>
      </c>
      <c r="F93" s="4" t="str">
        <f ca="1">IFERROR(__xludf.DUMMYFUNCTION("""COMPUTED_VALUE"""),"▽4.88%")</f>
        <v>▽4.88%</v>
      </c>
      <c r="M93" s="25"/>
    </row>
    <row r="94" spans="1:13" ht="12.5">
      <c r="A94" s="4" t="str">
        <f ca="1">IFERROR(__xludf.DUMMYFUNCTION("""COMPUTED_VALUE"""),"下游客戶")</f>
        <v>下游客戶</v>
      </c>
      <c r="B94" s="4" t="str">
        <f ca="1">IFERROR(__xludf.DUMMYFUNCTION("""COMPUTED_VALUE"""),"3122笙泉")</f>
        <v>3122笙泉</v>
      </c>
      <c r="C94" s="4" t="str">
        <f ca="1">IFERROR(__xludf.DUMMYFUNCTION("""COMPUTED_VALUE"""),"IC設計")</f>
        <v>IC設計</v>
      </c>
      <c r="D94" s="4">
        <f ca="1">IFERROR(__xludf.DUMMYFUNCTION("""COMPUTED_VALUE"""),26)</f>
        <v>26</v>
      </c>
      <c r="E94" s="4" t="str">
        <f ca="1">IFERROR(__xludf.DUMMYFUNCTION("""COMPUTED_VALUE"""),"▽0.1")</f>
        <v>▽0.1</v>
      </c>
      <c r="F94" s="4" t="str">
        <f ca="1">IFERROR(__xludf.DUMMYFUNCTION("""COMPUTED_VALUE"""),"▽0.38%")</f>
        <v>▽0.38%</v>
      </c>
      <c r="M94" s="25"/>
    </row>
    <row r="95" spans="1:13" ht="12.5">
      <c r="A95" s="4" t="str">
        <f ca="1">IFERROR(__xludf.DUMMYFUNCTION("""COMPUTED_VALUE"""),"下游客戶")</f>
        <v>下游客戶</v>
      </c>
      <c r="B95" s="4" t="str">
        <f ca="1">IFERROR(__xludf.DUMMYFUNCTION("""COMPUTED_VALUE"""),"3257虹冠")</f>
        <v>3257虹冠</v>
      </c>
      <c r="C95" s="4" t="str">
        <f ca="1">IFERROR(__xludf.DUMMYFUNCTION("""COMPUTED_VALUE"""),"IC設計")</f>
        <v>IC設計</v>
      </c>
      <c r="D95" s="4">
        <f ca="1">IFERROR(__xludf.DUMMYFUNCTION("""COMPUTED_VALUE"""),50.7)</f>
        <v>50.7</v>
      </c>
      <c r="E95" s="4" t="str">
        <f ca="1">IFERROR(__xludf.DUMMYFUNCTION("""COMPUTED_VALUE"""),"▽0.6")</f>
        <v>▽0.6</v>
      </c>
      <c r="F95" s="4" t="str">
        <f ca="1">IFERROR(__xludf.DUMMYFUNCTION("""COMPUTED_VALUE"""),"▽1.17%")</f>
        <v>▽1.17%</v>
      </c>
      <c r="M95" s="25"/>
    </row>
    <row r="96" spans="1:13" ht="12.5">
      <c r="A96" s="4" t="str">
        <f ca="1">IFERROR(__xludf.DUMMYFUNCTION("""COMPUTED_VALUE"""),"下游客戶")</f>
        <v>下游客戶</v>
      </c>
      <c r="B96" s="4" t="str">
        <f ca="1">IFERROR(__xludf.DUMMYFUNCTION("""COMPUTED_VALUE"""),"3443創意")</f>
        <v>3443創意</v>
      </c>
      <c r="C96" s="4" t="str">
        <f ca="1">IFERROR(__xludf.DUMMYFUNCTION("""COMPUTED_VALUE"""),"IC設計")</f>
        <v>IC設計</v>
      </c>
      <c r="D96" s="4">
        <f ca="1">IFERROR(__xludf.DUMMYFUNCTION("""COMPUTED_VALUE"""),5465)</f>
        <v>5465</v>
      </c>
      <c r="E96" s="4" t="str">
        <f ca="1">IFERROR(__xludf.DUMMYFUNCTION("""COMPUTED_VALUE"""),"▽75")</f>
        <v>▽75</v>
      </c>
      <c r="F96" s="4" t="str">
        <f ca="1">IFERROR(__xludf.DUMMYFUNCTION("""COMPUTED_VALUE"""),"▽1.35%")</f>
        <v>▽1.35%</v>
      </c>
      <c r="M96" s="25"/>
    </row>
    <row r="97" spans="1:13" ht="12.5">
      <c r="A97" s="4" t="str">
        <f ca="1">IFERROR(__xludf.DUMMYFUNCTION("""COMPUTED_VALUE"""),"下游客戶")</f>
        <v>下游客戶</v>
      </c>
      <c r="B97" s="4" t="str">
        <f ca="1">IFERROR(__xludf.DUMMYFUNCTION("""COMPUTED_VALUE"""),"5236凌陽創新")</f>
        <v>5236凌陽創新</v>
      </c>
      <c r="C97" s="4" t="str">
        <f ca="1">IFERROR(__xludf.DUMMYFUNCTION("""COMPUTED_VALUE"""),"IC設計")</f>
        <v>IC設計</v>
      </c>
      <c r="D97" s="4">
        <f ca="1">IFERROR(__xludf.DUMMYFUNCTION("""COMPUTED_VALUE"""),137.5)</f>
        <v>137.5</v>
      </c>
      <c r="E97" s="4" t="str">
        <f ca="1">IFERROR(__xludf.DUMMYFUNCTION("""COMPUTED_VALUE"""),"▽4.5")</f>
        <v>▽4.5</v>
      </c>
      <c r="F97" s="4" t="str">
        <f ca="1">IFERROR(__xludf.DUMMYFUNCTION("""COMPUTED_VALUE"""),"▽3.17%")</f>
        <v>▽3.17%</v>
      </c>
      <c r="M97" s="25"/>
    </row>
    <row r="98" spans="1:13" ht="12.5">
      <c r="A98" s="4" t="str">
        <f ca="1">IFERROR(__xludf.DUMMYFUNCTION("""COMPUTED_VALUE"""),"下游客戶")</f>
        <v>下游客戶</v>
      </c>
      <c r="B98" s="4" t="str">
        <f ca="1">IFERROR(__xludf.DUMMYFUNCTION("""COMPUTED_VALUE"""),"6233旺玖")</f>
        <v>6233旺玖</v>
      </c>
      <c r="C98" s="4" t="str">
        <f ca="1">IFERROR(__xludf.DUMMYFUNCTION("""COMPUTED_VALUE"""),"IC設計")</f>
        <v>IC設計</v>
      </c>
      <c r="D98" s="4">
        <f ca="1">IFERROR(__xludf.DUMMYFUNCTION("""COMPUTED_VALUE"""),21.5)</f>
        <v>21.5</v>
      </c>
      <c r="E98" s="4" t="str">
        <f ca="1">IFERROR(__xludf.DUMMYFUNCTION("""COMPUTED_VALUE"""),"▽0.5")</f>
        <v>▽0.5</v>
      </c>
      <c r="F98" s="4" t="str">
        <f ca="1">IFERROR(__xludf.DUMMYFUNCTION("""COMPUTED_VALUE"""),"▽2.27%")</f>
        <v>▽2.27%</v>
      </c>
      <c r="M98" s="25"/>
    </row>
    <row r="99" spans="1:13" ht="12.5">
      <c r="A99" s="4" t="str">
        <f ca="1">IFERROR(__xludf.DUMMYFUNCTION("""COMPUTED_VALUE"""),"下游客戶")</f>
        <v>下游客戶</v>
      </c>
      <c r="B99" s="4" t="str">
        <f ca="1">IFERROR(__xludf.DUMMYFUNCTION("""COMPUTED_VALUE"""),"6415矽力*-KY")</f>
        <v>6415矽力*-KY</v>
      </c>
      <c r="C99" s="4" t="str">
        <f ca="1">IFERROR(__xludf.DUMMYFUNCTION("""COMPUTED_VALUE"""),"IC設計")</f>
        <v>IC設計</v>
      </c>
      <c r="D99" s="4">
        <f ca="1">IFERROR(__xludf.DUMMYFUNCTION("""COMPUTED_VALUE"""),480)</f>
        <v>480</v>
      </c>
      <c r="E99" s="4" t="str">
        <f ca="1">IFERROR(__xludf.DUMMYFUNCTION("""COMPUTED_VALUE"""),"△15")</f>
        <v>△15</v>
      </c>
      <c r="F99" s="4" t="str">
        <f ca="1">IFERROR(__xludf.DUMMYFUNCTION("""COMPUTED_VALUE"""),"△3.23%")</f>
        <v>△3.23%</v>
      </c>
      <c r="M99" s="25"/>
    </row>
    <row r="100" spans="1:13" ht="12.5">
      <c r="A100" s="4" t="str">
        <f ca="1">IFERROR(__xludf.DUMMYFUNCTION("""COMPUTED_VALUE"""),"下游客戶")</f>
        <v>下游客戶</v>
      </c>
      <c r="B100" s="4" t="str">
        <f ca="1">IFERROR(__xludf.DUMMYFUNCTION("""COMPUTED_VALUE"""),"5274信驊")</f>
        <v>5274信驊</v>
      </c>
      <c r="C100" s="4" t="str">
        <f ca="1">IFERROR(__xludf.DUMMYFUNCTION("""COMPUTED_VALUE"""),"伺服器遠端管理IC")</f>
        <v>伺服器遠端管理IC</v>
      </c>
      <c r="D100" s="4">
        <f ca="1">IFERROR(__xludf.DUMMYFUNCTION("""COMPUTED_VALUE"""),17690)</f>
        <v>17690</v>
      </c>
      <c r="E100" s="4" t="str">
        <f ca="1">IFERROR(__xludf.DUMMYFUNCTION("""COMPUTED_VALUE"""),"△200")</f>
        <v>△200</v>
      </c>
      <c r="F100" s="4" t="str">
        <f ca="1">IFERROR(__xludf.DUMMYFUNCTION("""COMPUTED_VALUE"""),"△1.14%")</f>
        <v>△1.14%</v>
      </c>
      <c r="M100" s="25"/>
    </row>
    <row r="101" spans="1:13" ht="12.5">
      <c r="A101" s="4" t="str">
        <f ca="1">IFERROR(__xludf.DUMMYFUNCTION("""COMPUTED_VALUE"""),"下游客戶")</f>
        <v>下游客戶</v>
      </c>
      <c r="B101" s="4" t="str">
        <f ca="1">IFERROR(__xludf.DUMMYFUNCTION("""COMPUTED_VALUE"""),"2454聯發科")</f>
        <v>2454聯發科</v>
      </c>
      <c r="C101" s="4" t="str">
        <f ca="1">IFERROR(__xludf.DUMMYFUNCTION("""COMPUTED_VALUE"""),"網路通訊IC")</f>
        <v>網路通訊IC</v>
      </c>
      <c r="D101" s="4">
        <f ca="1">IFERROR(__xludf.DUMMYFUNCTION("""COMPUTED_VALUE"""),4210)</f>
        <v>4210</v>
      </c>
      <c r="E101" s="4" t="str">
        <f ca="1">IFERROR(__xludf.DUMMYFUNCTION("""COMPUTED_VALUE"""),"▽15")</f>
        <v>▽15</v>
      </c>
      <c r="F101" s="4" t="str">
        <f ca="1">IFERROR(__xludf.DUMMYFUNCTION("""COMPUTED_VALUE"""),"▽0.36%")</f>
        <v>▽0.36%</v>
      </c>
      <c r="M101" s="25"/>
    </row>
    <row r="102" spans="1:13" ht="12.5">
      <c r="M102" s="25"/>
    </row>
    <row r="103" spans="1:13" ht="12.5">
      <c r="M103" s="25"/>
    </row>
    <row r="104" spans="1:13" ht="12.5">
      <c r="M104" s="25"/>
    </row>
    <row r="105" spans="1:13" ht="12.5">
      <c r="M105" s="25"/>
    </row>
    <row r="106" spans="1:13" ht="12.5">
      <c r="M106" s="25"/>
    </row>
    <row r="107" spans="1:13" ht="12.5">
      <c r="M107" s="25"/>
    </row>
    <row r="108" spans="1:13" ht="12.5">
      <c r="M108" s="25"/>
    </row>
    <row r="109" spans="1:13" ht="12.5">
      <c r="M109" s="25"/>
    </row>
    <row r="110" spans="1:13" ht="12.5">
      <c r="M110" s="25"/>
    </row>
    <row r="111" spans="1:13" ht="12.5">
      <c r="M111" s="25"/>
    </row>
    <row r="112" spans="1:13" ht="12.5">
      <c r="M112" s="25"/>
    </row>
    <row r="113" spans="13:13" ht="12.5">
      <c r="M113" s="25"/>
    </row>
    <row r="114" spans="13:13" ht="12.5">
      <c r="M114" s="25"/>
    </row>
    <row r="115" spans="13:13" ht="12.5">
      <c r="M115" s="25"/>
    </row>
    <row r="116" spans="13:13" ht="12.5">
      <c r="M116" s="25"/>
    </row>
    <row r="117" spans="13:13" ht="12.5">
      <c r="M117" s="25"/>
    </row>
    <row r="118" spans="13:13" ht="12.5">
      <c r="M118" s="25"/>
    </row>
    <row r="119" spans="13:13" ht="12.5">
      <c r="M119" s="25"/>
    </row>
    <row r="120" spans="13:13" ht="12.5">
      <c r="M120" s="25"/>
    </row>
    <row r="121" spans="13:13" ht="12.5">
      <c r="M121" s="25"/>
    </row>
    <row r="122" spans="13:13" ht="12.5">
      <c r="M122" s="25"/>
    </row>
    <row r="123" spans="13:13" ht="12.5">
      <c r="M123" s="25"/>
    </row>
    <row r="124" spans="13:13" ht="12.5">
      <c r="M124" s="25"/>
    </row>
    <row r="125" spans="13:13" ht="12.5">
      <c r="M125" s="25"/>
    </row>
    <row r="126" spans="13:13" ht="12.5">
      <c r="M126" s="25"/>
    </row>
    <row r="127" spans="13:13" ht="12.5">
      <c r="M127" s="25"/>
    </row>
    <row r="128" spans="13:13" ht="12.5">
      <c r="M128" s="25"/>
    </row>
    <row r="129" spans="13:13" ht="12.5">
      <c r="M129" s="25"/>
    </row>
    <row r="130" spans="13:13" ht="12.5">
      <c r="M130" s="25"/>
    </row>
    <row r="131" spans="13:13" ht="12.5">
      <c r="M131" s="25"/>
    </row>
    <row r="132" spans="13:13" ht="12.5">
      <c r="M132" s="25"/>
    </row>
    <row r="133" spans="13:13" ht="12.5">
      <c r="M133" s="25"/>
    </row>
    <row r="134" spans="13:13" ht="12.5">
      <c r="M134" s="25"/>
    </row>
    <row r="135" spans="13:13" ht="12.5">
      <c r="M135" s="25"/>
    </row>
    <row r="136" spans="13:13" ht="12.5">
      <c r="M136" s="25"/>
    </row>
    <row r="137" spans="13:13" ht="12.5">
      <c r="M137" s="25"/>
    </row>
    <row r="138" spans="13:13" ht="12.5">
      <c r="M138" s="25"/>
    </row>
    <row r="139" spans="13:13" ht="12.5">
      <c r="M139" s="25"/>
    </row>
    <row r="140" spans="13:13" ht="12.5">
      <c r="M140" s="25"/>
    </row>
    <row r="141" spans="13:13" ht="12.5">
      <c r="M141" s="25"/>
    </row>
    <row r="142" spans="13:13" ht="12.5">
      <c r="M142" s="25"/>
    </row>
    <row r="143" spans="13:13" ht="12.5">
      <c r="M143" s="25"/>
    </row>
    <row r="144" spans="13:13" ht="12.5">
      <c r="M144" s="25"/>
    </row>
    <row r="145" spans="13:13" ht="12.5">
      <c r="M145" s="25"/>
    </row>
    <row r="146" spans="13:13" ht="12.5">
      <c r="M146" s="25"/>
    </row>
    <row r="147" spans="13:13" ht="12.5">
      <c r="M147" s="25"/>
    </row>
    <row r="148" spans="13:13" ht="12.5">
      <c r="M148" s="25"/>
    </row>
    <row r="149" spans="13:13" ht="12.5">
      <c r="M149" s="25"/>
    </row>
    <row r="150" spans="13:13" ht="12.5">
      <c r="M150" s="25"/>
    </row>
    <row r="151" spans="13:13" ht="12.5">
      <c r="M151" s="25"/>
    </row>
    <row r="152" spans="13:13" ht="12.5">
      <c r="M152" s="25"/>
    </row>
    <row r="153" spans="13:13" ht="12.5">
      <c r="M153" s="25"/>
    </row>
    <row r="154" spans="13:13" ht="12.5">
      <c r="M154" s="25"/>
    </row>
    <row r="155" spans="13:13" ht="12.5">
      <c r="M155" s="25"/>
    </row>
    <row r="156" spans="13:13" ht="12.5">
      <c r="M156" s="25"/>
    </row>
    <row r="157" spans="13:13" ht="12.5">
      <c r="M157" s="25"/>
    </row>
    <row r="158" spans="13:13" ht="12.5">
      <c r="M158" s="25"/>
    </row>
    <row r="159" spans="13:13" ht="12.5">
      <c r="M159" s="25"/>
    </row>
    <row r="160" spans="13:13" ht="12.5">
      <c r="M160" s="25"/>
    </row>
    <row r="161" spans="13:13" ht="12.5">
      <c r="M161" s="25"/>
    </row>
    <row r="162" spans="13:13" ht="12.5">
      <c r="M162" s="25"/>
    </row>
    <row r="163" spans="13:13" ht="12.5">
      <c r="M163" s="25"/>
    </row>
    <row r="164" spans="13:13" ht="12.5">
      <c r="M164" s="25"/>
    </row>
    <row r="165" spans="13:13" ht="12.5">
      <c r="M165" s="25"/>
    </row>
    <row r="166" spans="13:13" ht="12.5">
      <c r="M166" s="25"/>
    </row>
    <row r="167" spans="13:13" ht="12.5">
      <c r="M167" s="25"/>
    </row>
    <row r="168" spans="13:13" ht="12.5">
      <c r="M168" s="25"/>
    </row>
    <row r="169" spans="13:13" ht="12.5">
      <c r="M169" s="25"/>
    </row>
    <row r="170" spans="13:13" ht="12.5">
      <c r="M170" s="25"/>
    </row>
    <row r="171" spans="13:13" ht="12.5">
      <c r="M171" s="25"/>
    </row>
    <row r="172" spans="13:13" ht="12.5">
      <c r="M172" s="25"/>
    </row>
    <row r="173" spans="13:13" ht="12.5">
      <c r="M173" s="25"/>
    </row>
    <row r="174" spans="13:13" ht="12.5">
      <c r="M174" s="25"/>
    </row>
    <row r="175" spans="13:13" ht="12.5">
      <c r="M175" s="25"/>
    </row>
    <row r="176" spans="13:13" ht="12.5">
      <c r="M176" s="25"/>
    </row>
    <row r="177" spans="13:13" ht="12.5">
      <c r="M177" s="25"/>
    </row>
    <row r="178" spans="13:13" ht="12.5">
      <c r="M178" s="25"/>
    </row>
    <row r="179" spans="13:13" ht="12.5">
      <c r="M179" s="25"/>
    </row>
    <row r="180" spans="13:13" ht="12.5">
      <c r="M180" s="25"/>
    </row>
    <row r="181" spans="13:13" ht="12.5">
      <c r="M181" s="25"/>
    </row>
    <row r="182" spans="13:13" ht="12.5">
      <c r="M182" s="25"/>
    </row>
    <row r="183" spans="13:13" ht="12.5">
      <c r="M183" s="25"/>
    </row>
    <row r="184" spans="13:13" ht="12.5">
      <c r="M184" s="25"/>
    </row>
    <row r="185" spans="13:13" ht="12.5">
      <c r="M185" s="25"/>
    </row>
    <row r="186" spans="13:13" ht="12.5">
      <c r="M186" s="25"/>
    </row>
    <row r="187" spans="13:13" ht="12.5">
      <c r="M187" s="25"/>
    </row>
    <row r="188" spans="13:13" ht="12.5">
      <c r="M188" s="25"/>
    </row>
    <row r="189" spans="13:13" ht="12.5">
      <c r="M189" s="25"/>
    </row>
    <row r="190" spans="13:13" ht="12.5">
      <c r="M190" s="25"/>
    </row>
    <row r="191" spans="13:13" ht="12.5">
      <c r="M191" s="25"/>
    </row>
    <row r="192" spans="13:13" ht="12.5">
      <c r="M192" s="25"/>
    </row>
    <row r="193" spans="13:13" ht="12.5">
      <c r="M193" s="25"/>
    </row>
    <row r="194" spans="13:13" ht="12.5">
      <c r="M194" s="25"/>
    </row>
    <row r="195" spans="13:13" ht="12.5">
      <c r="M195" s="25"/>
    </row>
    <row r="196" spans="13:13" ht="12.5">
      <c r="M196" s="25"/>
    </row>
    <row r="197" spans="13:13" ht="12.5">
      <c r="M197" s="25"/>
    </row>
    <row r="198" spans="13:13" ht="12.5">
      <c r="M198" s="25"/>
    </row>
    <row r="199" spans="13:13" ht="12.5">
      <c r="M199" s="25"/>
    </row>
    <row r="200" spans="13:13" ht="12.5">
      <c r="M200" s="25"/>
    </row>
    <row r="201" spans="13:13" ht="12.5">
      <c r="M201" s="25"/>
    </row>
    <row r="202" spans="13:13" ht="12.5">
      <c r="M202" s="25"/>
    </row>
    <row r="203" spans="13:13" ht="12.5">
      <c r="M203" s="25"/>
    </row>
    <row r="204" spans="13:13" ht="12.5">
      <c r="M204" s="25"/>
    </row>
    <row r="205" spans="13:13" ht="12.5">
      <c r="M205" s="25"/>
    </row>
    <row r="206" spans="13:13" ht="12.5">
      <c r="M206" s="25"/>
    </row>
    <row r="207" spans="13:13" ht="12.5">
      <c r="M207" s="25"/>
    </row>
    <row r="208" spans="13:13" ht="12.5">
      <c r="M208" s="25"/>
    </row>
    <row r="209" spans="13:13" ht="12.5">
      <c r="M209" s="25"/>
    </row>
    <row r="210" spans="13:13" ht="12.5">
      <c r="M210" s="25"/>
    </row>
    <row r="211" spans="13:13" ht="12.5">
      <c r="M211" s="25"/>
    </row>
    <row r="212" spans="13:13" ht="12.5">
      <c r="M212" s="25"/>
    </row>
    <row r="213" spans="13:13" ht="12.5">
      <c r="M213" s="25"/>
    </row>
    <row r="214" spans="13:13" ht="12.5">
      <c r="M214" s="25"/>
    </row>
    <row r="215" spans="13:13" ht="12.5">
      <c r="M215" s="25"/>
    </row>
    <row r="216" spans="13:13" ht="12.5">
      <c r="M216" s="25"/>
    </row>
    <row r="217" spans="13:13" ht="12.5">
      <c r="M217" s="25"/>
    </row>
    <row r="218" spans="13:13" ht="12.5">
      <c r="M218" s="25"/>
    </row>
    <row r="219" spans="13:13" ht="12.5">
      <c r="M219" s="25"/>
    </row>
    <row r="220" spans="13:13" ht="12.5">
      <c r="M220" s="25"/>
    </row>
    <row r="221" spans="13:13" ht="12.5">
      <c r="M221" s="25"/>
    </row>
    <row r="222" spans="13:13" ht="12.5">
      <c r="M222" s="25"/>
    </row>
    <row r="223" spans="13:13" ht="12.5">
      <c r="M223" s="25"/>
    </row>
    <row r="224" spans="13:13" ht="12.5">
      <c r="M224" s="25"/>
    </row>
    <row r="225" spans="13:13" ht="12.5">
      <c r="M225" s="25"/>
    </row>
    <row r="226" spans="13:13" ht="12.5">
      <c r="M226" s="25"/>
    </row>
    <row r="227" spans="13:13" ht="12.5">
      <c r="M227" s="25"/>
    </row>
    <row r="228" spans="13:13" ht="12.5">
      <c r="M228" s="25"/>
    </row>
    <row r="229" spans="13:13" ht="12.5">
      <c r="M229" s="25"/>
    </row>
    <row r="230" spans="13:13" ht="12.5">
      <c r="M230" s="25"/>
    </row>
    <row r="231" spans="13:13" ht="12.5">
      <c r="M231" s="25"/>
    </row>
    <row r="232" spans="13:13" ht="12.5">
      <c r="M232" s="25"/>
    </row>
    <row r="233" spans="13:13" ht="12.5">
      <c r="M233" s="25"/>
    </row>
    <row r="234" spans="13:13" ht="12.5">
      <c r="M234" s="25"/>
    </row>
    <row r="235" spans="13:13" ht="12.5">
      <c r="M235" s="25"/>
    </row>
    <row r="236" spans="13:13" ht="12.5">
      <c r="M236" s="25"/>
    </row>
    <row r="237" spans="13:13" ht="12.5">
      <c r="M237" s="25"/>
    </row>
    <row r="238" spans="13:13" ht="12.5">
      <c r="M238" s="25"/>
    </row>
    <row r="239" spans="13:13" ht="12.5">
      <c r="M239" s="25"/>
    </row>
    <row r="240" spans="13:13" ht="12.5">
      <c r="M240" s="25"/>
    </row>
    <row r="241" spans="13:13" ht="12.5">
      <c r="M241" s="25"/>
    </row>
    <row r="242" spans="13:13" ht="12.5">
      <c r="M242" s="25"/>
    </row>
    <row r="243" spans="13:13" ht="12.5">
      <c r="M243" s="25"/>
    </row>
    <row r="244" spans="13:13" ht="12.5">
      <c r="M244" s="25"/>
    </row>
    <row r="245" spans="13:13" ht="12.5">
      <c r="M245" s="25"/>
    </row>
    <row r="246" spans="13:13" ht="12.5">
      <c r="M246" s="25"/>
    </row>
    <row r="247" spans="13:13" ht="12.5">
      <c r="M247" s="25"/>
    </row>
    <row r="248" spans="13:13" ht="12.5">
      <c r="M248" s="25"/>
    </row>
    <row r="249" spans="13:13" ht="12.5">
      <c r="M249" s="25"/>
    </row>
    <row r="250" spans="13:13" ht="12.5">
      <c r="M250" s="25"/>
    </row>
    <row r="251" spans="13:13" ht="12.5">
      <c r="M251" s="25"/>
    </row>
    <row r="252" spans="13:13" ht="12.5">
      <c r="M252" s="25"/>
    </row>
    <row r="253" spans="13:13" ht="12.5">
      <c r="M253" s="25"/>
    </row>
    <row r="254" spans="13:13" ht="12.5">
      <c r="M254" s="25"/>
    </row>
    <row r="255" spans="13:13" ht="12.5">
      <c r="M255" s="25"/>
    </row>
    <row r="256" spans="13:13" ht="12.5">
      <c r="M256" s="25"/>
    </row>
    <row r="257" spans="13:13" ht="12.5">
      <c r="M257" s="25"/>
    </row>
    <row r="258" spans="13:13" ht="12.5">
      <c r="M258" s="25"/>
    </row>
    <row r="259" spans="13:13" ht="12.5">
      <c r="M259" s="25"/>
    </row>
    <row r="260" spans="13:13" ht="12.5">
      <c r="M260" s="25"/>
    </row>
    <row r="261" spans="13:13" ht="12.5">
      <c r="M261" s="25"/>
    </row>
    <row r="262" spans="13:13" ht="12.5">
      <c r="M262" s="25"/>
    </row>
    <row r="263" spans="13:13" ht="12.5">
      <c r="M263" s="25"/>
    </row>
    <row r="264" spans="13:13" ht="12.5">
      <c r="M264" s="25"/>
    </row>
    <row r="265" spans="13:13" ht="12.5">
      <c r="M265" s="25"/>
    </row>
    <row r="266" spans="13:13" ht="12.5">
      <c r="M266" s="25"/>
    </row>
    <row r="267" spans="13:13" ht="12.5">
      <c r="M267" s="25"/>
    </row>
    <row r="268" spans="13:13" ht="12.5">
      <c r="M268" s="25"/>
    </row>
    <row r="269" spans="13:13" ht="12.5">
      <c r="M269" s="25"/>
    </row>
    <row r="270" spans="13:13" ht="12.5">
      <c r="M270" s="25"/>
    </row>
    <row r="271" spans="13:13" ht="12.5">
      <c r="M271" s="25"/>
    </row>
    <row r="272" spans="13:13" ht="12.5">
      <c r="M272" s="25"/>
    </row>
    <row r="273" spans="13:13" ht="12.5">
      <c r="M273" s="25"/>
    </row>
    <row r="274" spans="13:13" ht="12.5">
      <c r="M274" s="25"/>
    </row>
    <row r="275" spans="13:13" ht="12.5">
      <c r="M275" s="25"/>
    </row>
    <row r="276" spans="13:13" ht="12.5">
      <c r="M276" s="25"/>
    </row>
    <row r="277" spans="13:13" ht="12.5">
      <c r="M277" s="25"/>
    </row>
    <row r="278" spans="13:13" ht="12.5">
      <c r="M278" s="25"/>
    </row>
    <row r="279" spans="13:13" ht="12.5">
      <c r="M279" s="25"/>
    </row>
    <row r="280" spans="13:13" ht="12.5">
      <c r="M280" s="25"/>
    </row>
    <row r="281" spans="13:13" ht="12.5">
      <c r="M281" s="25"/>
    </row>
    <row r="282" spans="13:13" ht="12.5">
      <c r="M282" s="25"/>
    </row>
    <row r="283" spans="13:13" ht="12.5">
      <c r="M283" s="25"/>
    </row>
    <row r="284" spans="13:13" ht="12.5">
      <c r="M284" s="25"/>
    </row>
    <row r="285" spans="13:13" ht="12.5">
      <c r="M285" s="25"/>
    </row>
    <row r="286" spans="13:13" ht="12.5">
      <c r="M286" s="25"/>
    </row>
    <row r="287" spans="13:13" ht="12.5">
      <c r="M287" s="25"/>
    </row>
    <row r="288" spans="13:13" ht="12.5">
      <c r="M288" s="25"/>
    </row>
    <row r="289" spans="13:13" ht="12.5">
      <c r="M289" s="25"/>
    </row>
    <row r="290" spans="13:13" ht="12.5">
      <c r="M290" s="25"/>
    </row>
    <row r="291" spans="13:13" ht="12.5">
      <c r="M291" s="25"/>
    </row>
    <row r="292" spans="13:13" ht="12.5">
      <c r="M292" s="25"/>
    </row>
    <row r="293" spans="13:13" ht="12.5">
      <c r="M293" s="25"/>
    </row>
    <row r="294" spans="13:13" ht="12.5">
      <c r="M294" s="25"/>
    </row>
    <row r="295" spans="13:13" ht="12.5">
      <c r="M295" s="25"/>
    </row>
    <row r="296" spans="13:13" ht="12.5">
      <c r="M296" s="25"/>
    </row>
    <row r="297" spans="13:13" ht="12.5">
      <c r="M297" s="25"/>
    </row>
    <row r="298" spans="13:13" ht="12.5">
      <c r="M298" s="25"/>
    </row>
    <row r="299" spans="13:13" ht="12.5">
      <c r="M299" s="25"/>
    </row>
    <row r="300" spans="13:13" ht="12.5">
      <c r="M300" s="25"/>
    </row>
    <row r="301" spans="13:13" ht="12.5">
      <c r="M301" s="25"/>
    </row>
    <row r="302" spans="13:13" ht="12.5">
      <c r="M302" s="25"/>
    </row>
    <row r="303" spans="13:13" ht="12.5">
      <c r="M303" s="25"/>
    </row>
    <row r="304" spans="13:13" ht="12.5">
      <c r="M304" s="25"/>
    </row>
    <row r="305" spans="13:13" ht="12.5">
      <c r="M305" s="25"/>
    </row>
    <row r="306" spans="13:13" ht="12.5">
      <c r="M306" s="25"/>
    </row>
    <row r="307" spans="13:13" ht="12.5">
      <c r="M307" s="25"/>
    </row>
    <row r="308" spans="13:13" ht="12.5">
      <c r="M308" s="25"/>
    </row>
    <row r="309" spans="13:13" ht="12.5">
      <c r="M309" s="25"/>
    </row>
    <row r="310" spans="13:13" ht="12.5">
      <c r="M310" s="25"/>
    </row>
    <row r="311" spans="13:13" ht="12.5">
      <c r="M311" s="25"/>
    </row>
    <row r="312" spans="13:13" ht="12.5">
      <c r="M312" s="25"/>
    </row>
    <row r="313" spans="13:13" ht="12.5">
      <c r="M313" s="25"/>
    </row>
    <row r="314" spans="13:13" ht="12.5">
      <c r="M314" s="25"/>
    </row>
    <row r="315" spans="13:13" ht="12.5">
      <c r="M315" s="25"/>
    </row>
    <row r="316" spans="13:13" ht="12.5">
      <c r="M316" s="25"/>
    </row>
    <row r="317" spans="13:13" ht="12.5">
      <c r="M317" s="25"/>
    </row>
    <row r="318" spans="13:13" ht="12.5">
      <c r="M318" s="25"/>
    </row>
    <row r="319" spans="13:13" ht="12.5">
      <c r="M319" s="25"/>
    </row>
    <row r="320" spans="13:13" ht="12.5">
      <c r="M320" s="25"/>
    </row>
    <row r="321" spans="13:13" ht="12.5">
      <c r="M321" s="25"/>
    </row>
    <row r="322" spans="13:13" ht="12.5">
      <c r="M322" s="25"/>
    </row>
    <row r="323" spans="13:13" ht="12.5">
      <c r="M323" s="25"/>
    </row>
    <row r="324" spans="13:13" ht="12.5">
      <c r="M324" s="25"/>
    </row>
    <row r="325" spans="13:13" ht="12.5">
      <c r="M325" s="25"/>
    </row>
    <row r="326" spans="13:13" ht="12.5">
      <c r="M326" s="25"/>
    </row>
    <row r="327" spans="13:13" ht="12.5">
      <c r="M327" s="25"/>
    </row>
    <row r="328" spans="13:13" ht="12.5">
      <c r="M328" s="25"/>
    </row>
    <row r="329" spans="13:13" ht="12.5">
      <c r="M329" s="25"/>
    </row>
    <row r="330" spans="13:13" ht="12.5">
      <c r="M330" s="25"/>
    </row>
    <row r="331" spans="13:13" ht="12.5">
      <c r="M331" s="25"/>
    </row>
    <row r="332" spans="13:13" ht="12.5">
      <c r="M332" s="25"/>
    </row>
    <row r="333" spans="13:13" ht="12.5">
      <c r="M333" s="25"/>
    </row>
    <row r="334" spans="13:13" ht="12.5">
      <c r="M334" s="25"/>
    </row>
    <row r="335" spans="13:13" ht="12.5">
      <c r="M335" s="25"/>
    </row>
    <row r="336" spans="13:13" ht="12.5">
      <c r="M336" s="25"/>
    </row>
    <row r="337" spans="13:13" ht="12.5">
      <c r="M337" s="25"/>
    </row>
    <row r="338" spans="13:13" ht="12.5">
      <c r="M338" s="25"/>
    </row>
    <row r="339" spans="13:13" ht="12.5">
      <c r="M339" s="25"/>
    </row>
    <row r="340" spans="13:13" ht="12.5">
      <c r="M340" s="25"/>
    </row>
    <row r="341" spans="13:13" ht="12.5">
      <c r="M341" s="25"/>
    </row>
    <row r="342" spans="13:13" ht="12.5">
      <c r="M342" s="25"/>
    </row>
    <row r="343" spans="13:13" ht="12.5">
      <c r="M343" s="25"/>
    </row>
    <row r="344" spans="13:13" ht="12.5">
      <c r="M344" s="25"/>
    </row>
    <row r="345" spans="13:13" ht="12.5">
      <c r="M345" s="25"/>
    </row>
    <row r="346" spans="13:13" ht="12.5">
      <c r="M346" s="25"/>
    </row>
    <row r="347" spans="13:13" ht="12.5">
      <c r="M347" s="25"/>
    </row>
    <row r="348" spans="13:13" ht="12.5">
      <c r="M348" s="25"/>
    </row>
    <row r="349" spans="13:13" ht="12.5">
      <c r="M349" s="25"/>
    </row>
    <row r="350" spans="13:13" ht="12.5">
      <c r="M350" s="25"/>
    </row>
    <row r="351" spans="13:13" ht="12.5">
      <c r="M351" s="25"/>
    </row>
    <row r="352" spans="13:13" ht="12.5">
      <c r="M352" s="25"/>
    </row>
    <row r="353" spans="13:13" ht="12.5">
      <c r="M353" s="25"/>
    </row>
    <row r="354" spans="13:13" ht="12.5">
      <c r="M354" s="25"/>
    </row>
    <row r="355" spans="13:13" ht="12.5">
      <c r="M355" s="25"/>
    </row>
    <row r="356" spans="13:13" ht="12.5">
      <c r="M356" s="25"/>
    </row>
    <row r="357" spans="13:13" ht="12.5">
      <c r="M357" s="25"/>
    </row>
    <row r="358" spans="13:13" ht="12.5">
      <c r="M358" s="25"/>
    </row>
    <row r="359" spans="13:13" ht="12.5">
      <c r="M359" s="25"/>
    </row>
    <row r="360" spans="13:13" ht="12.5">
      <c r="M360" s="25"/>
    </row>
    <row r="361" spans="13:13" ht="12.5">
      <c r="M361" s="25"/>
    </row>
    <row r="362" spans="13:13" ht="12.5">
      <c r="M362" s="25"/>
    </row>
    <row r="363" spans="13:13" ht="12.5">
      <c r="M363" s="25"/>
    </row>
    <row r="364" spans="13:13" ht="12.5">
      <c r="M364" s="25"/>
    </row>
    <row r="365" spans="13:13" ht="12.5">
      <c r="M365" s="25"/>
    </row>
    <row r="366" spans="13:13" ht="12.5">
      <c r="M366" s="25"/>
    </row>
    <row r="367" spans="13:13" ht="12.5">
      <c r="M367" s="25"/>
    </row>
    <row r="368" spans="13:13" ht="12.5">
      <c r="M368" s="25"/>
    </row>
    <row r="369" spans="13:13" ht="12.5">
      <c r="M369" s="25"/>
    </row>
    <row r="370" spans="13:13" ht="12.5">
      <c r="M370" s="25"/>
    </row>
    <row r="371" spans="13:13" ht="12.5">
      <c r="M371" s="25"/>
    </row>
    <row r="372" spans="13:13" ht="12.5">
      <c r="M372" s="25"/>
    </row>
    <row r="373" spans="13:13" ht="12.5">
      <c r="M373" s="25"/>
    </row>
    <row r="374" spans="13:13" ht="12.5">
      <c r="M374" s="25"/>
    </row>
    <row r="375" spans="13:13" ht="12.5">
      <c r="M375" s="25"/>
    </row>
    <row r="376" spans="13:13" ht="12.5">
      <c r="M376" s="25"/>
    </row>
    <row r="377" spans="13:13" ht="12.5">
      <c r="M377" s="25"/>
    </row>
    <row r="378" spans="13:13" ht="12.5">
      <c r="M378" s="25"/>
    </row>
    <row r="379" spans="13:13" ht="12.5">
      <c r="M379" s="25"/>
    </row>
    <row r="380" spans="13:13" ht="12.5">
      <c r="M380" s="25"/>
    </row>
    <row r="381" spans="13:13" ht="12.5">
      <c r="M381" s="25"/>
    </row>
    <row r="382" spans="13:13" ht="12.5">
      <c r="M382" s="25"/>
    </row>
    <row r="383" spans="13:13" ht="12.5">
      <c r="M383" s="25"/>
    </row>
    <row r="384" spans="13:13" ht="12.5">
      <c r="M384" s="25"/>
    </row>
    <row r="385" spans="13:13" ht="12.5">
      <c r="M385" s="25"/>
    </row>
    <row r="386" spans="13:13" ht="12.5">
      <c r="M386" s="25"/>
    </row>
    <row r="387" spans="13:13" ht="12.5">
      <c r="M387" s="25"/>
    </row>
    <row r="388" spans="13:13" ht="12.5">
      <c r="M388" s="25"/>
    </row>
    <row r="389" spans="13:13" ht="12.5">
      <c r="M389" s="25"/>
    </row>
    <row r="390" spans="13:13" ht="12.5">
      <c r="M390" s="25"/>
    </row>
    <row r="391" spans="13:13" ht="12.5">
      <c r="M391" s="25"/>
    </row>
    <row r="392" spans="13:13" ht="12.5">
      <c r="M392" s="25"/>
    </row>
    <row r="393" spans="13:13" ht="12.5">
      <c r="M393" s="25"/>
    </row>
    <row r="394" spans="13:13" ht="12.5">
      <c r="M394" s="25"/>
    </row>
    <row r="395" spans="13:13" ht="12.5">
      <c r="M395" s="25"/>
    </row>
    <row r="396" spans="13:13" ht="12.5">
      <c r="M396" s="25"/>
    </row>
    <row r="397" spans="13:13" ht="12.5">
      <c r="M397" s="25"/>
    </row>
    <row r="398" spans="13:13" ht="12.5">
      <c r="M398" s="25"/>
    </row>
    <row r="399" spans="13:13" ht="12.5">
      <c r="M399" s="25"/>
    </row>
    <row r="400" spans="13:13" ht="12.5">
      <c r="M400" s="25"/>
    </row>
    <row r="401" spans="13:13" ht="12.5">
      <c r="M401" s="25"/>
    </row>
    <row r="402" spans="13:13" ht="12.5">
      <c r="M402" s="25"/>
    </row>
    <row r="403" spans="13:13" ht="12.5">
      <c r="M403" s="25"/>
    </row>
    <row r="404" spans="13:13" ht="12.5">
      <c r="M404" s="25"/>
    </row>
    <row r="405" spans="13:13" ht="12.5">
      <c r="M405" s="25"/>
    </row>
    <row r="406" spans="13:13" ht="12.5">
      <c r="M406" s="25"/>
    </row>
    <row r="407" spans="13:13" ht="12.5">
      <c r="M407" s="25"/>
    </row>
    <row r="408" spans="13:13" ht="12.5">
      <c r="M408" s="25"/>
    </row>
    <row r="409" spans="13:13" ht="12.5">
      <c r="M409" s="25"/>
    </row>
    <row r="410" spans="13:13" ht="12.5">
      <c r="M410" s="25"/>
    </row>
    <row r="411" spans="13:13" ht="12.5">
      <c r="M411" s="25"/>
    </row>
    <row r="412" spans="13:13" ht="12.5">
      <c r="M412" s="25"/>
    </row>
    <row r="413" spans="13:13" ht="12.5">
      <c r="M413" s="25"/>
    </row>
    <row r="414" spans="13:13" ht="12.5">
      <c r="M414" s="25"/>
    </row>
    <row r="415" spans="13:13" ht="12.5">
      <c r="M415" s="25"/>
    </row>
    <row r="416" spans="13:13" ht="12.5">
      <c r="M416" s="25"/>
    </row>
    <row r="417" spans="13:13" ht="12.5">
      <c r="M417" s="25"/>
    </row>
    <row r="418" spans="13:13" ht="12.5">
      <c r="M418" s="25"/>
    </row>
    <row r="419" spans="13:13" ht="12.5">
      <c r="M419" s="25"/>
    </row>
    <row r="420" spans="13:13" ht="12.5">
      <c r="M420" s="25"/>
    </row>
    <row r="421" spans="13:13" ht="12.5">
      <c r="M421" s="25"/>
    </row>
    <row r="422" spans="13:13" ht="12.5">
      <c r="M422" s="25"/>
    </row>
    <row r="423" spans="13:13" ht="12.5">
      <c r="M423" s="25"/>
    </row>
    <row r="424" spans="13:13" ht="12.5">
      <c r="M424" s="25"/>
    </row>
    <row r="425" spans="13:13" ht="12.5">
      <c r="M425" s="25"/>
    </row>
    <row r="426" spans="13:13" ht="12.5">
      <c r="M426" s="25"/>
    </row>
    <row r="427" spans="13:13" ht="12.5">
      <c r="M427" s="25"/>
    </row>
    <row r="428" spans="13:13" ht="12.5">
      <c r="M428" s="25"/>
    </row>
    <row r="429" spans="13:13" ht="12.5">
      <c r="M429" s="25"/>
    </row>
    <row r="430" spans="13:13" ht="12.5">
      <c r="M430" s="25"/>
    </row>
    <row r="431" spans="13:13" ht="12.5">
      <c r="M431" s="25"/>
    </row>
    <row r="432" spans="13:13" ht="12.5">
      <c r="M432" s="25"/>
    </row>
    <row r="433" spans="13:13" ht="12.5">
      <c r="M433" s="25"/>
    </row>
    <row r="434" spans="13:13" ht="12.5">
      <c r="M434" s="25"/>
    </row>
    <row r="435" spans="13:13" ht="12.5">
      <c r="M435" s="25"/>
    </row>
    <row r="436" spans="13:13" ht="12.5">
      <c r="M436" s="25"/>
    </row>
    <row r="437" spans="13:13" ht="12.5">
      <c r="M437" s="25"/>
    </row>
    <row r="438" spans="13:13" ht="12.5">
      <c r="M438" s="25"/>
    </row>
    <row r="439" spans="13:13" ht="12.5">
      <c r="M439" s="25"/>
    </row>
    <row r="440" spans="13:13" ht="12.5">
      <c r="M440" s="25"/>
    </row>
    <row r="441" spans="13:13" ht="12.5">
      <c r="M441" s="25"/>
    </row>
    <row r="442" spans="13:13" ht="12.5">
      <c r="M442" s="25"/>
    </row>
    <row r="443" spans="13:13" ht="12.5">
      <c r="M443" s="25"/>
    </row>
    <row r="444" spans="13:13" ht="12.5">
      <c r="M444" s="25"/>
    </row>
    <row r="445" spans="13:13" ht="12.5">
      <c r="M445" s="25"/>
    </row>
    <row r="446" spans="13:13" ht="12.5">
      <c r="M446" s="25"/>
    </row>
    <row r="447" spans="13:13" ht="12.5">
      <c r="M447" s="25"/>
    </row>
    <row r="448" spans="13:13" ht="12.5">
      <c r="M448" s="25"/>
    </row>
    <row r="449" spans="13:13" ht="12.5">
      <c r="M449" s="25"/>
    </row>
    <row r="450" spans="13:13" ht="12.5">
      <c r="M450" s="25"/>
    </row>
    <row r="451" spans="13:13" ht="12.5">
      <c r="M451" s="25"/>
    </row>
    <row r="452" spans="13:13" ht="12.5">
      <c r="M452" s="25"/>
    </row>
    <row r="453" spans="13:13" ht="12.5">
      <c r="M453" s="25"/>
    </row>
    <row r="454" spans="13:13" ht="12.5">
      <c r="M454" s="25"/>
    </row>
    <row r="455" spans="13:13" ht="12.5">
      <c r="M455" s="25"/>
    </row>
    <row r="456" spans="13:13" ht="12.5">
      <c r="M456" s="25"/>
    </row>
    <row r="457" spans="13:13" ht="12.5">
      <c r="M457" s="25"/>
    </row>
    <row r="458" spans="13:13" ht="12.5">
      <c r="M458" s="25"/>
    </row>
    <row r="459" spans="13:13" ht="12.5">
      <c r="M459" s="25"/>
    </row>
    <row r="460" spans="13:13" ht="12.5">
      <c r="M460" s="25"/>
    </row>
    <row r="461" spans="13:13" ht="12.5">
      <c r="M461" s="25"/>
    </row>
    <row r="462" spans="13:13" ht="12.5">
      <c r="M462" s="25"/>
    </row>
    <row r="463" spans="13:13" ht="12.5">
      <c r="M463" s="25"/>
    </row>
    <row r="464" spans="13:13" ht="12.5">
      <c r="M464" s="25"/>
    </row>
    <row r="465" spans="13:13" ht="12.5">
      <c r="M465" s="25"/>
    </row>
    <row r="466" spans="13:13" ht="12.5">
      <c r="M466" s="25"/>
    </row>
    <row r="467" spans="13:13" ht="12.5">
      <c r="M467" s="25"/>
    </row>
    <row r="468" spans="13:13" ht="12.5">
      <c r="M468" s="25"/>
    </row>
    <row r="469" spans="13:13" ht="12.5">
      <c r="M469" s="25"/>
    </row>
    <row r="470" spans="13:13" ht="12.5">
      <c r="M470" s="25"/>
    </row>
    <row r="471" spans="13:13" ht="12.5">
      <c r="M471" s="25"/>
    </row>
    <row r="472" spans="13:13" ht="12.5">
      <c r="M472" s="25"/>
    </row>
    <row r="473" spans="13:13" ht="12.5">
      <c r="M473" s="25"/>
    </row>
    <row r="474" spans="13:13" ht="12.5">
      <c r="M474" s="25"/>
    </row>
    <row r="475" spans="13:13" ht="12.5">
      <c r="M475" s="25"/>
    </row>
    <row r="476" spans="13:13" ht="12.5">
      <c r="M476" s="25"/>
    </row>
    <row r="477" spans="13:13" ht="12.5">
      <c r="M477" s="25"/>
    </row>
    <row r="478" spans="13:13" ht="12.5">
      <c r="M478" s="25"/>
    </row>
    <row r="479" spans="13:13" ht="12.5">
      <c r="M479" s="25"/>
    </row>
    <row r="480" spans="13:13" ht="12.5">
      <c r="M480" s="25"/>
    </row>
    <row r="481" spans="13:13" ht="12.5">
      <c r="M481" s="25"/>
    </row>
    <row r="482" spans="13:13" ht="12.5">
      <c r="M482" s="25"/>
    </row>
    <row r="483" spans="13:13" ht="12.5">
      <c r="M483" s="25"/>
    </row>
    <row r="484" spans="13:13" ht="12.5">
      <c r="M484" s="25"/>
    </row>
    <row r="485" spans="13:13" ht="12.5">
      <c r="M485" s="25"/>
    </row>
    <row r="486" spans="13:13" ht="12.5">
      <c r="M486" s="25"/>
    </row>
    <row r="487" spans="13:13" ht="12.5">
      <c r="M487" s="25"/>
    </row>
    <row r="488" spans="13:13" ht="12.5">
      <c r="M488" s="25"/>
    </row>
    <row r="489" spans="13:13" ht="12.5">
      <c r="M489" s="25"/>
    </row>
    <row r="490" spans="13:13" ht="12.5">
      <c r="M490" s="25"/>
    </row>
    <row r="491" spans="13:13" ht="12.5">
      <c r="M491" s="25"/>
    </row>
    <row r="492" spans="13:13" ht="12.5">
      <c r="M492" s="25"/>
    </row>
    <row r="493" spans="13:13" ht="12.5">
      <c r="M493" s="25"/>
    </row>
    <row r="494" spans="13:13" ht="12.5">
      <c r="M494" s="25"/>
    </row>
    <row r="495" spans="13:13" ht="12.5">
      <c r="M495" s="25"/>
    </row>
    <row r="496" spans="13:13" ht="12.5">
      <c r="M496" s="25"/>
    </row>
    <row r="497" spans="13:13" ht="12.5">
      <c r="M497" s="25"/>
    </row>
    <row r="498" spans="13:13" ht="12.5">
      <c r="M498" s="25"/>
    </row>
    <row r="499" spans="13:13" ht="12.5">
      <c r="M499" s="25"/>
    </row>
    <row r="500" spans="13:13" ht="12.5">
      <c r="M500" s="25"/>
    </row>
    <row r="501" spans="13:13" ht="12.5">
      <c r="M501" s="25"/>
    </row>
    <row r="502" spans="13:13" ht="12.5">
      <c r="M502" s="25"/>
    </row>
    <row r="503" spans="13:13" ht="12.5">
      <c r="M503" s="25"/>
    </row>
    <row r="504" spans="13:13" ht="12.5">
      <c r="M504" s="25"/>
    </row>
    <row r="505" spans="13:13" ht="12.5">
      <c r="M505" s="25"/>
    </row>
    <row r="506" spans="13:13" ht="12.5">
      <c r="M506" s="25"/>
    </row>
    <row r="507" spans="13:13" ht="12.5">
      <c r="M507" s="25"/>
    </row>
    <row r="508" spans="13:13" ht="12.5">
      <c r="M508" s="25"/>
    </row>
    <row r="509" spans="13:13" ht="12.5">
      <c r="M509" s="25"/>
    </row>
    <row r="510" spans="13:13" ht="12.5">
      <c r="M510" s="25"/>
    </row>
    <row r="511" spans="13:13" ht="12.5">
      <c r="M511" s="25"/>
    </row>
    <row r="512" spans="13:13" ht="12.5">
      <c r="M512" s="25"/>
    </row>
    <row r="513" spans="13:13" ht="12.5">
      <c r="M513" s="25"/>
    </row>
    <row r="514" spans="13:13" ht="12.5">
      <c r="M514" s="25"/>
    </row>
    <row r="515" spans="13:13" ht="12.5">
      <c r="M515" s="25"/>
    </row>
    <row r="516" spans="13:13" ht="12.5">
      <c r="M516" s="25"/>
    </row>
    <row r="517" spans="13:13" ht="12.5">
      <c r="M517" s="25"/>
    </row>
    <row r="518" spans="13:13" ht="12.5">
      <c r="M518" s="25"/>
    </row>
    <row r="519" spans="13:13" ht="12.5">
      <c r="M519" s="25"/>
    </row>
    <row r="520" spans="13:13" ht="12.5">
      <c r="M520" s="25"/>
    </row>
    <row r="521" spans="13:13" ht="12.5">
      <c r="M521" s="25"/>
    </row>
    <row r="522" spans="13:13" ht="12.5">
      <c r="M522" s="25"/>
    </row>
    <row r="523" spans="13:13" ht="12.5">
      <c r="M523" s="25"/>
    </row>
    <row r="524" spans="13:13" ht="12.5">
      <c r="M524" s="25"/>
    </row>
    <row r="525" spans="13:13" ht="12.5">
      <c r="M525" s="25"/>
    </row>
    <row r="526" spans="13:13" ht="12.5">
      <c r="M526" s="25"/>
    </row>
    <row r="527" spans="13:13" ht="12.5">
      <c r="M527" s="25"/>
    </row>
    <row r="528" spans="13:13" ht="12.5">
      <c r="M528" s="25"/>
    </row>
    <row r="529" spans="13:13" ht="12.5">
      <c r="M529" s="25"/>
    </row>
    <row r="530" spans="13:13" ht="12.5">
      <c r="M530" s="25"/>
    </row>
    <row r="531" spans="13:13" ht="12.5">
      <c r="M531" s="25"/>
    </row>
    <row r="532" spans="13:13" ht="12.5">
      <c r="M532" s="25"/>
    </row>
    <row r="533" spans="13:13" ht="12.5">
      <c r="M533" s="25"/>
    </row>
    <row r="534" spans="13:13" ht="12.5">
      <c r="M534" s="25"/>
    </row>
    <row r="535" spans="13:13" ht="12.5">
      <c r="M535" s="25"/>
    </row>
    <row r="536" spans="13:13" ht="12.5">
      <c r="M536" s="25"/>
    </row>
    <row r="537" spans="13:13" ht="12.5">
      <c r="M537" s="25"/>
    </row>
    <row r="538" spans="13:13" ht="12.5">
      <c r="M538" s="25"/>
    </row>
    <row r="539" spans="13:13" ht="12.5">
      <c r="M539" s="25"/>
    </row>
    <row r="540" spans="13:13" ht="12.5">
      <c r="M540" s="25"/>
    </row>
    <row r="541" spans="13:13" ht="12.5">
      <c r="M541" s="25"/>
    </row>
    <row r="542" spans="13:13" ht="12.5">
      <c r="M542" s="25"/>
    </row>
    <row r="543" spans="13:13" ht="12.5">
      <c r="M543" s="25"/>
    </row>
    <row r="544" spans="13:13" ht="12.5">
      <c r="M544" s="25"/>
    </row>
    <row r="545" spans="13:13" ht="12.5">
      <c r="M545" s="25"/>
    </row>
    <row r="546" spans="13:13" ht="12.5">
      <c r="M546" s="25"/>
    </row>
    <row r="547" spans="13:13" ht="12.5">
      <c r="M547" s="25"/>
    </row>
    <row r="548" spans="13:13" ht="12.5">
      <c r="M548" s="25"/>
    </row>
    <row r="549" spans="13:13" ht="12.5">
      <c r="M549" s="25"/>
    </row>
    <row r="550" spans="13:13" ht="12.5">
      <c r="M550" s="25"/>
    </row>
    <row r="551" spans="13:13" ht="12.5">
      <c r="M551" s="25"/>
    </row>
    <row r="552" spans="13:13" ht="12.5">
      <c r="M552" s="25"/>
    </row>
    <row r="553" spans="13:13" ht="12.5">
      <c r="M553" s="25"/>
    </row>
    <row r="554" spans="13:13" ht="12.5">
      <c r="M554" s="25"/>
    </row>
    <row r="555" spans="13:13" ht="12.5">
      <c r="M555" s="25"/>
    </row>
    <row r="556" spans="13:13" ht="12.5">
      <c r="M556" s="25"/>
    </row>
    <row r="557" spans="13:13" ht="12.5">
      <c r="M557" s="25"/>
    </row>
    <row r="558" spans="13:13" ht="12.5">
      <c r="M558" s="25"/>
    </row>
    <row r="559" spans="13:13" ht="12.5">
      <c r="M559" s="25"/>
    </row>
    <row r="560" spans="13:13" ht="12.5">
      <c r="M560" s="25"/>
    </row>
    <row r="561" spans="13:13" ht="12.5">
      <c r="M561" s="25"/>
    </row>
    <row r="562" spans="13:13" ht="12.5">
      <c r="M562" s="25"/>
    </row>
    <row r="563" spans="13:13" ht="12.5">
      <c r="M563" s="25"/>
    </row>
    <row r="564" spans="13:13" ht="12.5">
      <c r="M564" s="25"/>
    </row>
    <row r="565" spans="13:13" ht="12.5">
      <c r="M565" s="25"/>
    </row>
    <row r="566" spans="13:13" ht="12.5">
      <c r="M566" s="25"/>
    </row>
    <row r="567" spans="13:13" ht="12.5">
      <c r="M567" s="25"/>
    </row>
    <row r="568" spans="13:13" ht="12.5">
      <c r="M568" s="25"/>
    </row>
    <row r="569" spans="13:13" ht="12.5">
      <c r="M569" s="25"/>
    </row>
    <row r="570" spans="13:13" ht="12.5">
      <c r="M570" s="25"/>
    </row>
    <row r="571" spans="13:13" ht="12.5">
      <c r="M571" s="25"/>
    </row>
    <row r="572" spans="13:13" ht="12.5">
      <c r="M572" s="25"/>
    </row>
    <row r="573" spans="13:13" ht="12.5">
      <c r="M573" s="25"/>
    </row>
    <row r="574" spans="13:13" ht="12.5">
      <c r="M574" s="25"/>
    </row>
    <row r="575" spans="13:13" ht="12.5">
      <c r="M575" s="25"/>
    </row>
    <row r="576" spans="13:13" ht="12.5">
      <c r="M576" s="25"/>
    </row>
    <row r="577" spans="13:13" ht="12.5">
      <c r="M577" s="25"/>
    </row>
    <row r="578" spans="13:13" ht="12.5">
      <c r="M578" s="25"/>
    </row>
    <row r="579" spans="13:13" ht="12.5">
      <c r="M579" s="25"/>
    </row>
    <row r="580" spans="13:13" ht="12.5">
      <c r="M580" s="25"/>
    </row>
    <row r="581" spans="13:13" ht="12.5">
      <c r="M581" s="25"/>
    </row>
    <row r="582" spans="13:13" ht="12.5">
      <c r="M582" s="25"/>
    </row>
    <row r="583" spans="13:13" ht="12.5">
      <c r="M583" s="25"/>
    </row>
    <row r="584" spans="13:13" ht="12.5">
      <c r="M584" s="25"/>
    </row>
    <row r="585" spans="13:13" ht="12.5">
      <c r="M585" s="25"/>
    </row>
    <row r="586" spans="13:13" ht="12.5">
      <c r="M586" s="25"/>
    </row>
    <row r="587" spans="13:13" ht="12.5">
      <c r="M587" s="25"/>
    </row>
    <row r="588" spans="13:13" ht="12.5">
      <c r="M588" s="25"/>
    </row>
    <row r="589" spans="13:13" ht="12.5">
      <c r="M589" s="25"/>
    </row>
    <row r="590" spans="13:13" ht="12.5">
      <c r="M590" s="25"/>
    </row>
    <row r="591" spans="13:13" ht="12.5">
      <c r="M591" s="25"/>
    </row>
    <row r="592" spans="13:13" ht="12.5">
      <c r="M592" s="25"/>
    </row>
    <row r="593" spans="13:13" ht="12.5">
      <c r="M593" s="25"/>
    </row>
    <row r="594" spans="13:13" ht="12.5">
      <c r="M594" s="25"/>
    </row>
    <row r="595" spans="13:13" ht="12.5">
      <c r="M595" s="25"/>
    </row>
    <row r="596" spans="13:13" ht="12.5">
      <c r="M596" s="25"/>
    </row>
    <row r="597" spans="13:13" ht="12.5">
      <c r="M597" s="25"/>
    </row>
    <row r="598" spans="13:13" ht="12.5">
      <c r="M598" s="25"/>
    </row>
    <row r="599" spans="13:13" ht="12.5">
      <c r="M599" s="25"/>
    </row>
    <row r="600" spans="13:13" ht="12.5">
      <c r="M600" s="25"/>
    </row>
    <row r="601" spans="13:13" ht="12.5">
      <c r="M601" s="25"/>
    </row>
    <row r="602" spans="13:13" ht="12.5">
      <c r="M602" s="25"/>
    </row>
    <row r="603" spans="13:13" ht="12.5">
      <c r="M603" s="25"/>
    </row>
    <row r="604" spans="13:13" ht="12.5">
      <c r="M604" s="25"/>
    </row>
    <row r="605" spans="13:13" ht="12.5">
      <c r="M605" s="25"/>
    </row>
    <row r="606" spans="13:13" ht="12.5">
      <c r="M606" s="25"/>
    </row>
    <row r="607" spans="13:13" ht="12.5">
      <c r="M607" s="25"/>
    </row>
    <row r="608" spans="13:13" ht="12.5">
      <c r="M608" s="25"/>
    </row>
    <row r="609" spans="13:13" ht="12.5">
      <c r="M609" s="25"/>
    </row>
    <row r="610" spans="13:13" ht="12.5">
      <c r="M610" s="25"/>
    </row>
    <row r="611" spans="13:13" ht="12.5">
      <c r="M611" s="25"/>
    </row>
    <row r="612" spans="13:13" ht="12.5">
      <c r="M612" s="25"/>
    </row>
    <row r="613" spans="13:13" ht="12.5">
      <c r="M613" s="25"/>
    </row>
    <row r="614" spans="13:13" ht="12.5">
      <c r="M614" s="25"/>
    </row>
    <row r="615" spans="13:13" ht="12.5">
      <c r="M615" s="25"/>
    </row>
    <row r="616" spans="13:13" ht="12.5">
      <c r="M616" s="25"/>
    </row>
    <row r="617" spans="13:13" ht="12.5">
      <c r="M617" s="25"/>
    </row>
    <row r="618" spans="13:13" ht="12.5">
      <c r="M618" s="25"/>
    </row>
    <row r="619" spans="13:13" ht="12.5">
      <c r="M619" s="25"/>
    </row>
    <row r="620" spans="13:13" ht="12.5">
      <c r="M620" s="25"/>
    </row>
    <row r="621" spans="13:13" ht="12.5">
      <c r="M621" s="25"/>
    </row>
    <row r="622" spans="13:13" ht="12.5">
      <c r="M622" s="25"/>
    </row>
    <row r="623" spans="13:13" ht="12.5">
      <c r="M623" s="25"/>
    </row>
    <row r="624" spans="13:13" ht="12.5">
      <c r="M624" s="25"/>
    </row>
    <row r="625" spans="13:13" ht="12.5">
      <c r="M625" s="25"/>
    </row>
    <row r="626" spans="13:13" ht="12.5">
      <c r="M626" s="25"/>
    </row>
    <row r="627" spans="13:13" ht="12.5">
      <c r="M627" s="25"/>
    </row>
    <row r="628" spans="13:13" ht="12.5">
      <c r="M628" s="25"/>
    </row>
    <row r="629" spans="13:13" ht="12.5">
      <c r="M629" s="25"/>
    </row>
    <row r="630" spans="13:13" ht="12.5">
      <c r="M630" s="25"/>
    </row>
    <row r="631" spans="13:13" ht="12.5">
      <c r="M631" s="25"/>
    </row>
    <row r="632" spans="13:13" ht="12.5">
      <c r="M632" s="25"/>
    </row>
    <row r="633" spans="13:13" ht="12.5">
      <c r="M633" s="25"/>
    </row>
    <row r="634" spans="13:13" ht="12.5">
      <c r="M634" s="25"/>
    </row>
    <row r="635" spans="13:13" ht="12.5">
      <c r="M635" s="25"/>
    </row>
    <row r="636" spans="13:13" ht="12.5">
      <c r="M636" s="25"/>
    </row>
    <row r="637" spans="13:13" ht="12.5">
      <c r="M637" s="25"/>
    </row>
    <row r="638" spans="13:13" ht="12.5">
      <c r="M638" s="25"/>
    </row>
    <row r="639" spans="13:13" ht="12.5">
      <c r="M639" s="25"/>
    </row>
    <row r="640" spans="13:13" ht="12.5">
      <c r="M640" s="25"/>
    </row>
    <row r="641" spans="13:13" ht="12.5">
      <c r="M641" s="25"/>
    </row>
    <row r="642" spans="13:13" ht="12.5">
      <c r="M642" s="25"/>
    </row>
    <row r="643" spans="13:13" ht="12.5">
      <c r="M643" s="25"/>
    </row>
    <row r="644" spans="13:13" ht="12.5">
      <c r="M644" s="25"/>
    </row>
    <row r="645" spans="13:13" ht="12.5">
      <c r="M645" s="25"/>
    </row>
    <row r="646" spans="13:13" ht="12.5">
      <c r="M646" s="25"/>
    </row>
    <row r="647" spans="13:13" ht="12.5">
      <c r="M647" s="25"/>
    </row>
    <row r="648" spans="13:13" ht="12.5">
      <c r="M648" s="25"/>
    </row>
    <row r="649" spans="13:13" ht="12.5">
      <c r="M649" s="25"/>
    </row>
    <row r="650" spans="13:13" ht="12.5">
      <c r="M650" s="25"/>
    </row>
    <row r="651" spans="13:13" ht="12.5">
      <c r="M651" s="25"/>
    </row>
    <row r="652" spans="13:13" ht="12.5">
      <c r="M652" s="25"/>
    </row>
    <row r="653" spans="13:13" ht="12.5">
      <c r="M653" s="25"/>
    </row>
    <row r="654" spans="13:13" ht="12.5">
      <c r="M654" s="25"/>
    </row>
    <row r="655" spans="13:13" ht="12.5">
      <c r="M655" s="25"/>
    </row>
    <row r="656" spans="13:13" ht="12.5">
      <c r="M656" s="25"/>
    </row>
    <row r="657" spans="13:13" ht="12.5">
      <c r="M657" s="25"/>
    </row>
    <row r="658" spans="13:13" ht="12.5">
      <c r="M658" s="25"/>
    </row>
    <row r="659" spans="13:13" ht="12.5">
      <c r="M659" s="25"/>
    </row>
    <row r="660" spans="13:13" ht="12.5">
      <c r="M660" s="25"/>
    </row>
    <row r="661" spans="13:13" ht="12.5">
      <c r="M661" s="25"/>
    </row>
    <row r="662" spans="13:13" ht="12.5">
      <c r="M662" s="25"/>
    </row>
    <row r="663" spans="13:13" ht="12.5">
      <c r="M663" s="25"/>
    </row>
    <row r="664" spans="13:13" ht="12.5">
      <c r="M664" s="25"/>
    </row>
    <row r="665" spans="13:13" ht="12.5">
      <c r="M665" s="25"/>
    </row>
    <row r="666" spans="13:13" ht="12.5">
      <c r="M666" s="25"/>
    </row>
    <row r="667" spans="13:13" ht="12.5">
      <c r="M667" s="25"/>
    </row>
    <row r="668" spans="13:13" ht="12.5">
      <c r="M668" s="25"/>
    </row>
    <row r="669" spans="13:13" ht="12.5">
      <c r="M669" s="25"/>
    </row>
    <row r="670" spans="13:13" ht="12.5">
      <c r="M670" s="25"/>
    </row>
    <row r="671" spans="13:13" ht="12.5">
      <c r="M671" s="25"/>
    </row>
    <row r="672" spans="13:13" ht="12.5">
      <c r="M672" s="25"/>
    </row>
    <row r="673" spans="13:13" ht="12.5">
      <c r="M673" s="25"/>
    </row>
    <row r="674" spans="13:13" ht="12.5">
      <c r="M674" s="25"/>
    </row>
    <row r="675" spans="13:13" ht="12.5">
      <c r="M675" s="25"/>
    </row>
    <row r="676" spans="13:13" ht="12.5">
      <c r="M676" s="25"/>
    </row>
    <row r="677" spans="13:13" ht="12.5">
      <c r="M677" s="25"/>
    </row>
    <row r="678" spans="13:13" ht="12.5">
      <c r="M678" s="25"/>
    </row>
    <row r="679" spans="13:13" ht="12.5">
      <c r="M679" s="25"/>
    </row>
    <row r="680" spans="13:13" ht="12.5">
      <c r="M680" s="25"/>
    </row>
    <row r="681" spans="13:13" ht="12.5">
      <c r="M681" s="25"/>
    </row>
    <row r="682" spans="13:13" ht="12.5">
      <c r="M682" s="25"/>
    </row>
    <row r="683" spans="13:13" ht="12.5">
      <c r="M683" s="25"/>
    </row>
    <row r="684" spans="13:13" ht="12.5">
      <c r="M684" s="25"/>
    </row>
    <row r="685" spans="13:13" ht="12.5">
      <c r="M685" s="25"/>
    </row>
    <row r="686" spans="13:13" ht="12.5">
      <c r="M686" s="25"/>
    </row>
    <row r="687" spans="13:13" ht="12.5">
      <c r="M687" s="25"/>
    </row>
    <row r="688" spans="13:13" ht="12.5">
      <c r="M688" s="25"/>
    </row>
    <row r="689" spans="13:13" ht="12.5">
      <c r="M689" s="25"/>
    </row>
    <row r="690" spans="13:13" ht="12.5">
      <c r="M690" s="25"/>
    </row>
    <row r="691" spans="13:13" ht="12.5">
      <c r="M691" s="25"/>
    </row>
    <row r="692" spans="13:13" ht="12.5">
      <c r="M692" s="25"/>
    </row>
    <row r="693" spans="13:13" ht="12.5">
      <c r="M693" s="25"/>
    </row>
    <row r="694" spans="13:13" ht="12.5">
      <c r="M694" s="25"/>
    </row>
    <row r="695" spans="13:13" ht="12.5">
      <c r="M695" s="25"/>
    </row>
    <row r="696" spans="13:13" ht="12.5">
      <c r="M696" s="25"/>
    </row>
    <row r="697" spans="13:13" ht="12.5">
      <c r="M697" s="25"/>
    </row>
    <row r="698" spans="13:13" ht="12.5">
      <c r="M698" s="25"/>
    </row>
    <row r="699" spans="13:13" ht="12.5">
      <c r="M699" s="25"/>
    </row>
    <row r="700" spans="13:13" ht="12.5">
      <c r="M700" s="25"/>
    </row>
    <row r="701" spans="13:13" ht="12.5">
      <c r="M701" s="25"/>
    </row>
    <row r="702" spans="13:13" ht="12.5">
      <c r="M702" s="25"/>
    </row>
    <row r="703" spans="13:13" ht="12.5">
      <c r="M703" s="25"/>
    </row>
    <row r="704" spans="13:13" ht="12.5">
      <c r="M704" s="25"/>
    </row>
    <row r="705" spans="13:13" ht="12.5">
      <c r="M705" s="25"/>
    </row>
    <row r="706" spans="13:13" ht="12.5">
      <c r="M706" s="25"/>
    </row>
    <row r="707" spans="13:13" ht="12.5">
      <c r="M707" s="25"/>
    </row>
    <row r="708" spans="13:13" ht="12.5">
      <c r="M708" s="25"/>
    </row>
    <row r="709" spans="13:13" ht="12.5">
      <c r="M709" s="25"/>
    </row>
    <row r="710" spans="13:13" ht="12.5">
      <c r="M710" s="25"/>
    </row>
    <row r="711" spans="13:13" ht="12.5">
      <c r="M711" s="25"/>
    </row>
    <row r="712" spans="13:13" ht="12.5">
      <c r="M712" s="25"/>
    </row>
    <row r="713" spans="13:13" ht="12.5">
      <c r="M713" s="25"/>
    </row>
    <row r="714" spans="13:13" ht="12.5">
      <c r="M714" s="25"/>
    </row>
    <row r="715" spans="13:13" ht="12.5">
      <c r="M715" s="25"/>
    </row>
    <row r="716" spans="13:13" ht="12.5">
      <c r="M716" s="25"/>
    </row>
    <row r="717" spans="13:13" ht="12.5">
      <c r="M717" s="25"/>
    </row>
    <row r="718" spans="13:13" ht="12.5">
      <c r="M718" s="25"/>
    </row>
    <row r="719" spans="13:13" ht="12.5">
      <c r="M719" s="25"/>
    </row>
    <row r="720" spans="13:13" ht="12.5">
      <c r="M720" s="25"/>
    </row>
    <row r="721" spans="13:13" ht="12.5">
      <c r="M721" s="25"/>
    </row>
    <row r="722" spans="13:13" ht="12.5">
      <c r="M722" s="25"/>
    </row>
    <row r="723" spans="13:13" ht="12.5">
      <c r="M723" s="25"/>
    </row>
    <row r="724" spans="13:13" ht="12.5">
      <c r="M724" s="25"/>
    </row>
    <row r="725" spans="13:13" ht="12.5">
      <c r="M725" s="25"/>
    </row>
    <row r="726" spans="13:13" ht="12.5">
      <c r="M726" s="25"/>
    </row>
    <row r="727" spans="13:13" ht="12.5">
      <c r="M727" s="25"/>
    </row>
    <row r="728" spans="13:13" ht="12.5">
      <c r="M728" s="25"/>
    </row>
    <row r="729" spans="13:13" ht="12.5">
      <c r="M729" s="25"/>
    </row>
    <row r="730" spans="13:13" ht="12.5">
      <c r="M730" s="25"/>
    </row>
    <row r="731" spans="13:13" ht="12.5">
      <c r="M731" s="25"/>
    </row>
    <row r="732" spans="13:13" ht="12.5">
      <c r="M732" s="25"/>
    </row>
    <row r="733" spans="13:13" ht="12.5">
      <c r="M733" s="25"/>
    </row>
    <row r="734" spans="13:13" ht="12.5">
      <c r="M734" s="25"/>
    </row>
    <row r="735" spans="13:13" ht="12.5">
      <c r="M735" s="25"/>
    </row>
    <row r="736" spans="13:13" ht="12.5">
      <c r="M736" s="25"/>
    </row>
    <row r="737" spans="13:13" ht="12.5">
      <c r="M737" s="25"/>
    </row>
    <row r="738" spans="13:13" ht="12.5">
      <c r="M738" s="25"/>
    </row>
    <row r="739" spans="13:13" ht="12.5">
      <c r="M739" s="25"/>
    </row>
    <row r="740" spans="13:13" ht="12.5">
      <c r="M740" s="25"/>
    </row>
    <row r="741" spans="13:13" ht="12.5">
      <c r="M741" s="25"/>
    </row>
    <row r="742" spans="13:13" ht="12.5">
      <c r="M742" s="25"/>
    </row>
    <row r="743" spans="13:13" ht="12.5">
      <c r="M743" s="25"/>
    </row>
    <row r="744" spans="13:13" ht="12.5">
      <c r="M744" s="25"/>
    </row>
    <row r="745" spans="13:13" ht="12.5">
      <c r="M745" s="25"/>
    </row>
    <row r="746" spans="13:13" ht="12.5">
      <c r="M746" s="25"/>
    </row>
    <row r="747" spans="13:13" ht="12.5">
      <c r="M747" s="25"/>
    </row>
    <row r="748" spans="13:13" ht="12.5">
      <c r="M748" s="25"/>
    </row>
    <row r="749" spans="13:13" ht="12.5">
      <c r="M749" s="25"/>
    </row>
    <row r="750" spans="13:13" ht="12.5">
      <c r="M750" s="25"/>
    </row>
    <row r="751" spans="13:13" ht="12.5">
      <c r="M751" s="25"/>
    </row>
    <row r="752" spans="13:13" ht="12.5">
      <c r="M752" s="25"/>
    </row>
    <row r="753" spans="13:13" ht="12.5">
      <c r="M753" s="25"/>
    </row>
    <row r="754" spans="13:13" ht="12.5">
      <c r="M754" s="25"/>
    </row>
    <row r="755" spans="13:13" ht="12.5">
      <c r="M755" s="25"/>
    </row>
    <row r="756" spans="13:13" ht="12.5">
      <c r="M756" s="25"/>
    </row>
    <row r="757" spans="13:13" ht="12.5">
      <c r="M757" s="25"/>
    </row>
    <row r="758" spans="13:13" ht="12.5">
      <c r="M758" s="25"/>
    </row>
    <row r="759" spans="13:13" ht="12.5">
      <c r="M759" s="25"/>
    </row>
    <row r="760" spans="13:13" ht="12.5">
      <c r="M760" s="25"/>
    </row>
    <row r="761" spans="13:13" ht="12.5">
      <c r="M761" s="25"/>
    </row>
    <row r="762" spans="13:13" ht="12.5">
      <c r="M762" s="25"/>
    </row>
    <row r="763" spans="13:13" ht="12.5">
      <c r="M763" s="25"/>
    </row>
    <row r="764" spans="13:13" ht="12.5">
      <c r="M764" s="25"/>
    </row>
    <row r="765" spans="13:13" ht="12.5">
      <c r="M765" s="25"/>
    </row>
    <row r="766" spans="13:13" ht="12.5">
      <c r="M766" s="25"/>
    </row>
    <row r="767" spans="13:13" ht="12.5">
      <c r="M767" s="25"/>
    </row>
    <row r="768" spans="13:13" ht="12.5">
      <c r="M768" s="25"/>
    </row>
    <row r="769" spans="13:13" ht="12.5">
      <c r="M769" s="25"/>
    </row>
    <row r="770" spans="13:13" ht="12.5">
      <c r="M770" s="25"/>
    </row>
    <row r="771" spans="13:13" ht="12.5">
      <c r="M771" s="25"/>
    </row>
    <row r="772" spans="13:13" ht="12.5">
      <c r="M772" s="25"/>
    </row>
    <row r="773" spans="13:13" ht="12.5">
      <c r="M773" s="25"/>
    </row>
    <row r="774" spans="13:13" ht="12.5">
      <c r="M774" s="25"/>
    </row>
    <row r="775" spans="13:13" ht="12.5">
      <c r="M775" s="25"/>
    </row>
    <row r="776" spans="13:13" ht="12.5">
      <c r="M776" s="25"/>
    </row>
    <row r="777" spans="13:13" ht="12.5">
      <c r="M777" s="25"/>
    </row>
    <row r="778" spans="13:13" ht="12.5">
      <c r="M778" s="25"/>
    </row>
    <row r="779" spans="13:13" ht="12.5">
      <c r="M779" s="25"/>
    </row>
    <row r="780" spans="13:13" ht="12.5">
      <c r="M780" s="25"/>
    </row>
    <row r="781" spans="13:13" ht="12.5">
      <c r="M781" s="25"/>
    </row>
    <row r="782" spans="13:13" ht="12.5">
      <c r="M782" s="25"/>
    </row>
    <row r="783" spans="13:13" ht="12.5">
      <c r="M783" s="25"/>
    </row>
    <row r="784" spans="13:13" ht="12.5">
      <c r="M784" s="25"/>
    </row>
    <row r="785" spans="13:13" ht="12.5">
      <c r="M785" s="25"/>
    </row>
    <row r="786" spans="13:13" ht="12.5">
      <c r="M786" s="25"/>
    </row>
    <row r="787" spans="13:13" ht="12.5">
      <c r="M787" s="25"/>
    </row>
    <row r="788" spans="13:13" ht="12.5">
      <c r="M788" s="25"/>
    </row>
    <row r="789" spans="13:13" ht="12.5">
      <c r="M789" s="25"/>
    </row>
    <row r="790" spans="13:13" ht="12.5">
      <c r="M790" s="25"/>
    </row>
    <row r="791" spans="13:13" ht="12.5">
      <c r="M791" s="25"/>
    </row>
    <row r="792" spans="13:13" ht="12.5">
      <c r="M792" s="25"/>
    </row>
    <row r="793" spans="13:13" ht="12.5">
      <c r="M793" s="25"/>
    </row>
    <row r="794" spans="13:13" ht="12.5">
      <c r="M794" s="25"/>
    </row>
    <row r="795" spans="13:13" ht="12.5">
      <c r="M795" s="25"/>
    </row>
    <row r="796" spans="13:13" ht="12.5">
      <c r="M796" s="25"/>
    </row>
    <row r="797" spans="13:13" ht="12.5">
      <c r="M797" s="25"/>
    </row>
    <row r="798" spans="13:13" ht="12.5">
      <c r="M798" s="25"/>
    </row>
    <row r="799" spans="13:13" ht="12.5">
      <c r="M799" s="25"/>
    </row>
    <row r="800" spans="13:13" ht="12.5">
      <c r="M800" s="25"/>
    </row>
    <row r="801" spans="13:13" ht="12.5">
      <c r="M801" s="25"/>
    </row>
    <row r="802" spans="13:13" ht="12.5">
      <c r="M802" s="25"/>
    </row>
    <row r="803" spans="13:13" ht="12.5">
      <c r="M803" s="25"/>
    </row>
    <row r="804" spans="13:13" ht="12.5">
      <c r="M804" s="25"/>
    </row>
    <row r="805" spans="13:13" ht="12.5">
      <c r="M805" s="25"/>
    </row>
    <row r="806" spans="13:13" ht="12.5">
      <c r="M806" s="25"/>
    </row>
    <row r="807" spans="13:13" ht="12.5">
      <c r="M807" s="25"/>
    </row>
    <row r="808" spans="13:13" ht="12.5">
      <c r="M808" s="25"/>
    </row>
    <row r="809" spans="13:13" ht="12.5">
      <c r="M809" s="25"/>
    </row>
    <row r="810" spans="13:13" ht="12.5">
      <c r="M810" s="25"/>
    </row>
    <row r="811" spans="13:13" ht="12.5">
      <c r="M811" s="25"/>
    </row>
    <row r="812" spans="13:13" ht="12.5">
      <c r="M812" s="25"/>
    </row>
    <row r="813" spans="13:13" ht="12.5">
      <c r="M813" s="25"/>
    </row>
    <row r="814" spans="13:13" ht="12.5">
      <c r="M814" s="25"/>
    </row>
    <row r="815" spans="13:13" ht="12.5">
      <c r="M815" s="25"/>
    </row>
    <row r="816" spans="13:13" ht="12.5">
      <c r="M816" s="25"/>
    </row>
    <row r="817" spans="13:13" ht="12.5">
      <c r="M817" s="25"/>
    </row>
    <row r="818" spans="13:13" ht="12.5">
      <c r="M818" s="25"/>
    </row>
    <row r="819" spans="13:13" ht="12.5">
      <c r="M819" s="25"/>
    </row>
    <row r="820" spans="13:13" ht="12.5">
      <c r="M820" s="25"/>
    </row>
    <row r="821" spans="13:13" ht="12.5">
      <c r="M821" s="25"/>
    </row>
    <row r="822" spans="13:13" ht="12.5">
      <c r="M822" s="25"/>
    </row>
    <row r="823" spans="13:13" ht="12.5">
      <c r="M823" s="25"/>
    </row>
    <row r="824" spans="13:13" ht="12.5">
      <c r="M824" s="25"/>
    </row>
    <row r="825" spans="13:13" ht="12.5">
      <c r="M825" s="25"/>
    </row>
    <row r="826" spans="13:13" ht="12.5">
      <c r="M826" s="25"/>
    </row>
    <row r="827" spans="13:13" ht="12.5">
      <c r="M827" s="25"/>
    </row>
    <row r="828" spans="13:13" ht="12.5">
      <c r="M828" s="25"/>
    </row>
    <row r="829" spans="13:13" ht="12.5">
      <c r="M829" s="25"/>
    </row>
    <row r="830" spans="13:13" ht="12.5">
      <c r="M830" s="25"/>
    </row>
    <row r="831" spans="13:13" ht="12.5">
      <c r="M831" s="25"/>
    </row>
    <row r="832" spans="13:13" ht="12.5">
      <c r="M832" s="25"/>
    </row>
    <row r="833" spans="13:13" ht="12.5">
      <c r="M833" s="25"/>
    </row>
    <row r="834" spans="13:13" ht="12.5">
      <c r="M834" s="25"/>
    </row>
    <row r="835" spans="13:13" ht="12.5">
      <c r="M835" s="25"/>
    </row>
    <row r="836" spans="13:13" ht="12.5">
      <c r="M836" s="25"/>
    </row>
    <row r="837" spans="13:13" ht="12.5">
      <c r="M837" s="25"/>
    </row>
    <row r="838" spans="13:13" ht="12.5">
      <c r="M838" s="25"/>
    </row>
    <row r="839" spans="13:13" ht="12.5">
      <c r="M839" s="25"/>
    </row>
    <row r="840" spans="13:13" ht="12.5">
      <c r="M840" s="25"/>
    </row>
    <row r="841" spans="13:13" ht="12.5">
      <c r="M841" s="25"/>
    </row>
    <row r="842" spans="13:13" ht="12.5">
      <c r="M842" s="25"/>
    </row>
    <row r="843" spans="13:13" ht="12.5">
      <c r="M843" s="25"/>
    </row>
    <row r="844" spans="13:13" ht="12.5">
      <c r="M844" s="25"/>
    </row>
    <row r="845" spans="13:13" ht="12.5">
      <c r="M845" s="25"/>
    </row>
    <row r="846" spans="13:13" ht="12.5">
      <c r="M846" s="25"/>
    </row>
    <row r="847" spans="13:13" ht="12.5">
      <c r="M847" s="25"/>
    </row>
    <row r="848" spans="13:13" ht="12.5">
      <c r="M848" s="25"/>
    </row>
    <row r="849" spans="13:13" ht="12.5">
      <c r="M849" s="25"/>
    </row>
    <row r="850" spans="13:13" ht="12.5">
      <c r="M850" s="25"/>
    </row>
    <row r="851" spans="13:13" ht="12.5">
      <c r="M851" s="25"/>
    </row>
    <row r="852" spans="13:13" ht="12.5">
      <c r="M852" s="25"/>
    </row>
    <row r="853" spans="13:13" ht="12.5">
      <c r="M853" s="25"/>
    </row>
    <row r="854" spans="13:13" ht="12.5">
      <c r="M854" s="25"/>
    </row>
    <row r="855" spans="13:13" ht="12.5">
      <c r="M855" s="25"/>
    </row>
    <row r="856" spans="13:13" ht="12.5">
      <c r="M856" s="25"/>
    </row>
    <row r="857" spans="13:13" ht="12.5">
      <c r="M857" s="25"/>
    </row>
    <row r="858" spans="13:13" ht="12.5">
      <c r="M858" s="25"/>
    </row>
    <row r="859" spans="13:13" ht="12.5">
      <c r="M859" s="25"/>
    </row>
    <row r="860" spans="13:13" ht="12.5">
      <c r="M860" s="25"/>
    </row>
    <row r="861" spans="13:13" ht="12.5">
      <c r="M861" s="25"/>
    </row>
    <row r="862" spans="13:13" ht="12.5">
      <c r="M862" s="25"/>
    </row>
    <row r="863" spans="13:13" ht="12.5">
      <c r="M863" s="25"/>
    </row>
    <row r="864" spans="13:13" ht="12.5">
      <c r="M864" s="25"/>
    </row>
    <row r="865" spans="13:13" ht="12.5">
      <c r="M865" s="25"/>
    </row>
    <row r="866" spans="13:13" ht="12.5">
      <c r="M866" s="25"/>
    </row>
    <row r="867" spans="13:13" ht="12.5">
      <c r="M867" s="25"/>
    </row>
    <row r="868" spans="13:13" ht="12.5">
      <c r="M868" s="25"/>
    </row>
    <row r="869" spans="13:13" ht="12.5">
      <c r="M869" s="25"/>
    </row>
    <row r="870" spans="13:13" ht="12.5">
      <c r="M870" s="25"/>
    </row>
    <row r="871" spans="13:13" ht="12.5">
      <c r="M871" s="25"/>
    </row>
    <row r="872" spans="13:13" ht="12.5">
      <c r="M872" s="25"/>
    </row>
    <row r="873" spans="13:13" ht="12.5">
      <c r="M873" s="25"/>
    </row>
    <row r="874" spans="13:13" ht="12.5">
      <c r="M874" s="25"/>
    </row>
    <row r="875" spans="13:13" ht="12.5">
      <c r="M875" s="25"/>
    </row>
    <row r="876" spans="13:13" ht="12.5">
      <c r="M876" s="25"/>
    </row>
    <row r="877" spans="13:13" ht="12.5">
      <c r="M877" s="25"/>
    </row>
    <row r="878" spans="13:13" ht="12.5">
      <c r="M878" s="25"/>
    </row>
    <row r="879" spans="13:13" ht="12.5">
      <c r="M879" s="25"/>
    </row>
    <row r="880" spans="13:13" ht="12.5">
      <c r="M880" s="25"/>
    </row>
    <row r="881" spans="13:13" ht="12.5">
      <c r="M881" s="25"/>
    </row>
    <row r="882" spans="13:13" ht="12.5">
      <c r="M882" s="25"/>
    </row>
    <row r="883" spans="13:13" ht="12.5">
      <c r="M883" s="25"/>
    </row>
    <row r="884" spans="13:13" ht="12.5">
      <c r="M884" s="25"/>
    </row>
    <row r="885" spans="13:13" ht="12.5">
      <c r="M885" s="25"/>
    </row>
    <row r="886" spans="13:13" ht="12.5">
      <c r="M886" s="25"/>
    </row>
    <row r="887" spans="13:13" ht="12.5">
      <c r="M887" s="25"/>
    </row>
    <row r="888" spans="13:13" ht="12.5">
      <c r="M888" s="25"/>
    </row>
    <row r="889" spans="13:13" ht="12.5">
      <c r="M889" s="25"/>
    </row>
    <row r="890" spans="13:13" ht="12.5">
      <c r="M890" s="25"/>
    </row>
    <row r="891" spans="13:13" ht="12.5">
      <c r="M891" s="25"/>
    </row>
    <row r="892" spans="13:13" ht="12.5">
      <c r="M892" s="25"/>
    </row>
    <row r="893" spans="13:13" ht="12.5">
      <c r="M893" s="25"/>
    </row>
    <row r="894" spans="13:13" ht="12.5">
      <c r="M894" s="25"/>
    </row>
    <row r="895" spans="13:13" ht="12.5">
      <c r="M895" s="25"/>
    </row>
    <row r="896" spans="13:13" ht="12.5">
      <c r="M896" s="25"/>
    </row>
    <row r="897" spans="13:13" ht="12.5">
      <c r="M897" s="25"/>
    </row>
    <row r="898" spans="13:13" ht="12.5">
      <c r="M898" s="25"/>
    </row>
    <row r="899" spans="13:13" ht="12.5">
      <c r="M899" s="25"/>
    </row>
    <row r="900" spans="13:13" ht="12.5">
      <c r="M900" s="25"/>
    </row>
    <row r="901" spans="13:13" ht="12.5">
      <c r="M901" s="25"/>
    </row>
    <row r="902" spans="13:13" ht="12.5">
      <c r="M902" s="25"/>
    </row>
    <row r="903" spans="13:13" ht="12.5">
      <c r="M903" s="25"/>
    </row>
    <row r="904" spans="13:13" ht="12.5">
      <c r="M904" s="25"/>
    </row>
    <row r="905" spans="13:13" ht="12.5">
      <c r="M905" s="25"/>
    </row>
    <row r="906" spans="13:13" ht="12.5">
      <c r="M906" s="25"/>
    </row>
    <row r="907" spans="13:13" ht="12.5">
      <c r="M907" s="25"/>
    </row>
    <row r="908" spans="13:13" ht="12.5">
      <c r="M908" s="25"/>
    </row>
    <row r="909" spans="13:13" ht="12.5">
      <c r="M909" s="25"/>
    </row>
    <row r="910" spans="13:13" ht="12.5">
      <c r="M910" s="25"/>
    </row>
    <row r="911" spans="13:13" ht="12.5">
      <c r="M911" s="25"/>
    </row>
    <row r="912" spans="13:13" ht="12.5">
      <c r="M912" s="25"/>
    </row>
    <row r="913" spans="13:13" ht="12.5">
      <c r="M913" s="25"/>
    </row>
    <row r="914" spans="13:13" ht="12.5">
      <c r="M914" s="25"/>
    </row>
    <row r="915" spans="13:13" ht="12.5">
      <c r="M915" s="25"/>
    </row>
    <row r="916" spans="13:13" ht="12.5">
      <c r="M916" s="25"/>
    </row>
    <row r="917" spans="13:13" ht="12.5">
      <c r="M917" s="25"/>
    </row>
    <row r="918" spans="13:13" ht="12.5">
      <c r="M918" s="25"/>
    </row>
    <row r="919" spans="13:13" ht="12.5">
      <c r="M919" s="25"/>
    </row>
    <row r="920" spans="13:13" ht="12.5">
      <c r="M920" s="25"/>
    </row>
    <row r="921" spans="13:13" ht="12.5">
      <c r="M921" s="25"/>
    </row>
    <row r="922" spans="13:13" ht="12.5">
      <c r="M922" s="25"/>
    </row>
    <row r="923" spans="13:13" ht="12.5">
      <c r="M923" s="25"/>
    </row>
    <row r="924" spans="13:13" ht="12.5">
      <c r="M924" s="25"/>
    </row>
    <row r="925" spans="13:13" ht="12.5">
      <c r="M925" s="25"/>
    </row>
    <row r="926" spans="13:13" ht="12.5">
      <c r="M926" s="25"/>
    </row>
    <row r="927" spans="13:13" ht="12.5">
      <c r="M927" s="25"/>
    </row>
    <row r="928" spans="13:13" ht="12.5">
      <c r="M928" s="25"/>
    </row>
    <row r="929" spans="13:13" ht="12.5">
      <c r="M929" s="25"/>
    </row>
    <row r="930" spans="13:13" ht="12.5">
      <c r="M930" s="25"/>
    </row>
    <row r="931" spans="13:13" ht="12.5">
      <c r="M931" s="25"/>
    </row>
    <row r="932" spans="13:13" ht="12.5">
      <c r="M932" s="25"/>
    </row>
    <row r="933" spans="13:13" ht="12.5">
      <c r="M933" s="25"/>
    </row>
    <row r="934" spans="13:13" ht="12.5">
      <c r="M934" s="25"/>
    </row>
    <row r="935" spans="13:13" ht="12.5">
      <c r="M935" s="25"/>
    </row>
    <row r="936" spans="13:13" ht="12.5">
      <c r="M936" s="25"/>
    </row>
    <row r="937" spans="13:13" ht="12.5">
      <c r="M937" s="25"/>
    </row>
    <row r="938" spans="13:13" ht="12.5">
      <c r="M938" s="25"/>
    </row>
    <row r="939" spans="13:13" ht="12.5">
      <c r="M939" s="25"/>
    </row>
    <row r="940" spans="13:13" ht="12.5">
      <c r="M940" s="25"/>
    </row>
    <row r="941" spans="13:13" ht="12.5">
      <c r="M941" s="25"/>
    </row>
    <row r="942" spans="13:13" ht="12.5">
      <c r="M942" s="25"/>
    </row>
    <row r="943" spans="13:13" ht="12.5">
      <c r="M943" s="25"/>
    </row>
    <row r="944" spans="13:13" ht="12.5">
      <c r="M944" s="25"/>
    </row>
    <row r="945" spans="13:13" ht="12.5">
      <c r="M945" s="25"/>
    </row>
    <row r="946" spans="13:13" ht="12.5">
      <c r="M946" s="25"/>
    </row>
    <row r="947" spans="13:13" ht="12.5">
      <c r="M947" s="25"/>
    </row>
    <row r="948" spans="13:13" ht="12.5">
      <c r="M948" s="25"/>
    </row>
    <row r="949" spans="13:13" ht="12.5">
      <c r="M949" s="25"/>
    </row>
    <row r="950" spans="13:13" ht="12.5">
      <c r="M950" s="25"/>
    </row>
    <row r="951" spans="13:13" ht="12.5">
      <c r="M951" s="25"/>
    </row>
    <row r="952" spans="13:13" ht="12.5">
      <c r="M952" s="25"/>
    </row>
    <row r="953" spans="13:13" ht="12.5">
      <c r="M953" s="25"/>
    </row>
    <row r="954" spans="13:13" ht="12.5">
      <c r="M954" s="25"/>
    </row>
    <row r="955" spans="13:13" ht="12.5">
      <c r="M955" s="25"/>
    </row>
    <row r="956" spans="13:13" ht="12.5">
      <c r="M956" s="25"/>
    </row>
    <row r="957" spans="13:13" ht="12.5">
      <c r="M957" s="25"/>
    </row>
    <row r="958" spans="13:13" ht="12.5">
      <c r="M958" s="25"/>
    </row>
    <row r="959" spans="13:13" ht="12.5">
      <c r="M959" s="25"/>
    </row>
    <row r="960" spans="13:13" ht="12.5">
      <c r="M960" s="25"/>
    </row>
    <row r="961" spans="13:13" ht="12.5">
      <c r="M961" s="25"/>
    </row>
    <row r="962" spans="13:13" ht="12.5">
      <c r="M962" s="25"/>
    </row>
    <row r="963" spans="13:13" ht="12.5">
      <c r="M963" s="25"/>
    </row>
    <row r="964" spans="13:13" ht="12.5">
      <c r="M964" s="25"/>
    </row>
    <row r="965" spans="13:13" ht="12.5">
      <c r="M965" s="25"/>
    </row>
    <row r="966" spans="13:13" ht="12.5">
      <c r="M966" s="25"/>
    </row>
    <row r="967" spans="13:13" ht="12.5">
      <c r="M967" s="25"/>
    </row>
    <row r="968" spans="13:13" ht="12.5">
      <c r="M968" s="25"/>
    </row>
    <row r="969" spans="13:13" ht="12.5">
      <c r="M969" s="25"/>
    </row>
    <row r="970" spans="13:13" ht="12.5">
      <c r="M970" s="25"/>
    </row>
    <row r="971" spans="13:13" ht="12.5">
      <c r="M971" s="25"/>
    </row>
    <row r="972" spans="13:13" ht="12.5">
      <c r="M972" s="25"/>
    </row>
    <row r="973" spans="13:13" ht="12.5">
      <c r="M973" s="25"/>
    </row>
    <row r="974" spans="13:13" ht="12.5">
      <c r="M974" s="25"/>
    </row>
    <row r="975" spans="13:13" ht="12.5">
      <c r="M975" s="25"/>
    </row>
    <row r="976" spans="13:13" ht="12.5">
      <c r="M976" s="25"/>
    </row>
    <row r="977" spans="13:13" ht="12.5">
      <c r="M977" s="25"/>
    </row>
    <row r="978" spans="13:13" ht="12.5">
      <c r="M978" s="25"/>
    </row>
    <row r="979" spans="13:13" ht="12.5">
      <c r="M979" s="25"/>
    </row>
    <row r="980" spans="13:13" ht="12.5">
      <c r="M980" s="25"/>
    </row>
    <row r="981" spans="13:13" ht="12.5">
      <c r="M981" s="25"/>
    </row>
    <row r="982" spans="13:13" ht="12.5">
      <c r="M982" s="25"/>
    </row>
    <row r="983" spans="13:13" ht="12.5">
      <c r="M983" s="25"/>
    </row>
    <row r="984" spans="13:13" ht="12.5">
      <c r="M984" s="25"/>
    </row>
    <row r="985" spans="13:13" ht="12.5">
      <c r="M985" s="25"/>
    </row>
    <row r="986" spans="13:13" ht="12.5">
      <c r="M986" s="25"/>
    </row>
    <row r="987" spans="13:13" ht="12.5">
      <c r="M987" s="25"/>
    </row>
    <row r="988" spans="13:13" ht="12.5">
      <c r="M988" s="25"/>
    </row>
    <row r="989" spans="13:13" ht="12.5">
      <c r="M989" s="25"/>
    </row>
    <row r="990" spans="13:13" ht="12.5">
      <c r="M990" s="25"/>
    </row>
    <row r="991" spans="13:13" ht="12.5">
      <c r="M991" s="25"/>
    </row>
    <row r="992" spans="13:13" ht="12.5">
      <c r="M992" s="25"/>
    </row>
    <row r="993" spans="13:13" ht="12.5">
      <c r="M993" s="25"/>
    </row>
    <row r="994" spans="13:13" ht="12.5">
      <c r="M994" s="25"/>
    </row>
    <row r="995" spans="13:13" ht="12.5">
      <c r="M995" s="25"/>
    </row>
    <row r="996" spans="13:13" ht="12.5">
      <c r="M996" s="25"/>
    </row>
    <row r="997" spans="13:13" ht="12.5">
      <c r="M997" s="25"/>
    </row>
    <row r="998" spans="13:13" ht="12.5">
      <c r="M998" s="25"/>
    </row>
    <row r="999" spans="13:13" ht="12.5">
      <c r="M999" s="25"/>
    </row>
    <row r="1000" spans="13:13" ht="12.5">
      <c r="M1000" s="25"/>
    </row>
    <row r="1001" spans="13:13" ht="12.5">
      <c r="M1001" s="25"/>
    </row>
    <row r="1002" spans="13:13" ht="12.5">
      <c r="M1002" s="25"/>
    </row>
    <row r="1003" spans="13:13" ht="12.5">
      <c r="M1003" s="25"/>
    </row>
    <row r="1004" spans="13:13" ht="12.5">
      <c r="M1004" s="25"/>
    </row>
    <row r="1005" spans="13:13" ht="12.5">
      <c r="M1005" s="25"/>
    </row>
    <row r="1006" spans="13:13" ht="12.5">
      <c r="M1006" s="25"/>
    </row>
    <row r="1007" spans="13:13" ht="12.5">
      <c r="M1007" s="25"/>
    </row>
    <row r="1008" spans="13:13" ht="12.5">
      <c r="M1008" s="25"/>
    </row>
    <row r="1009" spans="13:13" ht="12.5">
      <c r="M1009" s="25"/>
    </row>
    <row r="1010" spans="13:13" ht="12.5">
      <c r="M1010" s="25"/>
    </row>
    <row r="1011" spans="13:13" ht="12.5">
      <c r="M1011" s="25"/>
    </row>
    <row r="1012" spans="13:13" ht="12.5">
      <c r="M1012" s="25"/>
    </row>
    <row r="1013" spans="13:13" ht="12.5">
      <c r="M1013" s="25"/>
    </row>
    <row r="1014" spans="13:13" ht="12.5">
      <c r="M1014" s="25"/>
    </row>
    <row r="1015" spans="13:13" ht="12.5">
      <c r="M1015" s="25"/>
    </row>
    <row r="1016" spans="13:13" ht="12.5">
      <c r="M1016" s="25"/>
    </row>
    <row r="1017" spans="13:13" ht="12.5">
      <c r="M1017" s="25"/>
    </row>
    <row r="1018" spans="13:13" ht="12.5">
      <c r="M1018" s="25"/>
    </row>
    <row r="1019" spans="13:13" ht="12.5">
      <c r="M1019" s="25"/>
    </row>
    <row r="1020" spans="13:13" ht="12.5">
      <c r="M1020" s="25"/>
    </row>
    <row r="1021" spans="13:13" ht="12.5">
      <c r="M1021" s="25"/>
    </row>
    <row r="1022" spans="13:13" ht="12.5">
      <c r="M1022" s="25"/>
    </row>
    <row r="1023" spans="13:13" ht="12.5">
      <c r="M1023" s="25"/>
    </row>
    <row r="1024" spans="13:13" ht="12.5">
      <c r="M1024" s="25"/>
    </row>
    <row r="1025" spans="13:13" ht="12.5">
      <c r="M1025" s="25"/>
    </row>
    <row r="1026" spans="13:13" ht="12.5">
      <c r="M1026" s="25"/>
    </row>
    <row r="1027" spans="13:13" ht="12.5">
      <c r="M1027" s="25"/>
    </row>
    <row r="1028" spans="13:13" ht="12.5">
      <c r="M1028" s="25"/>
    </row>
    <row r="1029" spans="13:13" ht="12.5">
      <c r="M1029" s="25"/>
    </row>
    <row r="1030" spans="13:13" ht="12.5">
      <c r="M1030" s="25"/>
    </row>
    <row r="1031" spans="13:13" ht="12.5">
      <c r="M1031" s="25"/>
    </row>
    <row r="1032" spans="13:13" ht="12.5">
      <c r="M1032" s="25"/>
    </row>
    <row r="1033" spans="13:13" ht="12.5">
      <c r="M1033" s="25"/>
    </row>
    <row r="1034" spans="13:13" ht="12.5">
      <c r="M1034" s="25"/>
    </row>
    <row r="1035" spans="13:13" ht="12.5">
      <c r="M1035" s="25"/>
    </row>
    <row r="1036" spans="13:13" ht="12.5">
      <c r="M1036" s="25"/>
    </row>
    <row r="1037" spans="13:13" ht="12.5">
      <c r="M1037" s="25"/>
    </row>
    <row r="1038" spans="13:13" ht="12.5">
      <c r="M1038" s="25"/>
    </row>
    <row r="1039" spans="13:13" ht="12.5">
      <c r="M1039" s="25"/>
    </row>
    <row r="1040" spans="13:13" ht="12.5">
      <c r="M1040" s="25"/>
    </row>
    <row r="1041" spans="13:13" ht="12.5">
      <c r="M1041" s="25"/>
    </row>
    <row r="1042" spans="13:13" ht="12.5">
      <c r="M1042" s="25"/>
    </row>
    <row r="1043" spans="13:13" ht="12.5">
      <c r="M1043" s="25"/>
    </row>
    <row r="1044" spans="13:13" ht="12.5">
      <c r="M1044" s="25"/>
    </row>
    <row r="1045" spans="13:13" ht="12.5">
      <c r="M1045" s="25"/>
    </row>
    <row r="1046" spans="13:13" ht="12.5">
      <c r="M1046" s="25"/>
    </row>
    <row r="1047" spans="13:13" ht="12.5">
      <c r="M1047" s="25"/>
    </row>
    <row r="1048" spans="13:13" ht="12.5">
      <c r="M1048" s="25"/>
    </row>
    <row r="1049" spans="13:13" ht="12.5">
      <c r="M1049" s="25"/>
    </row>
    <row r="1050" spans="13:13" ht="12.5">
      <c r="M1050" s="25"/>
    </row>
    <row r="1051" spans="13:13" ht="12.5">
      <c r="M1051" s="25"/>
    </row>
    <row r="1052" spans="13:13" ht="12.5">
      <c r="M1052" s="25"/>
    </row>
    <row r="1053" spans="13:13" ht="12.5">
      <c r="M1053" s="25"/>
    </row>
    <row r="1054" spans="13:13" ht="12.5">
      <c r="M1054" s="25"/>
    </row>
    <row r="1055" spans="13:13" ht="12.5">
      <c r="M1055" s="25"/>
    </row>
    <row r="1056" spans="13:13" ht="12.5">
      <c r="M1056" s="25"/>
    </row>
    <row r="1057" spans="13:13" ht="12.5">
      <c r="M1057" s="25"/>
    </row>
    <row r="1058" spans="13:13" ht="12.5">
      <c r="M1058" s="25"/>
    </row>
    <row r="1059" spans="13:13" ht="12.5">
      <c r="M1059" s="25"/>
    </row>
    <row r="1060" spans="13:13" ht="12.5">
      <c r="M1060" s="25"/>
    </row>
    <row r="1061" spans="13:13" ht="12.5">
      <c r="M1061" s="25"/>
    </row>
    <row r="1062" spans="13:13" ht="12.5">
      <c r="M1062" s="25"/>
    </row>
    <row r="1063" spans="13:13" ht="12.5">
      <c r="M1063" s="25"/>
    </row>
    <row r="1064" spans="13:13" ht="12.5">
      <c r="M1064" s="25"/>
    </row>
    <row r="1065" spans="13:13" ht="12.5">
      <c r="M1065" s="25"/>
    </row>
    <row r="1066" spans="13:13" ht="12.5">
      <c r="M1066" s="25"/>
    </row>
    <row r="1067" spans="13:13" ht="12.5">
      <c r="M1067" s="25"/>
    </row>
    <row r="1068" spans="13:13" ht="12.5">
      <c r="M1068" s="25"/>
    </row>
    <row r="1069" spans="13:13" ht="12.5">
      <c r="M1069" s="25"/>
    </row>
    <row r="1070" spans="13:13" ht="12.5">
      <c r="M1070" s="25"/>
    </row>
    <row r="1071" spans="13:13" ht="12.5">
      <c r="M1071" s="25"/>
    </row>
    <row r="1072" spans="13:13" ht="12.5">
      <c r="M1072" s="25"/>
    </row>
    <row r="1073" spans="13:13" ht="12.5">
      <c r="M1073" s="25"/>
    </row>
    <row r="1074" spans="13:13" ht="12.5">
      <c r="M1074" s="25"/>
    </row>
    <row r="1075" spans="13:13" ht="12.5">
      <c r="M1075" s="25"/>
    </row>
    <row r="1076" spans="13:13" ht="12.5">
      <c r="M1076" s="25"/>
    </row>
    <row r="1077" spans="13:13" ht="12.5">
      <c r="M1077" s="25"/>
    </row>
    <row r="1078" spans="13:13" ht="12.5">
      <c r="M1078" s="25"/>
    </row>
    <row r="1079" spans="13:13" ht="12.5">
      <c r="M1079" s="25"/>
    </row>
    <row r="1080" spans="13:13" ht="12.5">
      <c r="M1080" s="25"/>
    </row>
    <row r="1081" spans="13:13" ht="12.5">
      <c r="M1081" s="25"/>
    </row>
    <row r="1082" spans="13:13" ht="12.5">
      <c r="M1082" s="25"/>
    </row>
    <row r="1083" spans="13:13" ht="12.5">
      <c r="M1083" s="25"/>
    </row>
    <row r="1084" spans="13:13" ht="12.5">
      <c r="M1084" s="25"/>
    </row>
    <row r="1085" spans="13:13" ht="12.5">
      <c r="M1085" s="25"/>
    </row>
    <row r="1086" spans="13:13" ht="12.5">
      <c r="M1086" s="25"/>
    </row>
    <row r="1087" spans="13:13" ht="12.5">
      <c r="M1087" s="25"/>
    </row>
    <row r="1088" spans="13:13" ht="12.5">
      <c r="M1088" s="25"/>
    </row>
    <row r="1089" spans="13:13" ht="12.5">
      <c r="M1089" s="25"/>
    </row>
    <row r="1090" spans="13:13" ht="12.5">
      <c r="M1090" s="25"/>
    </row>
    <row r="1091" spans="13:13" ht="12.5">
      <c r="M1091" s="25"/>
    </row>
    <row r="1092" spans="13:13" ht="12.5">
      <c r="M1092" s="25"/>
    </row>
    <row r="1093" spans="13:13" ht="12.5">
      <c r="M1093" s="25"/>
    </row>
    <row r="1094" spans="13:13" ht="12.5">
      <c r="M1094" s="25"/>
    </row>
    <row r="1095" spans="13:13" ht="12.5">
      <c r="M1095" s="25"/>
    </row>
    <row r="1096" spans="13:13" ht="12.5">
      <c r="M1096" s="25"/>
    </row>
    <row r="1097" spans="13:13" ht="12.5">
      <c r="M1097" s="25"/>
    </row>
    <row r="1098" spans="13:13" ht="12.5">
      <c r="M1098" s="25"/>
    </row>
    <row r="1099" spans="13:13" ht="12.5">
      <c r="M1099" s="25"/>
    </row>
    <row r="1100" spans="13:13" ht="12.5">
      <c r="M1100" s="25"/>
    </row>
    <row r="1101" spans="13:13" ht="12.5">
      <c r="M1101" s="25"/>
    </row>
    <row r="1102" spans="13:13" ht="12.5">
      <c r="M1102" s="25"/>
    </row>
    <row r="1103" spans="13:13" ht="12.5">
      <c r="M1103" s="25"/>
    </row>
    <row r="1104" spans="13:13" ht="12.5">
      <c r="M1104" s="25"/>
    </row>
    <row r="1105" spans="13:13" ht="12.5">
      <c r="M1105" s="25"/>
    </row>
    <row r="1106" spans="13:13" ht="12.5">
      <c r="M1106" s="25"/>
    </row>
    <row r="1107" spans="13:13" ht="12.5">
      <c r="M1107" s="25"/>
    </row>
    <row r="1108" spans="13:13" ht="12.5">
      <c r="M1108" s="25"/>
    </row>
    <row r="1109" spans="13:13" ht="12.5">
      <c r="M1109" s="25"/>
    </row>
    <row r="1110" spans="13:13" ht="12.5">
      <c r="M1110" s="25"/>
    </row>
    <row r="1111" spans="13:13" ht="12.5">
      <c r="M1111" s="25"/>
    </row>
    <row r="1112" spans="13:13" ht="12.5">
      <c r="M1112" s="25"/>
    </row>
    <row r="1113" spans="13:13" ht="12.5">
      <c r="M1113" s="25"/>
    </row>
    <row r="1114" spans="13:13" ht="12.5">
      <c r="M1114" s="25"/>
    </row>
    <row r="1115" spans="13:13" ht="12.5">
      <c r="M1115" s="25"/>
    </row>
    <row r="1116" spans="13:13" ht="12.5">
      <c r="M1116" s="25"/>
    </row>
    <row r="1117" spans="13:13" ht="12.5">
      <c r="M1117" s="25"/>
    </row>
    <row r="1118" spans="13:13" ht="12.5">
      <c r="M1118" s="25"/>
    </row>
    <row r="1119" spans="13:13" ht="12.5">
      <c r="M1119" s="25"/>
    </row>
    <row r="1120" spans="13:13" ht="12.5">
      <c r="M1120" s="25"/>
    </row>
    <row r="1121" spans="13:13" ht="12.5">
      <c r="M1121" s="25"/>
    </row>
    <row r="1122" spans="13:13" ht="12.5">
      <c r="M1122" s="25"/>
    </row>
    <row r="1123" spans="13:13" ht="12.5">
      <c r="M1123" s="25"/>
    </row>
    <row r="1124" spans="13:13" ht="12.5">
      <c r="M1124" s="25"/>
    </row>
    <row r="1125" spans="13:13" ht="12.5">
      <c r="M1125" s="25"/>
    </row>
    <row r="1126" spans="13:13" ht="12.5">
      <c r="M1126" s="25"/>
    </row>
    <row r="1127" spans="13:13" ht="12.5">
      <c r="M1127" s="25"/>
    </row>
    <row r="1128" spans="13:13" ht="12.5">
      <c r="M1128" s="25"/>
    </row>
    <row r="1129" spans="13:13" ht="12.5">
      <c r="M1129" s="25"/>
    </row>
    <row r="1130" spans="13:13" ht="12.5">
      <c r="M1130" s="25"/>
    </row>
    <row r="1131" spans="13:13" ht="12.5">
      <c r="M1131" s="25"/>
    </row>
    <row r="1132" spans="13:13" ht="12.5">
      <c r="M1132" s="25"/>
    </row>
    <row r="1133" spans="13:13" ht="12.5">
      <c r="M1133" s="25"/>
    </row>
    <row r="1134" spans="13:13" ht="12.5">
      <c r="M1134" s="25"/>
    </row>
    <row r="1135" spans="13:13" ht="12.5">
      <c r="M1135" s="25"/>
    </row>
    <row r="1136" spans="13:13" ht="12.5">
      <c r="M1136" s="25"/>
    </row>
    <row r="1137" spans="13:13" ht="12.5">
      <c r="M1137" s="25"/>
    </row>
    <row r="1138" spans="13:13" ht="12.5">
      <c r="M1138" s="25"/>
    </row>
    <row r="1139" spans="13:13" ht="12.5">
      <c r="M1139" s="25"/>
    </row>
    <row r="1140" spans="13:13" ht="12.5">
      <c r="M1140" s="25"/>
    </row>
    <row r="1141" spans="13:13" ht="12.5">
      <c r="M1141" s="25"/>
    </row>
    <row r="1142" spans="13:13" ht="12.5">
      <c r="M1142" s="25"/>
    </row>
    <row r="1143" spans="13:13" ht="12.5">
      <c r="M1143" s="25"/>
    </row>
    <row r="1144" spans="13:13" ht="12.5">
      <c r="M1144" s="25"/>
    </row>
    <row r="1145" spans="13:13" ht="12.5">
      <c r="M1145" s="25"/>
    </row>
    <row r="1146" spans="13:13" ht="12.5">
      <c r="M1146" s="25"/>
    </row>
    <row r="1147" spans="13:13" ht="12.5">
      <c r="M1147" s="25"/>
    </row>
    <row r="1148" spans="13:13" ht="12.5">
      <c r="M1148" s="25"/>
    </row>
    <row r="1149" spans="13:13" ht="12.5">
      <c r="M1149" s="25"/>
    </row>
    <row r="1150" spans="13:13" ht="12.5">
      <c r="M1150" s="25"/>
    </row>
    <row r="1151" spans="13:13" ht="12.5">
      <c r="M1151" s="25"/>
    </row>
    <row r="1152" spans="13:13" ht="12.5">
      <c r="M1152" s="25"/>
    </row>
    <row r="1153" spans="13:13" ht="12.5">
      <c r="M1153" s="25"/>
    </row>
    <row r="1154" spans="13:13" ht="12.5">
      <c r="M1154" s="25"/>
    </row>
    <row r="1155" spans="13:13" ht="12.5">
      <c r="M1155" s="25"/>
    </row>
    <row r="1156" spans="13:13" ht="12.5">
      <c r="M1156" s="25"/>
    </row>
    <row r="1157" spans="13:13" ht="12.5">
      <c r="M1157" s="25"/>
    </row>
    <row r="1158" spans="13:13" ht="12.5">
      <c r="M1158" s="25"/>
    </row>
    <row r="1159" spans="13:13" ht="12.5">
      <c r="M1159" s="25"/>
    </row>
    <row r="1160" spans="13:13" ht="12.5">
      <c r="M1160" s="25"/>
    </row>
    <row r="1161" spans="13:13" ht="12.5">
      <c r="M1161" s="25"/>
    </row>
    <row r="1162" spans="13:13" ht="12.5">
      <c r="M1162" s="25"/>
    </row>
    <row r="1163" spans="13:13" ht="12.5">
      <c r="M1163" s="25"/>
    </row>
    <row r="1164" spans="13:13" ht="12.5">
      <c r="M1164" s="25"/>
    </row>
    <row r="1165" spans="13:13" ht="12.5">
      <c r="M1165" s="25"/>
    </row>
    <row r="1166" spans="13:13" ht="12.5">
      <c r="M1166" s="25"/>
    </row>
    <row r="1167" spans="13:13" ht="12.5">
      <c r="M1167" s="25"/>
    </row>
    <row r="1168" spans="13:13" ht="12.5">
      <c r="M1168" s="25"/>
    </row>
    <row r="1169" spans="13:13" ht="12.5">
      <c r="M1169" s="25"/>
    </row>
    <row r="1170" spans="13:13" ht="12.5">
      <c r="M1170" s="25"/>
    </row>
    <row r="1171" spans="13:13" ht="12.5">
      <c r="M1171" s="25"/>
    </row>
    <row r="1172" spans="13:13" ht="12.5">
      <c r="M1172" s="25"/>
    </row>
    <row r="1173" spans="13:13" ht="12.5">
      <c r="M1173" s="25"/>
    </row>
    <row r="1174" spans="13:13" ht="12.5">
      <c r="M1174" s="25"/>
    </row>
    <row r="1175" spans="13:13" ht="12.5">
      <c r="M1175" s="25"/>
    </row>
    <row r="1176" spans="13:13" ht="12.5">
      <c r="M1176" s="25"/>
    </row>
    <row r="1177" spans="13:13" ht="12.5">
      <c r="M1177" s="25"/>
    </row>
    <row r="1178" spans="13:13" ht="12.5">
      <c r="M1178" s="25"/>
    </row>
    <row r="1179" spans="13:13" ht="12.5">
      <c r="M1179" s="25"/>
    </row>
    <row r="1180" spans="13:13" ht="12.5">
      <c r="M1180" s="25"/>
    </row>
    <row r="1181" spans="13:13" ht="12.5">
      <c r="M1181" s="25"/>
    </row>
    <row r="1182" spans="13:13" ht="12.5">
      <c r="M1182" s="25"/>
    </row>
    <row r="1183" spans="13:13" ht="12.5">
      <c r="M1183" s="25"/>
    </row>
    <row r="1184" spans="13:13" ht="12.5">
      <c r="M1184" s="25"/>
    </row>
    <row r="1185" spans="13:13" ht="12.5">
      <c r="M1185" s="25"/>
    </row>
    <row r="1186" spans="13:13" ht="12.5">
      <c r="M1186" s="25"/>
    </row>
    <row r="1187" spans="13:13" ht="12.5">
      <c r="M1187" s="25"/>
    </row>
    <row r="1188" spans="13:13" ht="12.5">
      <c r="M1188" s="25"/>
    </row>
    <row r="1189" spans="13:13" ht="12.5">
      <c r="M1189" s="25"/>
    </row>
    <row r="1190" spans="13:13" ht="12.5">
      <c r="M1190" s="25"/>
    </row>
    <row r="1191" spans="13:13" ht="12.5">
      <c r="M1191" s="25"/>
    </row>
    <row r="1192" spans="13:13" ht="12.5">
      <c r="M1192" s="25"/>
    </row>
    <row r="1193" spans="13:13" ht="12.5">
      <c r="M1193" s="25"/>
    </row>
    <row r="1194" spans="13:13" ht="12.5">
      <c r="M1194" s="25"/>
    </row>
    <row r="1195" spans="13:13" ht="12.5">
      <c r="M1195" s="25"/>
    </row>
    <row r="1196" spans="13:13" ht="12.5">
      <c r="M1196" s="25"/>
    </row>
    <row r="1197" spans="13:13" ht="12.5">
      <c r="M1197" s="25"/>
    </row>
    <row r="1198" spans="13:13" ht="12.5">
      <c r="M1198" s="25"/>
    </row>
    <row r="1199" spans="13:13" ht="12.5">
      <c r="M1199" s="25"/>
    </row>
    <row r="1200" spans="13:13" ht="12.5">
      <c r="M1200" s="25"/>
    </row>
    <row r="1201" spans="13:13" ht="12.5">
      <c r="M1201" s="25"/>
    </row>
    <row r="1202" spans="13:13" ht="12.5">
      <c r="M1202" s="25"/>
    </row>
    <row r="1203" spans="13:13" ht="12.5">
      <c r="M1203" s="25"/>
    </row>
    <row r="1204" spans="13:13" ht="12.5">
      <c r="M1204" s="25"/>
    </row>
    <row r="1205" spans="13:13" ht="12.5">
      <c r="M1205" s="25"/>
    </row>
    <row r="1206" spans="13:13" ht="12.5">
      <c r="M1206" s="25"/>
    </row>
    <row r="1207" spans="13:13" ht="12.5">
      <c r="M1207" s="25"/>
    </row>
    <row r="1208" spans="13:13" ht="12.5">
      <c r="M1208" s="25"/>
    </row>
    <row r="1209" spans="13:13" ht="12.5">
      <c r="M1209" s="25"/>
    </row>
    <row r="1210" spans="13:13" ht="12.5">
      <c r="M1210" s="25"/>
    </row>
    <row r="1211" spans="13:13" ht="12.5">
      <c r="M1211" s="25"/>
    </row>
    <row r="1212" spans="13:13" ht="12.5">
      <c r="M1212" s="25"/>
    </row>
    <row r="1213" spans="13:13" ht="12.5">
      <c r="M1213" s="25"/>
    </row>
    <row r="1214" spans="13:13" ht="12.5">
      <c r="M1214" s="25"/>
    </row>
    <row r="1215" spans="13:13" ht="12.5">
      <c r="M1215" s="25"/>
    </row>
    <row r="1216" spans="13:13" ht="12.5">
      <c r="M1216" s="25"/>
    </row>
    <row r="1217" spans="13:13" ht="12.5">
      <c r="M1217" s="25"/>
    </row>
    <row r="1218" spans="13:13" ht="12.5">
      <c r="M1218" s="25"/>
    </row>
    <row r="1219" spans="13:13" ht="12.5">
      <c r="M1219" s="25"/>
    </row>
    <row r="1220" spans="13:13" ht="12.5">
      <c r="M1220" s="25"/>
    </row>
    <row r="1221" spans="13:13" ht="12.5">
      <c r="M1221" s="25"/>
    </row>
    <row r="1222" spans="13:13" ht="12.5">
      <c r="M1222" s="25"/>
    </row>
    <row r="1223" spans="13:13" ht="12.5">
      <c r="M1223" s="25"/>
    </row>
    <row r="1224" spans="13:13" ht="12.5">
      <c r="M1224" s="25"/>
    </row>
    <row r="1225" spans="13:13" ht="12.5">
      <c r="M1225" s="25"/>
    </row>
    <row r="1226" spans="13:13" ht="12.5">
      <c r="M1226" s="25"/>
    </row>
    <row r="1227" spans="13:13" ht="12.5">
      <c r="M1227" s="25"/>
    </row>
    <row r="1228" spans="13:13" ht="12.5">
      <c r="M1228" s="25"/>
    </row>
    <row r="1229" spans="13:13" ht="12.5">
      <c r="M1229" s="25"/>
    </row>
    <row r="1230" spans="13:13" ht="12.5">
      <c r="M1230" s="25"/>
    </row>
    <row r="1231" spans="13:13" ht="12.5">
      <c r="M1231" s="25"/>
    </row>
    <row r="1232" spans="13:13" ht="12.5">
      <c r="M1232" s="25"/>
    </row>
    <row r="1233" spans="13:13" ht="12.5">
      <c r="M1233" s="25"/>
    </row>
    <row r="1234" spans="13:13" ht="12.5">
      <c r="M1234" s="25"/>
    </row>
    <row r="1235" spans="13:13" ht="12.5">
      <c r="M1235" s="25"/>
    </row>
    <row r="1236" spans="13:13" ht="12.5">
      <c r="M1236" s="25"/>
    </row>
    <row r="1237" spans="13:13" ht="12.5">
      <c r="M1237" s="25"/>
    </row>
    <row r="1238" spans="13:13" ht="12.5">
      <c r="M1238" s="25"/>
    </row>
    <row r="1239" spans="13:13" ht="12.5">
      <c r="M1239" s="25"/>
    </row>
    <row r="1240" spans="13:13" ht="12.5">
      <c r="M1240" s="25"/>
    </row>
    <row r="1241" spans="13:13" ht="12.5">
      <c r="M1241" s="25"/>
    </row>
    <row r="1242" spans="13:13" ht="12.5">
      <c r="M1242" s="25"/>
    </row>
    <row r="1243" spans="13:13" ht="12.5">
      <c r="M1243" s="25"/>
    </row>
    <row r="1244" spans="13:13" ht="12.5">
      <c r="M1244" s="25"/>
    </row>
    <row r="1245" spans="13:13" ht="12.5">
      <c r="M1245" s="25"/>
    </row>
    <row r="1246" spans="13:13" ht="12.5">
      <c r="M1246" s="25"/>
    </row>
    <row r="1247" spans="13:13" ht="12.5">
      <c r="M1247" s="25"/>
    </row>
    <row r="1248" spans="13:13" ht="12.5">
      <c r="M1248" s="25"/>
    </row>
    <row r="1249" spans="13:13" ht="12.5">
      <c r="M1249" s="25"/>
    </row>
    <row r="1250" spans="13:13" ht="12.5">
      <c r="M1250" s="25"/>
    </row>
    <row r="1251" spans="13:13" ht="12.5">
      <c r="M1251" s="25"/>
    </row>
    <row r="1252" spans="13:13" ht="12.5">
      <c r="M1252" s="25"/>
    </row>
    <row r="1253" spans="13:13" ht="12.5">
      <c r="M1253" s="25"/>
    </row>
    <row r="1254" spans="13:13" ht="12.5">
      <c r="M1254" s="25"/>
    </row>
    <row r="1255" spans="13:13" ht="12.5">
      <c r="M1255" s="25"/>
    </row>
    <row r="1256" spans="13:13" ht="12.5">
      <c r="M1256" s="25"/>
    </row>
    <row r="1257" spans="13:13" ht="12.5">
      <c r="M1257" s="25"/>
    </row>
    <row r="1258" spans="13:13" ht="12.5">
      <c r="M1258" s="25"/>
    </row>
    <row r="1259" spans="13:13" ht="12.5">
      <c r="M1259" s="25"/>
    </row>
    <row r="1260" spans="13:13" ht="12.5">
      <c r="M1260" s="25"/>
    </row>
    <row r="1261" spans="13:13" ht="12.5">
      <c r="M1261" s="25"/>
    </row>
    <row r="1262" spans="13:13" ht="12.5">
      <c r="M1262" s="25"/>
    </row>
    <row r="1263" spans="13:13" ht="12.5">
      <c r="M1263" s="25"/>
    </row>
    <row r="1264" spans="13:13" ht="12.5">
      <c r="M1264" s="25"/>
    </row>
    <row r="1265" spans="13:13" ht="12.5">
      <c r="M1265" s="25"/>
    </row>
    <row r="1266" spans="13:13" ht="12.5">
      <c r="M1266" s="25"/>
    </row>
    <row r="1267" spans="13:13" ht="12.5">
      <c r="M1267" s="25"/>
    </row>
    <row r="1268" spans="13:13" ht="12.5">
      <c r="M1268" s="25"/>
    </row>
    <row r="1269" spans="13:13" ht="12.5">
      <c r="M1269" s="25"/>
    </row>
    <row r="1270" spans="13:13" ht="12.5">
      <c r="M1270" s="25"/>
    </row>
    <row r="1271" spans="13:13" ht="12.5">
      <c r="M1271" s="25"/>
    </row>
    <row r="1272" spans="13:13" ht="12.5">
      <c r="M1272" s="25"/>
    </row>
    <row r="1273" spans="13:13" ht="12.5">
      <c r="M1273" s="25"/>
    </row>
    <row r="1274" spans="13:13" ht="12.5">
      <c r="M1274" s="25"/>
    </row>
    <row r="1275" spans="13:13" ht="12.5">
      <c r="M1275" s="25"/>
    </row>
    <row r="1276" spans="13:13" ht="12.5">
      <c r="M1276" s="25"/>
    </row>
    <row r="1277" spans="13:13" ht="12.5">
      <c r="M1277" s="25"/>
    </row>
    <row r="1278" spans="13:13" ht="12.5">
      <c r="M1278" s="25"/>
    </row>
    <row r="1279" spans="13:13" ht="12.5">
      <c r="M1279" s="25"/>
    </row>
    <row r="1280" spans="13:13" ht="12.5">
      <c r="M1280" s="25"/>
    </row>
    <row r="1281" spans="13:13" ht="12.5">
      <c r="M1281" s="25"/>
    </row>
    <row r="1282" spans="13:13" ht="12.5">
      <c r="M1282" s="25"/>
    </row>
    <row r="1283" spans="13:13" ht="12.5">
      <c r="M1283" s="25"/>
    </row>
    <row r="1284" spans="13:13" ht="12.5">
      <c r="M1284" s="25"/>
    </row>
    <row r="1285" spans="13:13" ht="12.5">
      <c r="M1285" s="25"/>
    </row>
    <row r="1286" spans="13:13" ht="12.5">
      <c r="M1286" s="25"/>
    </row>
    <row r="1287" spans="13:13" ht="12.5">
      <c r="M1287" s="25"/>
    </row>
    <row r="1288" spans="13:13" ht="12.5">
      <c r="M1288" s="25"/>
    </row>
    <row r="1289" spans="13:13" ht="12.5">
      <c r="M1289" s="25"/>
    </row>
    <row r="1290" spans="13:13" ht="12.5">
      <c r="M1290" s="25"/>
    </row>
    <row r="1291" spans="13:13" ht="12.5">
      <c r="M1291" s="25"/>
    </row>
    <row r="1292" spans="13:13" ht="12.5">
      <c r="M1292" s="25"/>
    </row>
    <row r="1293" spans="13:13" ht="12.5">
      <c r="M1293" s="25"/>
    </row>
    <row r="1294" spans="13:13" ht="12.5">
      <c r="M1294" s="25"/>
    </row>
    <row r="1295" spans="13:13" ht="12.5">
      <c r="M1295" s="25"/>
    </row>
    <row r="1296" spans="13:13" ht="12.5">
      <c r="M1296" s="25"/>
    </row>
    <row r="1297" spans="13:13" ht="12.5">
      <c r="M1297" s="25"/>
    </row>
    <row r="1298" spans="13:13" ht="12.5">
      <c r="M1298" s="25"/>
    </row>
    <row r="1299" spans="13:13" ht="12.5">
      <c r="M1299" s="25"/>
    </row>
    <row r="1300" spans="13:13" ht="12.5">
      <c r="M1300" s="25"/>
    </row>
    <row r="1301" spans="13:13" ht="12.5">
      <c r="M1301" s="25"/>
    </row>
    <row r="1302" spans="13:13" ht="12.5">
      <c r="M1302" s="25"/>
    </row>
    <row r="1303" spans="13:13" ht="12.5">
      <c r="M1303" s="25"/>
    </row>
    <row r="1304" spans="13:13" ht="12.5">
      <c r="M1304" s="25"/>
    </row>
    <row r="1305" spans="13:13" ht="12.5">
      <c r="M1305" s="25"/>
    </row>
    <row r="1306" spans="13:13" ht="12.5">
      <c r="M1306" s="25"/>
    </row>
    <row r="1307" spans="13:13" ht="12.5">
      <c r="M1307" s="25"/>
    </row>
    <row r="1308" spans="13:13" ht="12.5">
      <c r="M1308" s="25"/>
    </row>
    <row r="1309" spans="13:13" ht="12.5">
      <c r="M1309" s="25"/>
    </row>
    <row r="1310" spans="13:13" ht="12.5">
      <c r="M1310" s="25"/>
    </row>
    <row r="1311" spans="13:13" ht="12.5">
      <c r="M1311" s="25"/>
    </row>
    <row r="1312" spans="13:13" ht="12.5">
      <c r="M1312" s="25"/>
    </row>
    <row r="1313" spans="13:13" ht="12.5">
      <c r="M1313" s="25"/>
    </row>
    <row r="1314" spans="13:13" ht="12.5">
      <c r="M1314" s="25"/>
    </row>
    <row r="1315" spans="13:13" ht="12.5">
      <c r="M1315" s="25"/>
    </row>
    <row r="1316" spans="13:13" ht="12.5">
      <c r="M1316" s="25"/>
    </row>
    <row r="1317" spans="13:13" ht="12.5">
      <c r="M1317" s="25"/>
    </row>
    <row r="1318" spans="13:13" ht="12.5">
      <c r="M1318" s="25"/>
    </row>
    <row r="1319" spans="13:13" ht="12.5">
      <c r="M1319" s="25"/>
    </row>
    <row r="1320" spans="13:13" ht="12.5">
      <c r="M1320" s="25"/>
    </row>
    <row r="1321" spans="13:13" ht="12.5">
      <c r="M1321" s="25"/>
    </row>
    <row r="1322" spans="13:13" ht="12.5">
      <c r="M1322" s="25"/>
    </row>
    <row r="1323" spans="13:13" ht="12.5">
      <c r="M1323" s="25"/>
    </row>
    <row r="1324" spans="13:13" ht="12.5">
      <c r="M1324" s="25"/>
    </row>
    <row r="1325" spans="13:13" ht="12.5">
      <c r="M1325" s="25"/>
    </row>
    <row r="1326" spans="13:13" ht="12.5">
      <c r="M1326" s="25"/>
    </row>
    <row r="1327" spans="13:13" ht="12.5">
      <c r="M1327" s="25"/>
    </row>
    <row r="1328" spans="13:13" ht="12.5">
      <c r="M1328" s="25"/>
    </row>
    <row r="1329" spans="13:13" ht="12.5">
      <c r="M1329" s="25"/>
    </row>
    <row r="1330" spans="13:13" ht="12.5">
      <c r="M1330" s="25"/>
    </row>
    <row r="1331" spans="13:13" ht="12.5">
      <c r="M1331" s="25"/>
    </row>
    <row r="1332" spans="13:13" ht="12.5">
      <c r="M1332" s="25"/>
    </row>
    <row r="1333" spans="13:13" ht="12.5">
      <c r="M1333" s="25"/>
    </row>
    <row r="1334" spans="13:13" ht="12.5">
      <c r="M1334" s="25"/>
    </row>
    <row r="1335" spans="13:13" ht="12.5">
      <c r="M1335" s="25"/>
    </row>
    <row r="1336" spans="13:13" ht="12.5">
      <c r="M1336" s="25"/>
    </row>
    <row r="1337" spans="13:13" ht="12.5">
      <c r="M1337" s="25"/>
    </row>
    <row r="1338" spans="13:13" ht="12.5">
      <c r="M1338" s="25"/>
    </row>
    <row r="1339" spans="13:13" ht="12.5">
      <c r="M1339" s="25"/>
    </row>
    <row r="1340" spans="13:13" ht="12.5">
      <c r="M1340" s="25"/>
    </row>
    <row r="1341" spans="13:13" ht="12.5">
      <c r="M1341" s="25"/>
    </row>
    <row r="1342" spans="13:13" ht="12.5">
      <c r="M1342" s="25"/>
    </row>
    <row r="1343" spans="13:13" ht="12.5">
      <c r="M1343" s="25"/>
    </row>
    <row r="1344" spans="13:13" ht="12.5">
      <c r="M1344" s="25"/>
    </row>
    <row r="1345" spans="13:13" ht="12.5">
      <c r="M1345" s="25"/>
    </row>
    <row r="1346" spans="13:13" ht="12.5">
      <c r="M1346" s="25"/>
    </row>
    <row r="1347" spans="13:13" ht="12.5">
      <c r="M1347" s="25"/>
    </row>
    <row r="1348" spans="13:13" ht="12.5">
      <c r="M1348" s="25"/>
    </row>
    <row r="1349" spans="13:13" ht="12.5">
      <c r="M1349" s="25"/>
    </row>
    <row r="1350" spans="13:13" ht="12.5">
      <c r="M1350" s="25"/>
    </row>
    <row r="1351" spans="13:13" ht="12.5">
      <c r="M1351" s="25"/>
    </row>
    <row r="1352" spans="13:13" ht="12.5">
      <c r="M1352" s="25"/>
    </row>
    <row r="1353" spans="13:13" ht="12.5">
      <c r="M1353" s="25"/>
    </row>
    <row r="1354" spans="13:13" ht="12.5">
      <c r="M1354" s="25"/>
    </row>
    <row r="1355" spans="13:13" ht="12.5">
      <c r="M1355" s="25"/>
    </row>
    <row r="1356" spans="13:13" ht="12.5">
      <c r="M1356" s="25"/>
    </row>
    <row r="1357" spans="13:13" ht="12.5">
      <c r="M1357" s="25"/>
    </row>
    <row r="1358" spans="13:13" ht="12.5">
      <c r="M1358" s="25"/>
    </row>
    <row r="1359" spans="13:13" ht="12.5">
      <c r="M1359" s="25"/>
    </row>
    <row r="1360" spans="13:13" ht="12.5">
      <c r="M1360" s="25"/>
    </row>
    <row r="1361" spans="13:13" ht="12.5">
      <c r="M1361" s="25"/>
    </row>
    <row r="1362" spans="13:13" ht="12.5">
      <c r="M1362" s="25"/>
    </row>
    <row r="1363" spans="13:13" ht="12.5">
      <c r="M1363" s="25"/>
    </row>
    <row r="1364" spans="13:13" ht="12.5">
      <c r="M1364" s="25"/>
    </row>
    <row r="1365" spans="13:13" ht="12.5">
      <c r="M1365" s="25"/>
    </row>
    <row r="1366" spans="13:13" ht="12.5">
      <c r="M1366" s="25"/>
    </row>
    <row r="1367" spans="13:13" ht="12.5">
      <c r="M1367" s="25"/>
    </row>
    <row r="1368" spans="13:13" ht="12.5">
      <c r="M1368" s="25"/>
    </row>
    <row r="1369" spans="13:13" ht="12.5">
      <c r="M1369" s="25"/>
    </row>
    <row r="1370" spans="13:13" ht="12.5">
      <c r="M1370" s="25"/>
    </row>
    <row r="1371" spans="13:13" ht="12.5">
      <c r="M1371" s="25"/>
    </row>
    <row r="1372" spans="13:13" ht="12.5">
      <c r="M1372" s="25"/>
    </row>
    <row r="1373" spans="13:13" ht="12.5">
      <c r="M1373" s="25"/>
    </row>
    <row r="1374" spans="13:13" ht="12.5">
      <c r="M1374" s="25"/>
    </row>
    <row r="1375" spans="13:13" ht="12.5">
      <c r="M1375" s="25"/>
    </row>
    <row r="1376" spans="13:13" ht="12.5">
      <c r="M1376" s="25"/>
    </row>
    <row r="1377" spans="13:13" ht="12.5">
      <c r="M1377" s="25"/>
    </row>
    <row r="1378" spans="13:13" ht="12.5">
      <c r="M1378" s="25"/>
    </row>
    <row r="1379" spans="13:13" ht="12.5">
      <c r="M1379" s="25"/>
    </row>
    <row r="1380" spans="13:13" ht="12.5">
      <c r="M1380" s="25"/>
    </row>
    <row r="1381" spans="13:13" ht="12.5">
      <c r="M1381" s="25"/>
    </row>
    <row r="1382" spans="13:13" ht="12.5">
      <c r="M1382" s="25"/>
    </row>
    <row r="1383" spans="13:13" ht="12.5">
      <c r="M1383" s="25"/>
    </row>
    <row r="1384" spans="13:13" ht="12.5">
      <c r="M1384" s="25"/>
    </row>
    <row r="1385" spans="13:13" ht="12.5">
      <c r="M1385" s="25"/>
    </row>
    <row r="1386" spans="13:13" ht="12.5">
      <c r="M1386" s="25"/>
    </row>
    <row r="1387" spans="13:13" ht="12.5">
      <c r="M1387" s="25"/>
    </row>
    <row r="1388" spans="13:13" ht="12.5">
      <c r="M1388" s="25"/>
    </row>
    <row r="1389" spans="13:13" ht="12.5">
      <c r="M1389" s="25"/>
    </row>
    <row r="1390" spans="13:13" ht="12.5">
      <c r="M1390" s="25"/>
    </row>
    <row r="1391" spans="13:13" ht="12.5">
      <c r="M1391" s="25"/>
    </row>
    <row r="1392" spans="13:13" ht="12.5">
      <c r="M1392" s="25"/>
    </row>
    <row r="1393" spans="13:13" ht="12.5">
      <c r="M1393" s="25"/>
    </row>
    <row r="1394" spans="13:13" ht="12.5">
      <c r="M1394" s="25"/>
    </row>
    <row r="1395" spans="13:13" ht="12.5">
      <c r="M1395" s="25"/>
    </row>
    <row r="1396" spans="13:13" ht="12.5">
      <c r="M1396" s="25"/>
    </row>
    <row r="1397" spans="13:13" ht="12.5">
      <c r="M1397" s="25"/>
    </row>
    <row r="1398" spans="13:13" ht="12.5">
      <c r="M1398" s="25"/>
    </row>
    <row r="1399" spans="13:13" ht="12.5">
      <c r="M1399" s="25"/>
    </row>
    <row r="1400" spans="13:13" ht="12.5">
      <c r="M1400" s="25"/>
    </row>
    <row r="1401" spans="13:13" ht="12.5">
      <c r="M1401" s="25"/>
    </row>
    <row r="1402" spans="13:13" ht="12.5">
      <c r="M1402" s="25"/>
    </row>
    <row r="1403" spans="13:13" ht="12.5">
      <c r="M1403" s="25"/>
    </row>
    <row r="1404" spans="13:13" ht="12.5">
      <c r="M1404" s="25"/>
    </row>
    <row r="1405" spans="13:13" ht="12.5">
      <c r="M1405" s="25"/>
    </row>
    <row r="1406" spans="13:13" ht="12.5">
      <c r="M1406" s="25"/>
    </row>
    <row r="1407" spans="13:13" ht="12.5">
      <c r="M1407" s="25"/>
    </row>
    <row r="1408" spans="13:13" ht="12.5">
      <c r="M1408" s="25"/>
    </row>
    <row r="1409" spans="13:13" ht="12.5">
      <c r="M1409" s="25"/>
    </row>
    <row r="1410" spans="13:13" ht="12.5">
      <c r="M1410" s="25"/>
    </row>
    <row r="1411" spans="13:13" ht="12.5">
      <c r="M1411" s="25"/>
    </row>
    <row r="1412" spans="13:13" ht="12.5">
      <c r="M1412" s="25"/>
    </row>
    <row r="1413" spans="13:13" ht="12.5">
      <c r="M1413" s="25"/>
    </row>
    <row r="1414" spans="13:13" ht="12.5">
      <c r="M1414" s="25"/>
    </row>
    <row r="1415" spans="13:13" ht="12.5">
      <c r="M1415" s="25"/>
    </row>
    <row r="1416" spans="13:13" ht="12.5">
      <c r="M1416" s="25"/>
    </row>
    <row r="1417" spans="13:13" ht="12.5">
      <c r="M1417" s="25"/>
    </row>
    <row r="1418" spans="13:13" ht="12.5">
      <c r="M1418" s="25"/>
    </row>
    <row r="1419" spans="13:13" ht="12.5">
      <c r="M1419" s="25"/>
    </row>
    <row r="1420" spans="13:13" ht="12.5">
      <c r="M1420" s="25"/>
    </row>
    <row r="1421" spans="13:13" ht="12.5">
      <c r="M1421" s="25"/>
    </row>
    <row r="1422" spans="13:13" ht="12.5">
      <c r="M1422" s="25"/>
    </row>
    <row r="1423" spans="13:13" ht="12.5">
      <c r="M1423" s="25"/>
    </row>
    <row r="1424" spans="13:13" ht="12.5">
      <c r="M1424" s="25"/>
    </row>
    <row r="1425" spans="13:13" ht="12.5">
      <c r="M1425" s="25"/>
    </row>
    <row r="1426" spans="13:13" ht="12.5">
      <c r="M1426" s="25"/>
    </row>
    <row r="1427" spans="13:13" ht="12.5">
      <c r="M1427" s="25"/>
    </row>
    <row r="1428" spans="13:13" ht="12.5">
      <c r="M1428" s="25"/>
    </row>
    <row r="1429" spans="13:13" ht="12.5">
      <c r="M1429" s="25"/>
    </row>
    <row r="1430" spans="13:13" ht="12.5">
      <c r="M1430" s="25"/>
    </row>
    <row r="1431" spans="13:13" ht="12.5">
      <c r="M1431" s="25"/>
    </row>
    <row r="1432" spans="13:13" ht="12.5">
      <c r="M1432" s="25"/>
    </row>
    <row r="1433" spans="13:13" ht="12.5">
      <c r="M1433" s="25"/>
    </row>
    <row r="1434" spans="13:13" ht="12.5">
      <c r="M1434" s="25"/>
    </row>
    <row r="1435" spans="13:13" ht="12.5">
      <c r="M1435" s="25"/>
    </row>
    <row r="1436" spans="13:13" ht="12.5">
      <c r="M1436" s="25"/>
    </row>
    <row r="1437" spans="13:13" ht="12.5">
      <c r="M1437" s="25"/>
    </row>
    <row r="1438" spans="13:13" ht="12.5">
      <c r="M1438" s="25"/>
    </row>
    <row r="1439" spans="13:13" ht="12.5">
      <c r="M1439" s="25"/>
    </row>
    <row r="1440" spans="13:13" ht="12.5">
      <c r="M1440" s="25"/>
    </row>
    <row r="1441" spans="13:13" ht="12.5">
      <c r="M1441" s="25"/>
    </row>
    <row r="1442" spans="13:13" ht="12.5">
      <c r="M1442" s="25"/>
    </row>
    <row r="1443" spans="13:13" ht="12.5">
      <c r="M1443" s="25"/>
    </row>
    <row r="1444" spans="13:13" ht="12.5">
      <c r="M1444" s="25"/>
    </row>
    <row r="1445" spans="13:13" ht="12.5">
      <c r="M1445" s="25"/>
    </row>
    <row r="1446" spans="13:13" ht="12.5">
      <c r="M1446" s="25"/>
    </row>
    <row r="1447" spans="13:13" ht="12.5">
      <c r="M1447" s="25"/>
    </row>
    <row r="1448" spans="13:13" ht="12.5">
      <c r="M1448" s="25"/>
    </row>
    <row r="1449" spans="13:13" ht="12.5">
      <c r="M1449" s="25"/>
    </row>
    <row r="1450" spans="13:13" ht="12.5">
      <c r="M1450" s="25"/>
    </row>
    <row r="1451" spans="13:13" ht="12.5">
      <c r="M1451" s="25"/>
    </row>
    <row r="1452" spans="13:13" ht="12.5">
      <c r="M1452" s="25"/>
    </row>
    <row r="1453" spans="13:13" ht="12.5">
      <c r="M1453" s="25"/>
    </row>
    <row r="1454" spans="13:13" ht="12.5">
      <c r="M1454" s="25"/>
    </row>
    <row r="1455" spans="13:13" ht="12.5">
      <c r="M1455" s="25"/>
    </row>
    <row r="1456" spans="13:13" ht="12.5">
      <c r="M1456" s="25"/>
    </row>
    <row r="1457" spans="13:13" ht="12.5">
      <c r="M1457" s="25"/>
    </row>
    <row r="1458" spans="13:13" ht="12.5">
      <c r="M1458" s="25"/>
    </row>
    <row r="1459" spans="13:13" ht="12.5">
      <c r="M1459" s="25"/>
    </row>
    <row r="1460" spans="13:13" ht="12.5">
      <c r="M1460" s="25"/>
    </row>
    <row r="1461" spans="13:13" ht="12.5">
      <c r="M1461" s="25"/>
    </row>
    <row r="1462" spans="13:13" ht="12.5">
      <c r="M1462" s="25"/>
    </row>
    <row r="1463" spans="13:13" ht="12.5">
      <c r="M1463" s="25"/>
    </row>
    <row r="1464" spans="13:13" ht="12.5">
      <c r="M1464" s="25"/>
    </row>
    <row r="1465" spans="13:13" ht="12.5">
      <c r="M1465" s="25"/>
    </row>
    <row r="1466" spans="13:13" ht="12.5">
      <c r="M1466" s="25"/>
    </row>
    <row r="1467" spans="13:13" ht="12.5">
      <c r="M1467" s="25"/>
    </row>
    <row r="1468" spans="13:13" ht="12.5">
      <c r="M1468" s="25"/>
    </row>
    <row r="1469" spans="13:13" ht="12.5">
      <c r="M1469" s="25"/>
    </row>
    <row r="1470" spans="13:13" ht="12.5">
      <c r="M1470" s="25"/>
    </row>
    <row r="1471" spans="13:13" ht="12.5">
      <c r="M1471" s="25"/>
    </row>
    <row r="1472" spans="13:13" ht="12.5">
      <c r="M1472" s="25"/>
    </row>
    <row r="1473" spans="13:13" ht="12.5">
      <c r="M1473" s="25"/>
    </row>
    <row r="1474" spans="13:13" ht="12.5">
      <c r="M1474" s="25"/>
    </row>
    <row r="1475" spans="13:13" ht="12.5">
      <c r="M1475" s="25"/>
    </row>
    <row r="1476" spans="13:13" ht="12.5">
      <c r="M1476" s="25"/>
    </row>
    <row r="1477" spans="13:13" ht="12.5">
      <c r="M1477" s="25"/>
    </row>
    <row r="1478" spans="13:13" ht="12.5">
      <c r="M1478" s="25"/>
    </row>
    <row r="1479" spans="13:13" ht="12.5">
      <c r="M1479" s="25"/>
    </row>
    <row r="1480" spans="13:13" ht="12.5">
      <c r="M1480" s="25"/>
    </row>
    <row r="1481" spans="13:13" ht="12.5">
      <c r="M1481" s="25"/>
    </row>
    <row r="1482" spans="13:13" ht="12.5">
      <c r="M1482" s="25"/>
    </row>
    <row r="1483" spans="13:13" ht="12.5">
      <c r="M1483" s="25"/>
    </row>
    <row r="1484" spans="13:13" ht="12.5">
      <c r="M1484" s="25"/>
    </row>
    <row r="1485" spans="13:13" ht="12.5">
      <c r="M1485" s="25"/>
    </row>
    <row r="1486" spans="13:13" ht="12.5">
      <c r="M1486" s="25"/>
    </row>
    <row r="1487" spans="13:13" ht="12.5">
      <c r="M1487" s="25"/>
    </row>
    <row r="1488" spans="13:13" ht="12.5">
      <c r="M1488" s="25"/>
    </row>
    <row r="1489" spans="13:13" ht="12.5">
      <c r="M1489" s="25"/>
    </row>
    <row r="1490" spans="13:13" ht="12.5">
      <c r="M1490" s="25"/>
    </row>
    <row r="1491" spans="13:13" ht="12.5">
      <c r="M1491" s="25"/>
    </row>
    <row r="1492" spans="13:13" ht="12.5">
      <c r="M1492" s="25"/>
    </row>
    <row r="1493" spans="13:13" ht="12.5">
      <c r="M1493" s="25"/>
    </row>
    <row r="1494" spans="13:13" ht="12.5">
      <c r="M1494" s="25"/>
    </row>
    <row r="1495" spans="13:13" ht="12.5">
      <c r="M1495" s="25"/>
    </row>
    <row r="1496" spans="13:13" ht="12.5">
      <c r="M1496" s="25"/>
    </row>
    <row r="1497" spans="13:13" ht="12.5">
      <c r="M1497" s="25"/>
    </row>
    <row r="1498" spans="13:13" ht="12.5">
      <c r="M1498" s="25"/>
    </row>
    <row r="1499" spans="13:13" ht="12.5">
      <c r="M1499" s="25"/>
    </row>
    <row r="1500" spans="13:13" ht="12.5">
      <c r="M1500" s="25"/>
    </row>
    <row r="1501" spans="13:13" ht="12.5">
      <c r="M1501" s="25"/>
    </row>
    <row r="1502" spans="13:13" ht="12.5">
      <c r="M1502" s="25"/>
    </row>
    <row r="1503" spans="13:13" ht="12.5">
      <c r="M1503" s="25"/>
    </row>
    <row r="1504" spans="13:13" ht="12.5">
      <c r="M1504" s="25"/>
    </row>
    <row r="1505" spans="13:13" ht="12.5">
      <c r="M1505" s="25"/>
    </row>
    <row r="1506" spans="13:13" ht="12.5">
      <c r="M1506" s="25"/>
    </row>
    <row r="1507" spans="13:13" ht="12.5">
      <c r="M1507" s="25"/>
    </row>
    <row r="1508" spans="13:13" ht="12.5">
      <c r="M1508" s="25"/>
    </row>
    <row r="1509" spans="13:13" ht="12.5">
      <c r="M1509" s="25"/>
    </row>
    <row r="1510" spans="13:13" ht="12.5">
      <c r="M1510" s="25"/>
    </row>
    <row r="1511" spans="13:13" ht="12.5">
      <c r="M1511" s="25"/>
    </row>
    <row r="1512" spans="13:13" ht="12.5">
      <c r="M1512" s="25"/>
    </row>
    <row r="1513" spans="13:13" ht="12.5">
      <c r="M1513" s="25"/>
    </row>
    <row r="1514" spans="13:13" ht="12.5">
      <c r="M1514" s="25"/>
    </row>
    <row r="1515" spans="13:13" ht="12.5">
      <c r="M1515" s="25"/>
    </row>
    <row r="1516" spans="13:13" ht="12.5">
      <c r="M1516" s="25"/>
    </row>
    <row r="1517" spans="13:13" ht="12.5">
      <c r="M1517" s="25"/>
    </row>
    <row r="1518" spans="13:13" ht="12.5">
      <c r="M1518" s="25"/>
    </row>
    <row r="1519" spans="13:13" ht="12.5">
      <c r="M1519" s="25"/>
    </row>
    <row r="1520" spans="13:13" ht="12.5">
      <c r="M1520" s="25"/>
    </row>
    <row r="1521" spans="13:13" ht="12.5">
      <c r="M1521" s="25"/>
    </row>
    <row r="1522" spans="13:13" ht="12.5">
      <c r="M1522" s="25"/>
    </row>
    <row r="1523" spans="13:13" ht="12.5">
      <c r="M1523" s="25"/>
    </row>
    <row r="1524" spans="13:13" ht="12.5">
      <c r="M1524" s="25"/>
    </row>
    <row r="1525" spans="13:13" ht="12.5">
      <c r="M1525" s="25"/>
    </row>
    <row r="1526" spans="13:13" ht="12.5">
      <c r="M1526" s="25"/>
    </row>
    <row r="1527" spans="13:13" ht="12.5">
      <c r="M1527" s="25"/>
    </row>
    <row r="1528" spans="13:13" ht="12.5">
      <c r="M1528" s="25"/>
    </row>
    <row r="1529" spans="13:13" ht="12.5">
      <c r="M1529" s="25"/>
    </row>
    <row r="1530" spans="13:13" ht="12.5">
      <c r="M1530" s="25"/>
    </row>
    <row r="1531" spans="13:13" ht="12.5">
      <c r="M1531" s="25"/>
    </row>
    <row r="1532" spans="13:13" ht="12.5">
      <c r="M1532" s="25"/>
    </row>
    <row r="1533" spans="13:13" ht="12.5">
      <c r="M1533" s="25"/>
    </row>
    <row r="1534" spans="13:13" ht="12.5">
      <c r="M1534" s="25"/>
    </row>
    <row r="1535" spans="13:13" ht="12.5">
      <c r="M1535" s="25"/>
    </row>
    <row r="1536" spans="13:13" ht="12.5">
      <c r="M1536" s="25"/>
    </row>
    <row r="1537" spans="13:13" ht="12.5">
      <c r="M1537" s="25"/>
    </row>
    <row r="1538" spans="13:13" ht="12.5">
      <c r="M1538" s="25"/>
    </row>
    <row r="1539" spans="13:13" ht="12.5">
      <c r="M1539" s="25"/>
    </row>
    <row r="1540" spans="13:13" ht="12.5">
      <c r="M1540" s="25"/>
    </row>
    <row r="1541" spans="13:13" ht="12.5">
      <c r="M1541" s="25"/>
    </row>
    <row r="1542" spans="13:13" ht="12.5">
      <c r="M1542" s="25"/>
    </row>
    <row r="1543" spans="13:13" ht="12.5">
      <c r="M1543" s="25"/>
    </row>
    <row r="1544" spans="13:13" ht="12.5">
      <c r="M1544" s="25"/>
    </row>
    <row r="1545" spans="13:13" ht="12.5">
      <c r="M1545" s="25"/>
    </row>
    <row r="1546" spans="13:13" ht="12.5">
      <c r="M1546" s="25"/>
    </row>
    <row r="1547" spans="13:13" ht="12.5">
      <c r="M1547" s="25"/>
    </row>
    <row r="1548" spans="13:13" ht="12.5">
      <c r="M1548" s="25"/>
    </row>
    <row r="1549" spans="13:13" ht="12.5">
      <c r="M1549" s="25"/>
    </row>
    <row r="1550" spans="13:13" ht="12.5">
      <c r="M1550" s="25"/>
    </row>
    <row r="1551" spans="13:13" ht="12.5">
      <c r="M1551" s="25"/>
    </row>
    <row r="1552" spans="13:13" ht="12.5">
      <c r="M1552" s="25"/>
    </row>
    <row r="1553" spans="13:13" ht="12.5">
      <c r="M1553" s="25"/>
    </row>
    <row r="1554" spans="13:13" ht="12.5">
      <c r="M1554" s="25"/>
    </row>
    <row r="1555" spans="13:13" ht="12.5">
      <c r="M1555" s="25"/>
    </row>
    <row r="1556" spans="13:13" ht="12.5">
      <c r="M1556" s="25"/>
    </row>
    <row r="1557" spans="13:13" ht="12.5">
      <c r="M1557" s="25"/>
    </row>
    <row r="1558" spans="13:13" ht="12.5">
      <c r="M1558" s="25"/>
    </row>
    <row r="1559" spans="13:13" ht="12.5">
      <c r="M1559" s="25"/>
    </row>
    <row r="1560" spans="13:13" ht="12.5">
      <c r="M1560" s="25"/>
    </row>
    <row r="1561" spans="13:13" ht="12.5">
      <c r="M1561" s="25"/>
    </row>
    <row r="1562" spans="13:13" ht="12.5">
      <c r="M1562" s="25"/>
    </row>
    <row r="1563" spans="13:13" ht="12.5">
      <c r="M1563" s="25"/>
    </row>
    <row r="1564" spans="13:13" ht="12.5">
      <c r="M1564" s="25"/>
    </row>
    <row r="1565" spans="13:13" ht="12.5">
      <c r="M1565" s="25"/>
    </row>
    <row r="1566" spans="13:13" ht="12.5">
      <c r="M1566" s="25"/>
    </row>
    <row r="1567" spans="13:13" ht="12.5">
      <c r="M1567" s="25"/>
    </row>
    <row r="1568" spans="13:13" ht="12.5">
      <c r="M1568" s="25"/>
    </row>
    <row r="1569" spans="13:13" ht="12.5">
      <c r="M1569" s="25"/>
    </row>
    <row r="1570" spans="13:13" ht="12.5">
      <c r="M1570" s="25"/>
    </row>
    <row r="1571" spans="13:13" ht="12.5">
      <c r="M1571" s="25"/>
    </row>
    <row r="1572" spans="13:13" ht="12.5">
      <c r="M1572" s="25"/>
    </row>
    <row r="1573" spans="13:13" ht="12.5">
      <c r="M1573" s="25"/>
    </row>
    <row r="1574" spans="13:13" ht="12.5">
      <c r="M1574" s="25"/>
    </row>
    <row r="1575" spans="13:13" ht="12.5">
      <c r="M1575" s="25"/>
    </row>
    <row r="1576" spans="13:13" ht="12.5">
      <c r="M1576" s="25"/>
    </row>
    <row r="1577" spans="13:13" ht="12.5">
      <c r="M1577" s="25"/>
    </row>
    <row r="1578" spans="13:13" ht="12.5">
      <c r="M1578" s="25"/>
    </row>
    <row r="1579" spans="13:13" ht="12.5">
      <c r="M1579" s="25"/>
    </row>
    <row r="1580" spans="13:13" ht="12.5">
      <c r="M1580" s="25"/>
    </row>
    <row r="1581" spans="13:13" ht="12.5">
      <c r="M1581" s="25"/>
    </row>
    <row r="1582" spans="13:13" ht="12.5">
      <c r="M1582" s="25"/>
    </row>
    <row r="1583" spans="13:13" ht="12.5">
      <c r="M1583" s="25"/>
    </row>
    <row r="1584" spans="13:13" ht="12.5">
      <c r="M1584" s="25"/>
    </row>
    <row r="1585" spans="13:13" ht="12.5">
      <c r="M1585" s="25"/>
    </row>
    <row r="1586" spans="13:13" ht="12.5">
      <c r="M1586" s="25"/>
    </row>
    <row r="1587" spans="13:13" ht="12.5">
      <c r="M1587" s="25"/>
    </row>
    <row r="1588" spans="13:13" ht="12.5">
      <c r="M1588" s="25"/>
    </row>
    <row r="1589" spans="13:13" ht="12.5">
      <c r="M1589" s="25"/>
    </row>
    <row r="1590" spans="13:13" ht="12.5">
      <c r="M1590" s="25"/>
    </row>
    <row r="1591" spans="13:13" ht="12.5">
      <c r="M1591" s="25"/>
    </row>
    <row r="1592" spans="13:13" ht="12.5">
      <c r="M1592" s="25"/>
    </row>
    <row r="1593" spans="13:13" ht="12.5">
      <c r="M1593" s="25"/>
    </row>
    <row r="1594" spans="13:13" ht="12.5">
      <c r="M1594" s="25"/>
    </row>
    <row r="1595" spans="13:13" ht="12.5">
      <c r="M1595" s="25"/>
    </row>
    <row r="1596" spans="13:13" ht="12.5">
      <c r="M1596" s="25"/>
    </row>
    <row r="1597" spans="13:13" ht="12.5">
      <c r="M1597" s="25"/>
    </row>
    <row r="1598" spans="13:13" ht="12.5">
      <c r="M1598" s="25"/>
    </row>
    <row r="1599" spans="13:13" ht="12.5">
      <c r="M1599" s="25"/>
    </row>
    <row r="1600" spans="13:13" ht="12.5">
      <c r="M1600" s="25"/>
    </row>
    <row r="1601" spans="13:13" ht="12.5">
      <c r="M1601" s="25"/>
    </row>
    <row r="1602" spans="13:13" ht="12.5">
      <c r="M1602" s="25"/>
    </row>
    <row r="1603" spans="13:13" ht="12.5">
      <c r="M1603" s="25"/>
    </row>
    <row r="1604" spans="13:13" ht="12.5">
      <c r="M1604" s="25"/>
    </row>
    <row r="1605" spans="13:13" ht="12.5">
      <c r="M1605" s="25"/>
    </row>
    <row r="1606" spans="13:13" ht="12.5">
      <c r="M1606" s="25"/>
    </row>
    <row r="1607" spans="13:13" ht="12.5">
      <c r="M1607" s="25"/>
    </row>
    <row r="1608" spans="13:13" ht="12.5">
      <c r="M1608" s="25"/>
    </row>
    <row r="1609" spans="13:13" ht="12.5">
      <c r="M1609" s="25"/>
    </row>
    <row r="1610" spans="13:13" ht="12.5">
      <c r="M1610" s="25"/>
    </row>
    <row r="1611" spans="13:13" ht="12.5">
      <c r="M1611" s="25"/>
    </row>
    <row r="1612" spans="13:13" ht="12.5">
      <c r="M1612" s="25"/>
    </row>
    <row r="1613" spans="13:13" ht="12.5">
      <c r="M1613" s="25"/>
    </row>
    <row r="1614" spans="13:13" ht="12.5">
      <c r="M1614" s="25"/>
    </row>
    <row r="1615" spans="13:13" ht="12.5">
      <c r="M1615" s="25"/>
    </row>
    <row r="1616" spans="13:13" ht="12.5">
      <c r="M1616" s="25"/>
    </row>
    <row r="1617" spans="13:13" ht="12.5">
      <c r="M1617" s="25"/>
    </row>
    <row r="1618" spans="13:13" ht="12.5">
      <c r="M1618" s="25"/>
    </row>
    <row r="1619" spans="13:13" ht="12.5">
      <c r="M1619" s="25"/>
    </row>
    <row r="1620" spans="13:13" ht="12.5">
      <c r="M1620" s="25"/>
    </row>
    <row r="1621" spans="13:13" ht="12.5">
      <c r="M1621" s="25"/>
    </row>
    <row r="1622" spans="13:13" ht="12.5">
      <c r="M1622" s="25"/>
    </row>
    <row r="1623" spans="13:13" ht="12.5">
      <c r="M1623" s="25"/>
    </row>
    <row r="1624" spans="13:13" ht="12.5">
      <c r="M1624" s="25"/>
    </row>
    <row r="1625" spans="13:13" ht="12.5">
      <c r="M1625" s="25"/>
    </row>
    <row r="1626" spans="13:13" ht="12.5">
      <c r="M1626" s="25"/>
    </row>
    <row r="1627" spans="13:13" ht="12.5">
      <c r="M1627" s="25"/>
    </row>
    <row r="1628" spans="13:13" ht="12.5">
      <c r="M1628" s="25"/>
    </row>
    <row r="1629" spans="13:13" ht="12.5">
      <c r="M1629" s="25"/>
    </row>
    <row r="1630" spans="13:13" ht="12.5">
      <c r="M1630" s="25"/>
    </row>
    <row r="1631" spans="13:13" ht="12.5">
      <c r="M1631" s="25"/>
    </row>
    <row r="1632" spans="13:13" ht="12.5">
      <c r="M1632" s="25"/>
    </row>
    <row r="1633" spans="13:13" ht="12.5">
      <c r="M1633" s="25"/>
    </row>
    <row r="1634" spans="13:13" ht="12.5">
      <c r="M1634" s="25"/>
    </row>
    <row r="1635" spans="13:13" ht="12.5">
      <c r="M1635" s="25"/>
    </row>
    <row r="1636" spans="13:13" ht="12.5">
      <c r="M1636" s="25"/>
    </row>
    <row r="1637" spans="13:13" ht="12.5">
      <c r="M1637" s="25"/>
    </row>
    <row r="1638" spans="13:13" ht="12.5">
      <c r="M1638" s="25"/>
    </row>
    <row r="1639" spans="13:13" ht="12.5">
      <c r="M1639" s="25"/>
    </row>
    <row r="1640" spans="13:13" ht="12.5">
      <c r="M1640" s="25"/>
    </row>
    <row r="1641" spans="13:13" ht="12.5">
      <c r="M1641" s="25"/>
    </row>
    <row r="1642" spans="13:13" ht="12.5">
      <c r="M1642" s="25"/>
    </row>
    <row r="1643" spans="13:13" ht="12.5">
      <c r="M1643" s="25"/>
    </row>
    <row r="1644" spans="13:13" ht="12.5">
      <c r="M1644" s="25"/>
    </row>
    <row r="1645" spans="13:13" ht="12.5">
      <c r="M1645" s="25"/>
    </row>
    <row r="1646" spans="13:13" ht="12.5">
      <c r="M1646" s="25"/>
    </row>
    <row r="1647" spans="13:13" ht="12.5">
      <c r="M1647" s="25"/>
    </row>
    <row r="1648" spans="13:13" ht="12.5">
      <c r="M1648" s="25"/>
    </row>
    <row r="1649" spans="13:13" ht="12.5">
      <c r="M1649" s="25"/>
    </row>
    <row r="1650" spans="13:13" ht="12.5">
      <c r="M1650" s="25"/>
    </row>
    <row r="1651" spans="13:13" ht="12.5">
      <c r="M1651" s="25"/>
    </row>
    <row r="1652" spans="13:13" ht="12.5">
      <c r="M1652" s="25"/>
    </row>
    <row r="1653" spans="13:13" ht="12.5">
      <c r="M1653" s="25"/>
    </row>
    <row r="1654" spans="13:13" ht="12.5">
      <c r="M1654" s="25"/>
    </row>
    <row r="1655" spans="13:13" ht="12.5">
      <c r="M1655" s="25"/>
    </row>
    <row r="1656" spans="13:13" ht="12.5">
      <c r="M1656" s="25"/>
    </row>
    <row r="1657" spans="13:13" ht="12.5">
      <c r="M1657" s="25"/>
    </row>
    <row r="1658" spans="13:13" ht="12.5">
      <c r="M1658" s="25"/>
    </row>
    <row r="1659" spans="13:13" ht="12.5">
      <c r="M1659" s="25"/>
    </row>
    <row r="1660" spans="13:13" ht="12.5">
      <c r="M1660" s="25"/>
    </row>
    <row r="1661" spans="13:13" ht="12.5">
      <c r="M1661" s="25"/>
    </row>
    <row r="1662" spans="13:13" ht="12.5">
      <c r="M1662" s="25"/>
    </row>
    <row r="1663" spans="13:13" ht="12.5">
      <c r="M1663" s="25"/>
    </row>
    <row r="1664" spans="13:13" ht="12.5">
      <c r="M1664" s="25"/>
    </row>
    <row r="1665" spans="13:13" ht="12.5">
      <c r="M1665" s="25"/>
    </row>
    <row r="1666" spans="13:13" ht="12.5">
      <c r="M1666" s="25"/>
    </row>
    <row r="1667" spans="13:13" ht="12.5">
      <c r="M1667" s="25"/>
    </row>
    <row r="1668" spans="13:13" ht="12.5">
      <c r="M1668" s="25"/>
    </row>
    <row r="1669" spans="13:13" ht="12.5">
      <c r="M1669" s="25"/>
    </row>
    <row r="1670" spans="13:13" ht="12.5">
      <c r="M1670" s="25"/>
    </row>
    <row r="1671" spans="13:13" ht="12.5">
      <c r="M1671" s="25"/>
    </row>
    <row r="1672" spans="13:13" ht="12.5">
      <c r="M1672" s="25"/>
    </row>
    <row r="1673" spans="13:13" ht="12.5">
      <c r="M1673" s="25"/>
    </row>
    <row r="1674" spans="13:13" ht="12.5">
      <c r="M1674" s="25"/>
    </row>
    <row r="1675" spans="13:13" ht="12.5">
      <c r="M1675" s="25"/>
    </row>
    <row r="1676" spans="13:13" ht="12.5">
      <c r="M1676" s="25"/>
    </row>
    <row r="1677" spans="13:13" ht="12.5">
      <c r="M1677" s="25"/>
    </row>
    <row r="1678" spans="13:13" ht="12.5">
      <c r="M1678" s="25"/>
    </row>
    <row r="1679" spans="13:13" ht="12.5">
      <c r="M1679" s="25"/>
    </row>
    <row r="1680" spans="13:13" ht="12.5">
      <c r="M1680" s="25"/>
    </row>
    <row r="1681" spans="13:13" ht="12.5">
      <c r="M1681" s="25"/>
    </row>
    <row r="1682" spans="13:13" ht="12.5">
      <c r="M1682" s="25"/>
    </row>
    <row r="1683" spans="13:13" ht="12.5">
      <c r="M1683" s="25"/>
    </row>
    <row r="1684" spans="13:13" ht="12.5">
      <c r="M1684" s="25"/>
    </row>
    <row r="1685" spans="13:13" ht="12.5">
      <c r="M1685" s="25"/>
    </row>
    <row r="1686" spans="13:13" ht="12.5">
      <c r="M1686" s="25"/>
    </row>
    <row r="1687" spans="13:13" ht="12.5">
      <c r="M1687" s="25"/>
    </row>
    <row r="1688" spans="13:13" ht="12.5">
      <c r="M1688" s="25"/>
    </row>
    <row r="1689" spans="13:13" ht="12.5">
      <c r="M1689" s="25"/>
    </row>
    <row r="1690" spans="13:13" ht="12.5">
      <c r="M1690" s="25"/>
    </row>
    <row r="1691" spans="13:13" ht="12.5">
      <c r="M1691" s="25"/>
    </row>
    <row r="1692" spans="13:13" ht="12.5">
      <c r="M1692" s="25"/>
    </row>
    <row r="1693" spans="13:13" ht="12.5">
      <c r="M1693" s="25"/>
    </row>
    <row r="1694" spans="13:13" ht="12.5">
      <c r="M1694" s="25"/>
    </row>
    <row r="1695" spans="13:13" ht="12.5">
      <c r="M1695" s="25"/>
    </row>
    <row r="1696" spans="13:13" ht="12.5">
      <c r="M1696" s="25"/>
    </row>
    <row r="1697" spans="13:13" ht="12.5">
      <c r="M1697" s="25"/>
    </row>
    <row r="1698" spans="13:13" ht="12.5">
      <c r="M1698" s="25"/>
    </row>
    <row r="1699" spans="13:13" ht="12.5">
      <c r="M1699" s="25"/>
    </row>
    <row r="1700" spans="13:13" ht="12.5">
      <c r="M1700" s="25"/>
    </row>
    <row r="1701" spans="13:13" ht="12.5">
      <c r="M1701" s="25"/>
    </row>
    <row r="1702" spans="13:13" ht="12.5">
      <c r="M1702" s="25"/>
    </row>
    <row r="1703" spans="13:13" ht="12.5">
      <c r="M1703" s="25"/>
    </row>
    <row r="1704" spans="13:13" ht="12.5">
      <c r="M1704" s="25"/>
    </row>
    <row r="1705" spans="13:13" ht="12.5">
      <c r="M1705" s="25"/>
    </row>
    <row r="1706" spans="13:13" ht="12.5">
      <c r="M1706" s="25"/>
    </row>
    <row r="1707" spans="13:13" ht="12.5">
      <c r="M1707" s="25"/>
    </row>
    <row r="1708" spans="13:13" ht="12.5">
      <c r="M1708" s="25"/>
    </row>
    <row r="1709" spans="13:13" ht="12.5">
      <c r="M1709" s="25"/>
    </row>
    <row r="1710" spans="13:13" ht="12.5">
      <c r="M1710" s="25"/>
    </row>
    <row r="1711" spans="13:13" ht="12.5">
      <c r="M1711" s="25"/>
    </row>
    <row r="1712" spans="13:13" ht="12.5">
      <c r="M1712" s="25"/>
    </row>
    <row r="1713" spans="13:13" ht="12.5">
      <c r="M1713" s="25"/>
    </row>
    <row r="1714" spans="13:13" ht="12.5">
      <c r="M1714" s="25"/>
    </row>
    <row r="1715" spans="13:13" ht="12.5">
      <c r="M1715" s="25"/>
    </row>
    <row r="1716" spans="13:13" ht="12.5">
      <c r="M1716" s="25"/>
    </row>
    <row r="1717" spans="13:13" ht="12.5">
      <c r="M1717" s="25"/>
    </row>
    <row r="1718" spans="13:13" ht="12.5">
      <c r="M1718" s="25"/>
    </row>
    <row r="1719" spans="13:13" ht="12.5">
      <c r="M1719" s="25"/>
    </row>
    <row r="1720" spans="13:13" ht="12.5">
      <c r="M1720" s="25"/>
    </row>
    <row r="1721" spans="13:13" ht="12.5">
      <c r="M1721" s="25"/>
    </row>
    <row r="1722" spans="13:13" ht="12.5">
      <c r="M1722" s="25"/>
    </row>
    <row r="1723" spans="13:13" ht="12.5">
      <c r="M1723" s="25"/>
    </row>
    <row r="1724" spans="13:13" ht="12.5">
      <c r="M1724" s="25"/>
    </row>
    <row r="1725" spans="13:13" ht="12.5">
      <c r="M1725" s="25"/>
    </row>
    <row r="1726" spans="13:13" ht="12.5">
      <c r="M1726" s="25"/>
    </row>
    <row r="1727" spans="13:13" ht="12.5">
      <c r="M1727" s="25"/>
    </row>
    <row r="1728" spans="13:13" ht="12.5">
      <c r="M1728" s="25"/>
    </row>
    <row r="1729" spans="13:13" ht="12.5">
      <c r="M1729" s="25"/>
    </row>
    <row r="1730" spans="13:13" ht="12.5">
      <c r="M1730" s="25"/>
    </row>
    <row r="1731" spans="13:13" ht="12.5">
      <c r="M1731" s="25"/>
    </row>
    <row r="1732" spans="13:13" ht="12.5">
      <c r="M1732" s="25"/>
    </row>
    <row r="1733" spans="13:13" ht="12.5">
      <c r="M1733" s="25"/>
    </row>
    <row r="1734" spans="13:13" ht="12.5">
      <c r="M1734" s="25"/>
    </row>
    <row r="1735" spans="13:13" ht="12.5">
      <c r="M1735" s="25"/>
    </row>
  </sheetData>
  <phoneticPr fontId="43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6A6A6"/>
    <outlinePr summaryBelow="0" summaryRight="0"/>
  </sheetPr>
  <dimension ref="A1:F12"/>
  <sheetViews>
    <sheetView showGridLines="0" workbookViewId="0">
      <selection activeCell="E8" sqref="E8"/>
    </sheetView>
  </sheetViews>
  <sheetFormatPr defaultColWidth="12.6328125" defaultRowHeight="15.75" customHeight="1"/>
  <cols>
    <col min="1" max="1" width="3.6328125" customWidth="1"/>
    <col min="2" max="5" width="23.6328125" customWidth="1"/>
    <col min="6" max="6" width="22.26953125" customWidth="1"/>
    <col min="7" max="7" width="14.453125" customWidth="1"/>
    <col min="8" max="8" width="15.26953125" customWidth="1"/>
  </cols>
  <sheetData>
    <row r="1" spans="1:6" ht="26" customHeight="1">
      <c r="A1" s="714" t="s">
        <v>279</v>
      </c>
      <c r="B1" s="714"/>
      <c r="C1" s="714"/>
      <c r="D1" s="714"/>
      <c r="E1" s="714"/>
      <c r="F1" s="714"/>
    </row>
    <row r="3" spans="1:6" ht="15.75" customHeight="1">
      <c r="A3" s="715" t="s">
        <v>280</v>
      </c>
    </row>
    <row r="4" spans="1:6" ht="15.75" customHeight="1">
      <c r="A4" s="715" t="s">
        <v>281</v>
      </c>
    </row>
    <row r="5" spans="1:6" ht="15.75" customHeight="1" thickBot="1"/>
    <row r="6" spans="1:6" ht="15.75" customHeight="1">
      <c r="B6" s="716" t="s">
        <v>282</v>
      </c>
      <c r="C6" s="717" t="s">
        <v>159</v>
      </c>
      <c r="D6" s="717" t="s">
        <v>283</v>
      </c>
      <c r="E6" s="718" t="s">
        <v>284</v>
      </c>
    </row>
    <row r="7" spans="1:6" ht="15.75" customHeight="1">
      <c r="B7" s="719"/>
      <c r="C7" s="720"/>
      <c r="D7" s="720"/>
      <c r="E7" s="721"/>
    </row>
    <row r="8" spans="1:6" ht="15.75" customHeight="1">
      <c r="B8" s="719"/>
      <c r="C8" s="720"/>
      <c r="D8" s="720"/>
      <c r="E8" s="721"/>
    </row>
    <row r="9" spans="1:6" ht="15.75" customHeight="1">
      <c r="B9" s="719"/>
      <c r="C9" s="720"/>
      <c r="D9" s="720"/>
      <c r="E9" s="721"/>
    </row>
    <row r="10" spans="1:6" ht="15.75" customHeight="1">
      <c r="B10" s="719"/>
      <c r="C10" s="720"/>
      <c r="D10" s="720"/>
      <c r="E10" s="721"/>
    </row>
    <row r="11" spans="1:6" ht="15.75" customHeight="1">
      <c r="B11" s="719"/>
      <c r="C11" s="720"/>
      <c r="D11" s="720"/>
      <c r="E11" s="721"/>
    </row>
    <row r="12" spans="1:6" ht="15.75" customHeight="1" thickBot="1">
      <c r="B12" s="722"/>
      <c r="C12" s="723"/>
      <c r="D12" s="723"/>
      <c r="E12" s="724"/>
    </row>
  </sheetData>
  <phoneticPr fontId="4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總覽</vt:lpstr>
      <vt:lpstr>股價預估</vt:lpstr>
      <vt:lpstr>股票資訊</vt:lpstr>
      <vt:lpstr>營收</vt:lpstr>
      <vt:lpstr>毛利率&amp;業外</vt:lpstr>
      <vt:lpstr>營業費用</vt:lpstr>
      <vt:lpstr>每股盈餘(EPS)</vt:lpstr>
      <vt:lpstr>財報健檢</vt:lpstr>
      <vt:lpstr>股息&amp;現金流</vt:lpstr>
      <vt:lpstr>籌碼</vt:lpstr>
      <vt:lpstr>期貨籌碼</vt:lpstr>
      <vt:lpstr>排行榜</vt:lpstr>
      <vt:lpstr>市值排行</vt:lpstr>
      <vt:lpstr>證券編碼查詢</vt:lpstr>
      <vt:lpstr>減資一覽表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sunny weng</cp:lastModifiedBy>
  <dcterms:modified xsi:type="dcterms:W3CDTF">2026-08-16T21:53:57Z</dcterms:modified>
</cp:coreProperties>
</file>